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eronica\Documents\Vero_Documentos Trabajo de grado\SerpocaulonAssessment\datos\registros\"/>
    </mc:Choice>
  </mc:AlternateContent>
  <xr:revisionPtr revIDLastSave="0" documentId="13_ncr:1_{35C997FB-9D15-4D03-BA91-49978601A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LEEME_Fase1" sheetId="2" r:id="rId2"/>
    <sheet name="QC_Coordenadas" sheetId="3" r:id="rId3"/>
  </sheets>
  <definedNames>
    <definedName name="_xlnm._FilterDatabase" localSheetId="0" hidden="1">Sheet1!$A$1:$AK$1224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<sst xmlns="http://schemas.openxmlformats.org/spreadsheetml/2006/main" count="26443" uniqueCount="9504">
  <si>
    <t>Species with author</t>
  </si>
  <si>
    <t>Species</t>
  </si>
  <si>
    <t>Collector</t>
  </si>
  <si>
    <t>Herbaria</t>
  </si>
  <si>
    <t>Locality</t>
  </si>
  <si>
    <t>Altitud</t>
  </si>
  <si>
    <t>altitud_min</t>
  </si>
  <si>
    <t>altitud_max</t>
  </si>
  <si>
    <t>N original</t>
  </si>
  <si>
    <t>N corregida</t>
  </si>
  <si>
    <t>W original</t>
  </si>
  <si>
    <t>W corregida</t>
  </si>
  <si>
    <t>N y W unificadas</t>
  </si>
  <si>
    <t>SRC EPSG: 4326</t>
  </si>
  <si>
    <t>Unnamed: 11</t>
  </si>
  <si>
    <t>Coord_unidas</t>
  </si>
  <si>
    <t>Proyección para Colombia</t>
  </si>
  <si>
    <t>Date</t>
  </si>
  <si>
    <t>Unnamed: 14</t>
  </si>
  <si>
    <t>Habit</t>
  </si>
  <si>
    <t>Unnamed: 16</t>
  </si>
  <si>
    <t>Unnamed: 17</t>
  </si>
  <si>
    <t>Latitud</t>
  </si>
  <si>
    <t>Longitud</t>
  </si>
  <si>
    <t>Error (m)</t>
  </si>
  <si>
    <t>Elevación (msnm)</t>
  </si>
  <si>
    <t>Notas</t>
  </si>
  <si>
    <t>Nombre en CapaPuntos</t>
  </si>
  <si>
    <t>Unnamed: 26</t>
  </si>
  <si>
    <t>PREGUNTAS</t>
  </si>
  <si>
    <t>Nivel de calidad de la localidad</t>
  </si>
  <si>
    <t>country</t>
  </si>
  <si>
    <t>department</t>
  </si>
  <si>
    <t>municipality</t>
  </si>
  <si>
    <t>vereda</t>
  </si>
  <si>
    <t>ID</t>
  </si>
  <si>
    <t>S. adnatum (Kunze ex Klotzsch) A. R. Sm.</t>
  </si>
  <si>
    <t>Serpocaulon adnatum</t>
  </si>
  <si>
    <t>J. M. Idrobo, P. Pinto &amp; Bischler 2909</t>
  </si>
  <si>
    <t>COL 65724</t>
  </si>
  <si>
    <t>Huila, San Agustin, Mesitas, vìa Magdalena, Hoya del Magdalena</t>
  </si>
  <si>
    <t>N 01°52'36.24"</t>
  </si>
  <si>
    <t>01°52'36.24" N</t>
  </si>
  <si>
    <t>W 76°16'05.47"</t>
  </si>
  <si>
    <t>76°16'05.47" W</t>
  </si>
  <si>
    <t>01°52'36.24" N, 76°16'05.47" W</t>
  </si>
  <si>
    <t>1.8767333</t>
  </si>
  <si>
    <t>-76.2681861</t>
  </si>
  <si>
    <t>1.8767333,-76.2681861</t>
  </si>
  <si>
    <t>Escandente</t>
  </si>
  <si>
    <t>Colombia</t>
  </si>
  <si>
    <t>Huila</t>
  </si>
  <si>
    <t>San Agustin</t>
  </si>
  <si>
    <t>Mesitas, vìa Magdalena, Hoya del Magdalena</t>
  </si>
  <si>
    <t>Hagemman W. &amp; N. Leist  1567</t>
  </si>
  <si>
    <t>COL 000335971</t>
  </si>
  <si>
    <t xml:space="preserve">Putumayo, 59 km. Al W de El Pepino, puente de Carretera encima del Valle principal. </t>
  </si>
  <si>
    <t>N 01°03'</t>
  </si>
  <si>
    <t>01°03' N</t>
  </si>
  <si>
    <t>W 76°38'</t>
  </si>
  <si>
    <t>76°38' W</t>
  </si>
  <si>
    <t>01°03' N, 76°38' W</t>
  </si>
  <si>
    <t>1.05</t>
  </si>
  <si>
    <t>-76.6333333</t>
  </si>
  <si>
    <t>1.05,-76.6333333</t>
  </si>
  <si>
    <t>Rup</t>
  </si>
  <si>
    <t>COL000336393</t>
  </si>
  <si>
    <t>Putumayo</t>
  </si>
  <si>
    <t>59 km. Al W de El Pepino</t>
  </si>
  <si>
    <t>puente de Carretera encima del Valle principal.</t>
  </si>
  <si>
    <t>Hagemman 1567</t>
  </si>
  <si>
    <t>PSO 4438</t>
  </si>
  <si>
    <t>Putumayo, El Pepino</t>
  </si>
  <si>
    <t>El Pepino</t>
  </si>
  <si>
    <t>S. adnatum (Kunze ex Klotzsch.) A. R. Sm.</t>
  </si>
  <si>
    <t>E. P. Killip &amp; H. Garcia 33919</t>
  </si>
  <si>
    <t>COL 18024</t>
  </si>
  <si>
    <t>Colombia, Valle del Cauca, San Antonio, west of Calí, near to summit of Cordillera Occidental.</t>
  </si>
  <si>
    <t>1900-2350</t>
  </si>
  <si>
    <t>sr</t>
  </si>
  <si>
    <t>7544</t>
  </si>
  <si>
    <t xml:space="preserve">He </t>
  </si>
  <si>
    <t>COL18024</t>
  </si>
  <si>
    <t>Valle del Cauca</t>
  </si>
  <si>
    <t>San Antonio</t>
  </si>
  <si>
    <t>west of Calí, near to summit of Cordillera Occidental.</t>
  </si>
  <si>
    <t>Grubb P.J. &amp; D.A. Guymer 91</t>
  </si>
  <si>
    <t>COL 000335787</t>
  </si>
  <si>
    <t>Colombia, Boyacá, Sierra Nevada del Cocuy, arround Bocota.</t>
  </si>
  <si>
    <t>COL000335787</t>
  </si>
  <si>
    <t>Boyacá</t>
  </si>
  <si>
    <t>Sierra Nevada del Cocuy</t>
  </si>
  <si>
    <t>arround Bocota.</t>
  </si>
  <si>
    <t>García-Barriga H 17344</t>
  </si>
  <si>
    <t>COL 000335999</t>
  </si>
  <si>
    <t>Colombia, Cundinamarca, San Francisco a La Vega.</t>
  </si>
  <si>
    <t>1500-1800</t>
  </si>
  <si>
    <t>COL000335999</t>
  </si>
  <si>
    <t>Cundinamarca</t>
  </si>
  <si>
    <t>San Francisco a La Vega.</t>
  </si>
  <si>
    <t>Jaramillo-Mejía et al., 3454</t>
  </si>
  <si>
    <t>COL 000335966</t>
  </si>
  <si>
    <t>Colombia, Cundinamarca, entre San Miguel y Fusagasugá, hacienda La Primavera.</t>
  </si>
  <si>
    <t>No encontré la hacienda. Ubiqué el punto cerca del alto San Miguel</t>
  </si>
  <si>
    <t>COL000335903</t>
  </si>
  <si>
    <t>entre San Miguel y Fusagasugá</t>
  </si>
  <si>
    <t>hacienda La Primavera.</t>
  </si>
  <si>
    <t>Murillo M.T. et al., 1517</t>
  </si>
  <si>
    <t>COL 000335789</t>
  </si>
  <si>
    <t>Colombia, Boyacá, entre Chiquinquirá y Pauna, en el sitio denominado Las Fuentes.</t>
  </si>
  <si>
    <t>2000-2300</t>
  </si>
  <si>
    <t>Hr</t>
  </si>
  <si>
    <t>COL000336597</t>
  </si>
  <si>
    <t>entre Chiquinquirá y Pauna</t>
  </si>
  <si>
    <t>en el sitio denominado Las Fuentes.</t>
  </si>
  <si>
    <t>Lellinger D.B. &amp; E. de la Sota 813</t>
  </si>
  <si>
    <t>COL 000335781</t>
  </si>
  <si>
    <t>Colombia, Valle del Cauca, Finca La Pradera ca 6 km SW of El Cairo on the trail to Río Blanco, between El Brillante and Boquerón.</t>
  </si>
  <si>
    <t>2150-2200</t>
  </si>
  <si>
    <t>He</t>
  </si>
  <si>
    <t>COL000335781</t>
  </si>
  <si>
    <t>Finca La Pradera ca 6 km SW of El Cairo on the trail to Río Blanco</t>
  </si>
  <si>
    <t>between El Brillante and Boquerón.</t>
  </si>
  <si>
    <t>Leist &amp; Mohle 2150</t>
  </si>
  <si>
    <t>COL 271499</t>
  </si>
  <si>
    <t>Colombia, Nariño, al W de el Diviso.</t>
  </si>
  <si>
    <t>PSO13147</t>
  </si>
  <si>
    <t>Nariño</t>
  </si>
  <si>
    <t>al W de el Diviso.</t>
  </si>
  <si>
    <t>Idrobo J.M. et al., 10521</t>
  </si>
  <si>
    <t>COL 217506</t>
  </si>
  <si>
    <t>Colombia, Tolima, Santa Isabel, Vereda La Pava, Finca La Pavita, Cordillera Central, vertiente oriental.</t>
  </si>
  <si>
    <t>COL217506</t>
  </si>
  <si>
    <t>Tolima</t>
  </si>
  <si>
    <t>Santa Isabel</t>
  </si>
  <si>
    <t>Vereda La Pava, Finca La Pavita, Cordillera Central, vertiente oriental.</t>
  </si>
  <si>
    <t>Osorio G. 78</t>
  </si>
  <si>
    <t>COL 248581</t>
  </si>
  <si>
    <t>Colombia, Huila, Pitalito, inspección policia La Laguna, alrededores.</t>
  </si>
  <si>
    <t>COL248581</t>
  </si>
  <si>
    <t>Pitalito</t>
  </si>
  <si>
    <t>inspección policia La Laguna, alrededores.</t>
  </si>
  <si>
    <t>P. Franco, O. Rangel, A. Cleef &amp; S. Salamanca 1654</t>
  </si>
  <si>
    <t>COL 415684</t>
  </si>
  <si>
    <t>Colombia, Valle del Cauca, Argelia, vereda Las Brisas.</t>
  </si>
  <si>
    <t>COL415684</t>
  </si>
  <si>
    <t>Argelia</t>
  </si>
  <si>
    <t>vereda Las Brisas.</t>
  </si>
  <si>
    <t>COL 278713</t>
  </si>
  <si>
    <t>Devia W. 742</t>
  </si>
  <si>
    <t>COL 307934</t>
  </si>
  <si>
    <t>Colombia, Valle del Cauca, Tuluá, corregimiento Monteloro, vereda La Diadema, Finca de don Rogelio.</t>
  </si>
  <si>
    <t>COL307934</t>
  </si>
  <si>
    <t>Tuluá</t>
  </si>
  <si>
    <t>corregimiento Monteloro, vereda La Diadema, Finca de don Rogelio.</t>
  </si>
  <si>
    <t>M. de Fraume et al., 343</t>
  </si>
  <si>
    <t>FAUC 222</t>
  </si>
  <si>
    <t>Caldas, Manizales, Monteleón</t>
  </si>
  <si>
    <t>N 05°03'28.00"</t>
  </si>
  <si>
    <t>05°03'28.00" N</t>
  </si>
  <si>
    <t>W75°29'58.00"</t>
  </si>
  <si>
    <t>5°29'58.00" W</t>
  </si>
  <si>
    <t>05°03'28.00" N, 5°29'58.00" W</t>
  </si>
  <si>
    <t>5.0577778</t>
  </si>
  <si>
    <t>-75.4994444</t>
  </si>
  <si>
    <t>5.0577778,-75.4994444</t>
  </si>
  <si>
    <t>ne</t>
  </si>
  <si>
    <t>Caldas</t>
  </si>
  <si>
    <t>Manizales</t>
  </si>
  <si>
    <t>Monteleón</t>
  </si>
  <si>
    <t>C. Vélez et al., 3675</t>
  </si>
  <si>
    <t>HUQ 12896</t>
  </si>
  <si>
    <t>Quindio, Cordoba, Vereda Las Auras, Finca la Palma Hermosa</t>
  </si>
  <si>
    <t>N 04°25'57.33"</t>
  </si>
  <si>
    <t>04°25'57.33" N</t>
  </si>
  <si>
    <t>W 75°40'04.19"</t>
  </si>
  <si>
    <t>75°40'04.19" W</t>
  </si>
  <si>
    <t>04°25'57.33" N, 75°40'04.19" W</t>
  </si>
  <si>
    <t>4.4325917</t>
  </si>
  <si>
    <t>-75.6678306</t>
  </si>
  <si>
    <t>4.4325917,-75.6678306</t>
  </si>
  <si>
    <t>HUQ12896</t>
  </si>
  <si>
    <t>Quindio</t>
  </si>
  <si>
    <t>Cordoba</t>
  </si>
  <si>
    <t>Vereda Las Auras, Finca la Palma Hermosa</t>
  </si>
  <si>
    <t>Mendoza H. &amp; J. Betancur 4956</t>
  </si>
  <si>
    <t>FMB 18326</t>
  </si>
  <si>
    <t>Colombia, Caquetá, San Vicente del Caguán, cuanca del Río Pato.</t>
  </si>
  <si>
    <t>N 02°48'49"</t>
  </si>
  <si>
    <t>02°48'49" N</t>
  </si>
  <si>
    <t>W 74°50'19"</t>
  </si>
  <si>
    <t>74°50'19" W</t>
  </si>
  <si>
    <t>02°48'49" N, 74°50'19" W</t>
  </si>
  <si>
    <t>2.8136111</t>
  </si>
  <si>
    <t>-74.8386111</t>
  </si>
  <si>
    <t>2.8136111,-74.8386111</t>
  </si>
  <si>
    <t>Caquetá</t>
  </si>
  <si>
    <t>San Vicente del Caguán</t>
  </si>
  <si>
    <t>cuanca del Río Pato.</t>
  </si>
  <si>
    <t>Mendoza H. &amp; J. Betancur 4643</t>
  </si>
  <si>
    <t>FMB 18319</t>
  </si>
  <si>
    <t>N 02°48'55"</t>
  </si>
  <si>
    <t>02°48'55" N</t>
  </si>
  <si>
    <t>W 74°50'31"</t>
  </si>
  <si>
    <t>74°50'31" W</t>
  </si>
  <si>
    <t>02°48'55" N, 74°50'31" W</t>
  </si>
  <si>
    <t>2.8152778</t>
  </si>
  <si>
    <t>-74.8419444</t>
  </si>
  <si>
    <t>2.8152778,-74.8419444</t>
  </si>
  <si>
    <t>FMB 18327</t>
  </si>
  <si>
    <t>Triana-Moreno L.A. 60</t>
  </si>
  <si>
    <t>COL 000070293</t>
  </si>
  <si>
    <t>Colombia, Cundinamarca, Albán, vereda Las Marias, Fundación Granjas Infantiles del Padre Luna, Granja del Gran Ciudadano, frente al peaje de Jalisco.</t>
  </si>
  <si>
    <t>Hr-Rup</t>
  </si>
  <si>
    <t>COL000070293</t>
  </si>
  <si>
    <t>Albán</t>
  </si>
  <si>
    <t>vereda Las Marias, Fundación Granjas Infantiles del Padre Luna, Granja del Gran Ciudadano, frente al peaje de Jalisco.</t>
  </si>
  <si>
    <t>COL 000070223</t>
  </si>
  <si>
    <t>COL 000070222</t>
  </si>
  <si>
    <t>Murillo J. &amp; D. Forero 3648</t>
  </si>
  <si>
    <t>COL 000153085</t>
  </si>
  <si>
    <t>Colombia, Santander, Floridablanca, de la Corcova hacia El Cerro La Judía.</t>
  </si>
  <si>
    <t>1800-2700</t>
  </si>
  <si>
    <t>COL000153085</t>
  </si>
  <si>
    <t>Santander</t>
  </si>
  <si>
    <t>Floridablanca</t>
  </si>
  <si>
    <t>de la Corcova hacia El Cerro La Judía.</t>
  </si>
  <si>
    <t>D. Sanín 653</t>
  </si>
  <si>
    <t>FAUC</t>
  </si>
  <si>
    <t>Colombia, Caldas, Neira, antigua fabrica Cemenos de Caldas.</t>
  </si>
  <si>
    <t>05°9'45"</t>
  </si>
  <si>
    <t>75°29'43.1" W</t>
  </si>
  <si>
    <t>05°9'45", 75°29'43.1" W</t>
  </si>
  <si>
    <t>5.1625</t>
  </si>
  <si>
    <t>-75.4953056</t>
  </si>
  <si>
    <t>5.1625,-75.4953056</t>
  </si>
  <si>
    <t>Sc</t>
  </si>
  <si>
    <t>Medí la incertidumbre desde el punto hasta el límite de la vereda del lado</t>
  </si>
  <si>
    <t>Neira</t>
  </si>
  <si>
    <t>antigua fabrica Cemenos de Caldas.</t>
  </si>
  <si>
    <t>Silva G.A. et al., 557</t>
  </si>
  <si>
    <t>FMB 88063</t>
  </si>
  <si>
    <t>Colombia, Huila, Pitalito, vereda El Triunfo, fonca El Pedregal, a 300 m de la casa de doña Isabel Chaus, entrando desde el borde donde colinda con cafetal.</t>
  </si>
  <si>
    <t>N 01° 48'32.4"</t>
  </si>
  <si>
    <t>01° 48'32.4" N</t>
  </si>
  <si>
    <t>W 76° 0'59.4"</t>
  </si>
  <si>
    <t>76° 0'59.4" W</t>
  </si>
  <si>
    <t>01° 48'32.4" N, 76° 0'59.4" W</t>
  </si>
  <si>
    <t>1.809</t>
  </si>
  <si>
    <t>-76.0165</t>
  </si>
  <si>
    <t>1.809,-76.0165</t>
  </si>
  <si>
    <t>vereda El Triunfo, fonca El Pedregal, a 300 m de la casa de doña Isabel Chaus, entrando desde el borde donde colinda con cafetal.</t>
  </si>
  <si>
    <t>Silva G.A. et al., 129</t>
  </si>
  <si>
    <t>FMB 79885</t>
  </si>
  <si>
    <t>Colombia, Huila, La Argentina, vereda El Progreso, finca Buenavista, 20 m debajo de la casa de don Constantino Gómez.</t>
  </si>
  <si>
    <t>N 02°12'44"</t>
  </si>
  <si>
    <t>02°12'44" N</t>
  </si>
  <si>
    <t>W 75°56'23"</t>
  </si>
  <si>
    <t>75°56'23" W</t>
  </si>
  <si>
    <t>02°12'44" N, 75°56'23" W</t>
  </si>
  <si>
    <t>2.2122222</t>
  </si>
  <si>
    <t>-75.9397222</t>
  </si>
  <si>
    <t>2.2122222,-75.9397222</t>
  </si>
  <si>
    <t>La Argentina</t>
  </si>
  <si>
    <t>vereda El Progreso, finca Buenavista, 20 m debajo de la casa de don Constantino Gómez.</t>
  </si>
  <si>
    <t>Silva G.A. et al., 237</t>
  </si>
  <si>
    <t>FMB 88058</t>
  </si>
  <si>
    <t>Colombia, Huila, La Argentina, vereda El Progreso, finca Palmira en una quebrada afluente de la quebrada Garrochal.</t>
  </si>
  <si>
    <t>N 02°12'47"</t>
  </si>
  <si>
    <t>02°12'47" N</t>
  </si>
  <si>
    <t>W 75°56'50"</t>
  </si>
  <si>
    <t>75°56'50" W</t>
  </si>
  <si>
    <t>02°12'47" N, 75°56'50" W</t>
  </si>
  <si>
    <t>2.2130556</t>
  </si>
  <si>
    <t>-75.9472222</t>
  </si>
  <si>
    <t>2.2130556,-75.9472222</t>
  </si>
  <si>
    <t>vereda El Progreso, finca Palmira en una quebrada afluente de la quebrada Garrochal.</t>
  </si>
  <si>
    <t>FMB 79994</t>
  </si>
  <si>
    <t>FMB 88059</t>
  </si>
  <si>
    <t>Muñoz E.L. et al., 1917</t>
  </si>
  <si>
    <t>CAUP 18762</t>
  </si>
  <si>
    <t>Colombia, Cauca, El Tambo, Reserva Natural Tambito.</t>
  </si>
  <si>
    <t>CAUP18762</t>
  </si>
  <si>
    <t>Cauca</t>
  </si>
  <si>
    <t>El Tambo</t>
  </si>
  <si>
    <t>Reserva Natural Tambito.</t>
  </si>
  <si>
    <t>D. Sanín &amp; E. Sanín 3253</t>
  </si>
  <si>
    <t>Colombia, Huila, San Agustín, vereda Platanares, relicto arriba de la Escuela Platanares.</t>
  </si>
  <si>
    <t>N 01° 59'5.95"</t>
  </si>
  <si>
    <t>01° 59'5.95" N</t>
  </si>
  <si>
    <t>76° 17' 7.81"</t>
  </si>
  <si>
    <t>76° 17' 7.81" W</t>
  </si>
  <si>
    <t>01° 59'5.95" N, 76° 17' 7.81" W</t>
  </si>
  <si>
    <t>1.9849861</t>
  </si>
  <si>
    <t>-76.2855028</t>
  </si>
  <si>
    <t>1.9849861,-76.2855028</t>
  </si>
  <si>
    <t>San Agustín</t>
  </si>
  <si>
    <t>vereda Platanares, relicto arriba de la Escuela Platanares.</t>
  </si>
  <si>
    <t>D. Sanín, L. F. Coca, J. F. Cardona &amp; C. A. Duque. 3316</t>
  </si>
  <si>
    <t>HUA</t>
  </si>
  <si>
    <t>Colombia, Caldas, Manizales-Villamaría, vereda Montaño, finca San Atonio, relicto al nororiente de la casa.</t>
  </si>
  <si>
    <t>04° 59' 5.57"</t>
  </si>
  <si>
    <t>75° 27' 4.10" W</t>
  </si>
  <si>
    <t>04° 59' 5.57", 75° 27' 4.10" W</t>
  </si>
  <si>
    <t>4.9848806</t>
  </si>
  <si>
    <t>-75.4511389</t>
  </si>
  <si>
    <t>4.9848806,-75.4511389</t>
  </si>
  <si>
    <t>Manizales-Villamaría</t>
  </si>
  <si>
    <t>vereda Montaño, finca San Atonio, relicto al nororiente de la casa.</t>
  </si>
  <si>
    <t>D. Sanín, J. C Ospina-Gonzalez &amp; E. Sanín 3080</t>
  </si>
  <si>
    <t>Colombia, Quindio, Filandia, vereda Cruces, corredor biologico Los Monos, Sendero El Otobo.</t>
  </si>
  <si>
    <t>04° 41' 6.20"</t>
  </si>
  <si>
    <t>75°37' 21.4"</t>
  </si>
  <si>
    <t>75°37' 21.4" W</t>
  </si>
  <si>
    <t>04° 41' 6.20", 75°37' 21.4" W</t>
  </si>
  <si>
    <t>4.6850556</t>
  </si>
  <si>
    <t>-75.6226111</t>
  </si>
  <si>
    <t>4.6850556,-75.6226111</t>
  </si>
  <si>
    <t>Hem</t>
  </si>
  <si>
    <t>D_Sanín3080</t>
  </si>
  <si>
    <t>Filandia</t>
  </si>
  <si>
    <t>vereda Cruces, corredor biologico Los Monos, Sendero El Otobo.</t>
  </si>
  <si>
    <t>D. Sanín &amp; E. Sanín 3214</t>
  </si>
  <si>
    <t>Colombia, Huila, Pitalito, vereda Charguayaco, Reserva de la comunidad el Arroyuelo.</t>
  </si>
  <si>
    <t>N 01° 46' 8.22"</t>
  </si>
  <si>
    <t>01° 46' 8.22" N</t>
  </si>
  <si>
    <t>76° 1' 7.44" W</t>
  </si>
  <si>
    <t>01° 46' 8.22" N, 76° 1' 7.44" W</t>
  </si>
  <si>
    <t>1.76895</t>
  </si>
  <si>
    <t>-76.0187333</t>
  </si>
  <si>
    <t>1.76895,-76.0187333</t>
  </si>
  <si>
    <t>vereda Charguayaco, Reserva de la comunidad el Arroyuelo.</t>
  </si>
  <si>
    <t>D. Sanín &amp; E. Sanín 3244</t>
  </si>
  <si>
    <t>Colombia, Huila, San Agustín, vereda La Chaquira, por el camino hacia el puente que atraviesa el río Magdalena, relicto debajo de la roca.</t>
  </si>
  <si>
    <t>N 01° 47' 102"</t>
  </si>
  <si>
    <t>01° 47' 102" N</t>
  </si>
  <si>
    <t>76° 02' 197" W</t>
  </si>
  <si>
    <t>01° 47' 102" N, 76° 02' 197" W</t>
  </si>
  <si>
    <t>D_Sanín3244</t>
  </si>
  <si>
    <t>vereda La Chaquira, por el camino hacia el puente que atraviesa el río Magdalena, relicto debajo de la roca.</t>
  </si>
  <si>
    <t>76° 02' 197"</t>
  </si>
  <si>
    <t>D. Sanín et al., 3178</t>
  </si>
  <si>
    <t>Colombia, Tolima, Ibague, Corregimiento de Juntas, vía la Escuela El Salto.</t>
  </si>
  <si>
    <t>04° 37' 45.3"</t>
  </si>
  <si>
    <t>75° 16' 9.31"</t>
  </si>
  <si>
    <t>75° 16' 9.31" W</t>
  </si>
  <si>
    <t>04° 37' 45.3", 75° 16' 9.31" W</t>
  </si>
  <si>
    <t>4.62925</t>
  </si>
  <si>
    <t>-75.2692528</t>
  </si>
  <si>
    <t>4.62925,-75.2692528</t>
  </si>
  <si>
    <t>D_Sanín3178</t>
  </si>
  <si>
    <t>Ibague</t>
  </si>
  <si>
    <t>Corregimiento de Juntas, vía la Escuela El Salto.</t>
  </si>
  <si>
    <t>D. Sanín, E. Sanín &amp; J. Toro 2446</t>
  </si>
  <si>
    <t>Colombia, Risaralda, Pereira, Reserva Otun Quimbaya, zona amortiguadora del Parque los Nevados.</t>
  </si>
  <si>
    <t>04° 43.752"</t>
  </si>
  <si>
    <t>75° 34.633"</t>
  </si>
  <si>
    <t>75° 34.633" W</t>
  </si>
  <si>
    <t>04° 43.752", 75° 34.633" W</t>
  </si>
  <si>
    <t>FAUC10676</t>
  </si>
  <si>
    <t>Risaralda</t>
  </si>
  <si>
    <t>Pereira</t>
  </si>
  <si>
    <t>Reserva Otun Quimbaya, zona amortiguadora del Parque los Nevados.</t>
  </si>
  <si>
    <t>J. H. Torres, O. Rangel, P. Franco, A. Cleef &amp; S. Salamanca 2147</t>
  </si>
  <si>
    <t>COL 264898</t>
  </si>
  <si>
    <t>Colombia, Risaralda, Santuario, vereda Los Planes.</t>
  </si>
  <si>
    <t>COL259502</t>
  </si>
  <si>
    <t>Santuario</t>
  </si>
  <si>
    <t>vereda Los Planes.</t>
  </si>
  <si>
    <t>J. E. Ramos, P. A. Silverstone &amp; L. H.Ramos 1163</t>
  </si>
  <si>
    <t>CUVC 20852</t>
  </si>
  <si>
    <t>Colombia, Chocó, San Jose del Palmar, vereda de Río Negro, Cerro Torrá, vertiente orientel río Negro, debajo del helipuerto.</t>
  </si>
  <si>
    <t>Tomé la coordenada de un gacetero donde la ubicación se da en el munucipio de Sipí</t>
  </si>
  <si>
    <t>CUVC20852</t>
  </si>
  <si>
    <t>Chocó</t>
  </si>
  <si>
    <t>San Jose del Palmar</t>
  </si>
  <si>
    <t>vereda de Río Negro, Cerro Torrá, vertiente orientel río Negro, debajo del helipuerto.</t>
  </si>
  <si>
    <t>H. Bischler 2246</t>
  </si>
  <si>
    <t>COL 82759</t>
  </si>
  <si>
    <t>Colombia, Cundinamarca, Laguna Pedro-Palo.</t>
  </si>
  <si>
    <t>2000-2500</t>
  </si>
  <si>
    <t>COL000335931</t>
  </si>
  <si>
    <t>Laguna Pedro-Palo.</t>
  </si>
  <si>
    <t>P. Franco, O. Rangel, A. Cleef &amp; S. Salamanca 1729</t>
  </si>
  <si>
    <t>COL 278888</t>
  </si>
  <si>
    <t>Colombia, Valle del Cauca, Argelia, vereda Las Brisas, Finca San Jorge.</t>
  </si>
  <si>
    <t>vereda Las Brisas, Finca San Jorge.</t>
  </si>
  <si>
    <t>S. adnatum (Kunze ex. Klotzsch)A. R. Sm.</t>
  </si>
  <si>
    <t>Hno. Daniel 678</t>
  </si>
  <si>
    <t>COL 178360</t>
  </si>
  <si>
    <t>Antioquia, La Ceja, Monte Uchubal</t>
  </si>
  <si>
    <t>N 06°01'50"</t>
  </si>
  <si>
    <t>06°01'50" N</t>
  </si>
  <si>
    <t>W 75°25'54.00"</t>
  </si>
  <si>
    <t>75°25'54.00" W</t>
  </si>
  <si>
    <t>06°01'50" N, 75°25'54.00" W</t>
  </si>
  <si>
    <t>6.0305556</t>
  </si>
  <si>
    <t>-75.4316667</t>
  </si>
  <si>
    <t>6.0305556,-75.4316667</t>
  </si>
  <si>
    <t>nr</t>
  </si>
  <si>
    <t>Se conservan las coordenadas originales una vez fue verificada la localidad y que la altura no sobrepasara 100 m</t>
  </si>
  <si>
    <t>Calculé la incertidumbre desde el punto que marqué hasta la vereda del lado</t>
  </si>
  <si>
    <t>Antioquia</t>
  </si>
  <si>
    <t>La Ceja</t>
  </si>
  <si>
    <t>Monte Uchubal</t>
  </si>
  <si>
    <t>J. Cuatrecasas 8617</t>
  </si>
  <si>
    <t>COL 22746</t>
  </si>
  <si>
    <t>Huila, Ondonada del Abra de San Andres, cordillera Oriental, vertiente occidental.</t>
  </si>
  <si>
    <t>1900-2100</t>
  </si>
  <si>
    <t>Utilicé de referencia el punto de un gacetero ubicado en el límite de Huila y Florencia, Caquetá</t>
  </si>
  <si>
    <t>COL22746</t>
  </si>
  <si>
    <t>Ondonada del Abra de San Andres</t>
  </si>
  <si>
    <t>cordillera Oriental, vertiente occidental.</t>
  </si>
  <si>
    <t>G. Gutierrez &amp; F. Barkley 17c004</t>
  </si>
  <si>
    <t>MEDEL 45011</t>
  </si>
  <si>
    <t>Antioquia, Cerca de Santa Elena, entre Medellin y Río Negro</t>
  </si>
  <si>
    <t>2300-2500</t>
  </si>
  <si>
    <t>N 06°13'</t>
  </si>
  <si>
    <t>06°13' N</t>
  </si>
  <si>
    <t>75°30' W</t>
  </si>
  <si>
    <t>06°13' N, 75°30' W</t>
  </si>
  <si>
    <t>6.2166667</t>
  </si>
  <si>
    <t>-75.5</t>
  </si>
  <si>
    <t>6.2166667,-75.5</t>
  </si>
  <si>
    <t>Cerca de Santa Elena</t>
  </si>
  <si>
    <t>entre Medellin y Río Negro</t>
  </si>
  <si>
    <t>COL 55021</t>
  </si>
  <si>
    <t>Skolnik R. et al., 353</t>
  </si>
  <si>
    <t>COL 493291</t>
  </si>
  <si>
    <t>Colombia, Antioquia, bajo la cumbre de Santa Elena, camino entre Medellín y Ríonegro.</t>
  </si>
  <si>
    <t>N 06°13'00"</t>
  </si>
  <si>
    <t>06°13'00" N</t>
  </si>
  <si>
    <t>W 75°30'00"</t>
  </si>
  <si>
    <t>75°30'00" W</t>
  </si>
  <si>
    <t>06°13'00" N, 75°30'00" W</t>
  </si>
  <si>
    <t>Se conservan las coordenadas originales una vez fue verificada la localidad</t>
  </si>
  <si>
    <t>bajo la cumbre de Santa Elena</t>
  </si>
  <si>
    <t>camino entre Medellín y Ríonegro.</t>
  </si>
  <si>
    <t>R. Guarín M. 345</t>
  </si>
  <si>
    <t>PSO 4547</t>
  </si>
  <si>
    <t>Putumayo, San Francisco, margen derecha a la salida de San Francisco</t>
  </si>
  <si>
    <t>N01°10'33.23"</t>
  </si>
  <si>
    <t>1°10'33.23" N</t>
  </si>
  <si>
    <t>W 76°52'45.68"</t>
  </si>
  <si>
    <t>76°52'45.68" W</t>
  </si>
  <si>
    <t>1°10'33.23" N, 76°52'45.68" W</t>
  </si>
  <si>
    <t>1.1758972</t>
  </si>
  <si>
    <t>-76.8793556</t>
  </si>
  <si>
    <t>1.1758972,-76.8793556</t>
  </si>
  <si>
    <t>San Francisco</t>
  </si>
  <si>
    <t>margen derecha a la salida de San Francisco</t>
  </si>
  <si>
    <t>S. Espinal &amp; J.  E. Ramos 3580</t>
  </si>
  <si>
    <t>COL 000336051</t>
  </si>
  <si>
    <t>Cauca, Paniquitá</t>
  </si>
  <si>
    <t xml:space="preserve">N 02° 31' 45" </t>
  </si>
  <si>
    <t>02° 31' 45" N</t>
  </si>
  <si>
    <t xml:space="preserve">W 76° 28' 7" </t>
  </si>
  <si>
    <t>76° 28' 7" W</t>
  </si>
  <si>
    <t>02° 31' 45" N, 76° 28' 7" W</t>
  </si>
  <si>
    <t>2.5291667</t>
  </si>
  <si>
    <t>-76.4686111</t>
  </si>
  <si>
    <t>2.5291667,-76.4686111</t>
  </si>
  <si>
    <t>Paniquitá</t>
  </si>
  <si>
    <t>CUVC 4145</t>
  </si>
  <si>
    <t>Atehortúa L. et al., 407</t>
  </si>
  <si>
    <t>HUA 5169</t>
  </si>
  <si>
    <t>Colombia, Antioquia, Rionegro, Santa Elena, Sajonia, quebrada El Yarumo.</t>
  </si>
  <si>
    <t>En la vereda Yarumal de Rionegro, hay un sector llamado Sajonia por donde pasa la quebrada Yarumal</t>
  </si>
  <si>
    <t>HUA5169</t>
  </si>
  <si>
    <t>Rionegro</t>
  </si>
  <si>
    <t>Santa Elena, Sajonia, quebrada El Yarumo.</t>
  </si>
  <si>
    <t>R. Callejas et al., 368</t>
  </si>
  <si>
    <t>HUA 5263</t>
  </si>
  <si>
    <t>Antioquia, Río Negro (Santa Elena), Sajonia</t>
  </si>
  <si>
    <t>N 06°09'18"</t>
  </si>
  <si>
    <t>06°09'18" N</t>
  </si>
  <si>
    <t>75°23'20" W</t>
  </si>
  <si>
    <t>06°09'18" N, 75°23'20" W</t>
  </si>
  <si>
    <t>6.155</t>
  </si>
  <si>
    <t>-75.3888889</t>
  </si>
  <si>
    <t>6.155,-75.3888889</t>
  </si>
  <si>
    <t>Epífito</t>
  </si>
  <si>
    <t>Sc: Scandent</t>
  </si>
  <si>
    <t>Río Negro (Santa Elena)</t>
  </si>
  <si>
    <t>Sajonia</t>
  </si>
  <si>
    <t>Atehórtua L. et al., 403</t>
  </si>
  <si>
    <t>HUA 5241</t>
  </si>
  <si>
    <t>L. Atehorthúa et al., 408</t>
  </si>
  <si>
    <t>Antioquia, Río Negro (Santa Elena), Sajonia (Quebrada el Yarumo)</t>
  </si>
  <si>
    <t>Hem: hemiepiphytic</t>
  </si>
  <si>
    <t>Marqué el punto donde la quebrada alcanzaba la elevación reportada</t>
  </si>
  <si>
    <t>Sajonia (Quebrada el Yarumo)</t>
  </si>
  <si>
    <t>V. Perez 6-p</t>
  </si>
  <si>
    <t>HUA 15379</t>
  </si>
  <si>
    <t>Caldas, Pácora, quebrada San Antonio, al NE de la población</t>
  </si>
  <si>
    <t>1700-1800</t>
  </si>
  <si>
    <t>N 05°31'33.38"</t>
  </si>
  <si>
    <t>05°31'33.38" N</t>
  </si>
  <si>
    <t>W 75°27'33.24"</t>
  </si>
  <si>
    <t>75°27'33.24" W</t>
  </si>
  <si>
    <t>05°31'33.38" N, 75°27'33.24" W</t>
  </si>
  <si>
    <t>5.5259389</t>
  </si>
  <si>
    <t>-75.4592333</t>
  </si>
  <si>
    <t>5.5259389,-75.4592333</t>
  </si>
  <si>
    <t>Pácora</t>
  </si>
  <si>
    <t>quebrada San Antonio, al NE de la población</t>
  </si>
  <si>
    <t>Pérez V. 06</t>
  </si>
  <si>
    <t>Colombia, Caldas, Pácora. Quebrada San Antonio al NE de la Población.</t>
  </si>
  <si>
    <t>N 01º53'36,18"</t>
  </si>
  <si>
    <t>W 76º17'14,17"</t>
  </si>
  <si>
    <t>Las coordenadas originales no se ubicaban en la quebrada San Antonio. Marqué la incertidumbre desde el punto hasta las coordenadas originales</t>
  </si>
  <si>
    <t>Pácora. Quebrada San Antonio al NE de la Población.</t>
  </si>
  <si>
    <t>Torres J.H. et al., 2147-A</t>
  </si>
  <si>
    <t>COL 259502</t>
  </si>
  <si>
    <t>J. H. Torres, O. Rangel, P. Franco, A. Cleef &amp; S. Salamanca 2147a</t>
  </si>
  <si>
    <t>Risaralda, Santuario, vereda los Planes</t>
  </si>
  <si>
    <t>N 05°04'20.87"</t>
  </si>
  <si>
    <t>05°04'20.87" N</t>
  </si>
  <si>
    <t>W 75°57'44.45"</t>
  </si>
  <si>
    <t>75°57'44.45" W</t>
  </si>
  <si>
    <t>05°04'20.87" N, 75°57'44.45" W</t>
  </si>
  <si>
    <t>5.0724639</t>
  </si>
  <si>
    <t>-75.9623472</t>
  </si>
  <si>
    <t>5.0724639,-75.9623472</t>
  </si>
  <si>
    <t>vereda los Planes</t>
  </si>
  <si>
    <t>A. Juncosa &amp; G. Misas 1094</t>
  </si>
  <si>
    <t>JAUM 5583</t>
  </si>
  <si>
    <t>Antioquia, Medellin, Alto de Morrogil</t>
  </si>
  <si>
    <t>2200-2370</t>
  </si>
  <si>
    <t>06° 15' N</t>
  </si>
  <si>
    <t>75°32' W</t>
  </si>
  <si>
    <t>06° 15' N, 75°32' W</t>
  </si>
  <si>
    <t>6.25</t>
  </si>
  <si>
    <t>-75.5333333</t>
  </si>
  <si>
    <t>6.25,-75.5333333</t>
  </si>
  <si>
    <t>JAUM5583</t>
  </si>
  <si>
    <t>Medellin</t>
  </si>
  <si>
    <t>Alto de Morrogil</t>
  </si>
  <si>
    <t>Roldán F.J. et al., 68</t>
  </si>
  <si>
    <t>HUA 24086</t>
  </si>
  <si>
    <t>Colombia, Antioquia, Guarne, vereda Piedras Blancas, cerca de la represa.</t>
  </si>
  <si>
    <t>N 06°16'48.04"</t>
  </si>
  <si>
    <t>06°16'48.04" N</t>
  </si>
  <si>
    <t>W 75°26'33.84"</t>
  </si>
  <si>
    <t>75°26'33.84" W</t>
  </si>
  <si>
    <t>06°16'48.04" N, 75°26'33.84" W</t>
  </si>
  <si>
    <t>6.2800111</t>
  </si>
  <si>
    <t>-75.4427333</t>
  </si>
  <si>
    <t>6.2800111,-75.4427333</t>
  </si>
  <si>
    <t>Escogí la coordenada proveniente de un gacetero</t>
  </si>
  <si>
    <t>Guarne</t>
  </si>
  <si>
    <t>vereda Piedras Blancas, cerca de la represa.</t>
  </si>
  <si>
    <t>L. Albert de Escobar et al., 3977</t>
  </si>
  <si>
    <t>HUA 20930</t>
  </si>
  <si>
    <t>Antioquia, Caldas, Vereda la Corrala, Finca la Zarza</t>
  </si>
  <si>
    <t>N 06°05'24.00"</t>
  </si>
  <si>
    <t>06°05'24.00" N</t>
  </si>
  <si>
    <t>W 75°38'16.80"</t>
  </si>
  <si>
    <t>75°38'16.80" W</t>
  </si>
  <si>
    <t>06°05'24.00" N, 75°38'16.80" W</t>
  </si>
  <si>
    <t>6.09</t>
  </si>
  <si>
    <t>-75.638</t>
  </si>
  <si>
    <t>6.09,-75.638</t>
  </si>
  <si>
    <t>Vereda la Corrala, Finca la Zarza</t>
  </si>
  <si>
    <t>M. de Fraume et al., 102</t>
  </si>
  <si>
    <t>HUA 62071</t>
  </si>
  <si>
    <t>W 75°29'58.00"</t>
  </si>
  <si>
    <t>75°29'58.00" W</t>
  </si>
  <si>
    <t>05°03'28.00" N, 75°29'58.00" W</t>
  </si>
  <si>
    <t>FAUC 0237</t>
  </si>
  <si>
    <t>M. de Fraume et al., 110</t>
  </si>
  <si>
    <t>FAUC 262</t>
  </si>
  <si>
    <t>N 05°04'01.68"</t>
  </si>
  <si>
    <t>05°04'01.68" N</t>
  </si>
  <si>
    <t>W 75°31'05.84"</t>
  </si>
  <si>
    <t>75°31'05.84" W</t>
  </si>
  <si>
    <t>05°04'01.68" N, 75°31'05.84" W</t>
  </si>
  <si>
    <t>5.0671333</t>
  </si>
  <si>
    <t>-75.5182889</t>
  </si>
  <si>
    <t>5.0671333,-75.5182889</t>
  </si>
  <si>
    <t>HUA 57454</t>
  </si>
  <si>
    <t>FAUC 258</t>
  </si>
  <si>
    <t>L. Albert de Escobar 5466</t>
  </si>
  <si>
    <t>HUA 24936</t>
  </si>
  <si>
    <t>Marqué la incertidumbre desde el punto hasta el límite con la vereda contigua</t>
  </si>
  <si>
    <t>A. M. Ríos 16</t>
  </si>
  <si>
    <t>FAUC 15419</t>
  </si>
  <si>
    <t>Medí la incertidumbre desde este punto hasta donde marcaban las coordenadas originales.</t>
  </si>
  <si>
    <t>J.M. Guzman &amp; H. J. Rios 05</t>
  </si>
  <si>
    <t>FAUC 2314</t>
  </si>
  <si>
    <t>Caldas, Manizales-Chinchiná, La Siria</t>
  </si>
  <si>
    <t>N 04°59'08.74"</t>
  </si>
  <si>
    <t>04°59'08.74" N</t>
  </si>
  <si>
    <t>W 75°36'25.04"</t>
  </si>
  <si>
    <t>75°36'25.04" W</t>
  </si>
  <si>
    <t>04°59'08.74" N, 75°36'25.04" W</t>
  </si>
  <si>
    <t>4.9857611</t>
  </si>
  <si>
    <t>-75.6069556</t>
  </si>
  <si>
    <t>4.9857611,-75.6069556</t>
  </si>
  <si>
    <t>Cuando la localidad está en medio de 2 municipios, la incertidumbre se marca usando los centroides de estos?</t>
  </si>
  <si>
    <t>Manizales-Chinchiná</t>
  </si>
  <si>
    <t>La Siria</t>
  </si>
  <si>
    <t>A. L. Arbelaez et al., 54</t>
  </si>
  <si>
    <t>HUA 46150</t>
  </si>
  <si>
    <t>Antioquia, La Unión, vía entre la Union y San Miguel</t>
  </si>
  <si>
    <t>2340-2430</t>
  </si>
  <si>
    <t xml:space="preserve">5°56' N </t>
  </si>
  <si>
    <t>5°56' N</t>
  </si>
  <si>
    <t>75°17'W</t>
  </si>
  <si>
    <t>5°56' N, 75°17'W</t>
  </si>
  <si>
    <t>5.9333333</t>
  </si>
  <si>
    <t>-75.2833333</t>
  </si>
  <si>
    <t>5.9333333,-75.2833333</t>
  </si>
  <si>
    <t>MEDEL25776</t>
  </si>
  <si>
    <t>La Unión</t>
  </si>
  <si>
    <t>vía entre la Union y San Miguel</t>
  </si>
  <si>
    <t>R. Callejas et al., 3792</t>
  </si>
  <si>
    <t>HUA 42574</t>
  </si>
  <si>
    <t>Antioquia, Jardín, vía Río Sucio, 4-5 km de Jardín, Vereda Quebrada Bonita</t>
  </si>
  <si>
    <t>1800-1900</t>
  </si>
  <si>
    <t xml:space="preserve">5° 30'N </t>
  </si>
  <si>
    <t>5° 30'N</t>
  </si>
  <si>
    <t>75° 50' W</t>
  </si>
  <si>
    <t>5° 30'N, 75° 50' W</t>
  </si>
  <si>
    <t>5.5</t>
  </si>
  <si>
    <t>-75.8333333</t>
  </si>
  <si>
    <t>5.5,-75.8333333</t>
  </si>
  <si>
    <t>Jardín</t>
  </si>
  <si>
    <t>vía Río Sucio, 4-5 km de Jardín, Vereda Quebrada Bonita</t>
  </si>
  <si>
    <t>A. L. Arbelaez et al., 272</t>
  </si>
  <si>
    <t>HUA 44787</t>
  </si>
  <si>
    <t>Antioquia, Salgar, 12 km al Noreste del Municipio, cerca de Finca la Regada, costado izquierdo de La Quebrada Liboriana</t>
  </si>
  <si>
    <t>N 05°57'39.59"</t>
  </si>
  <si>
    <t>05°57'39.59" N</t>
  </si>
  <si>
    <t>W 75°58'28.65"</t>
  </si>
  <si>
    <t>75°58'28.65" W</t>
  </si>
  <si>
    <t>05°57'39.59" N, 75°58'28.65" W</t>
  </si>
  <si>
    <t>5.9609972</t>
  </si>
  <si>
    <t>-75.974625</t>
  </si>
  <si>
    <t>5.9609972,-75.974625</t>
  </si>
  <si>
    <t>Salgar</t>
  </si>
  <si>
    <t>12 km al Noreste del Municipio, cerca de Finca la Regada, costado izquierdo de La Quebrada Liboriana</t>
  </si>
  <si>
    <t>O. de Benavides 9170</t>
  </si>
  <si>
    <t>PSO 20641</t>
  </si>
  <si>
    <t>Nariño, Ricaurte, vía San Isidro-La Planada.</t>
  </si>
  <si>
    <t>1°10'</t>
  </si>
  <si>
    <t>77°58'</t>
  </si>
  <si>
    <t>77°58' W</t>
  </si>
  <si>
    <t>1°10', 77°58' W</t>
  </si>
  <si>
    <t>1.1666667</t>
  </si>
  <si>
    <t>-77.9666667</t>
  </si>
  <si>
    <t>1.1666667,-77.9666667</t>
  </si>
  <si>
    <t>Ricaurte</t>
  </si>
  <si>
    <t>vía San Isidro-La Planada.</t>
  </si>
  <si>
    <t>O. de Benavides 9186</t>
  </si>
  <si>
    <t>PSO 20656</t>
  </si>
  <si>
    <t>O. de Benavides 9702</t>
  </si>
  <si>
    <t>PSO 20970</t>
  </si>
  <si>
    <t>Nariño, reserva La Planada, Quebradas, El Mar-La Calladita.</t>
  </si>
  <si>
    <t>reserva La Planada</t>
  </si>
  <si>
    <t>Quebradas, El Mar-La Calladita.</t>
  </si>
  <si>
    <t>O. de Benavides 9612</t>
  </si>
  <si>
    <t>PSO 20881</t>
  </si>
  <si>
    <t>Colombia, Nariño, reserva La Planada, Quebradas: EL Mar-La Calladita.</t>
  </si>
  <si>
    <t>N 01°10'</t>
  </si>
  <si>
    <t>01°10' N</t>
  </si>
  <si>
    <t>W 77°58'</t>
  </si>
  <si>
    <t>01°10' N, 77°58' W</t>
  </si>
  <si>
    <t>Quebradas: EL Mar-La Calladita.</t>
  </si>
  <si>
    <t>C.A. Agudelo &amp; M. C. Velez 302</t>
  </si>
  <si>
    <t>HUQ 5338</t>
  </si>
  <si>
    <t>Risaralda, Pereira, 2 km de la Finca la Suiza, vía Salento</t>
  </si>
  <si>
    <t>N 04°48'51.40"</t>
  </si>
  <si>
    <t>04°48'51.40" N</t>
  </si>
  <si>
    <t>W 75°41'40.41"</t>
  </si>
  <si>
    <t>75°41'40.41" W</t>
  </si>
  <si>
    <t>04°48'51.40" N, 75°41'40.41" W</t>
  </si>
  <si>
    <t>4.8142778</t>
  </si>
  <si>
    <t>-75.6945583</t>
  </si>
  <si>
    <t>4.8142778,-75.6945583</t>
  </si>
  <si>
    <t>HUQ5343</t>
  </si>
  <si>
    <t>2 km de la Finca la Suiza, vía Salento</t>
  </si>
  <si>
    <t>T. B. Croat 71389</t>
  </si>
  <si>
    <t>PSO 23292</t>
  </si>
  <si>
    <t>Nariño, Reserva La Planada, 7 km arriba de Chucunés, vía potrero de Hermogenes</t>
  </si>
  <si>
    <t>1800-1850</t>
  </si>
  <si>
    <t>PSO23292</t>
  </si>
  <si>
    <t>Reserva La Planada</t>
  </si>
  <si>
    <t>7 km arriba de Chucunés, vía potrero de Hermogenes</t>
  </si>
  <si>
    <t>F. Llanos &amp; J. Camacho 1797</t>
  </si>
  <si>
    <t>COL 427154</t>
  </si>
  <si>
    <t>Colombia, Huila, Colombia, Inspección de Santa Ana, vereda San Emilio, camino hacia la vereda Nueva Granada.</t>
  </si>
  <si>
    <t>COL427154</t>
  </si>
  <si>
    <t>Inspección de Santa Ana, vereda San Emilio, camino hacia la vereda Nueva Granada.</t>
  </si>
  <si>
    <t>S. Churchill &amp; W. Rengifo M. 17317</t>
  </si>
  <si>
    <t>HUA 75661</t>
  </si>
  <si>
    <t>Cauca, Popayán, 8 km al Este de la Ciudad</t>
  </si>
  <si>
    <t>2°26'N</t>
  </si>
  <si>
    <t>76°31' W</t>
  </si>
  <si>
    <t>2°26'N, 76°31' W</t>
  </si>
  <si>
    <t>2.4333333</t>
  </si>
  <si>
    <t>-76.5166667</t>
  </si>
  <si>
    <t>2.4333333,-76.5166667</t>
  </si>
  <si>
    <t>Popayán</t>
  </si>
  <si>
    <t>8 km al Este de la Ciudad</t>
  </si>
  <si>
    <t>Betancur J. et al., 3172</t>
  </si>
  <si>
    <t>COL 353006</t>
  </si>
  <si>
    <t>Colombia, Risaralda, Mistrató, corregimiento de Jeguadas, Cordillera Occidental, vertiente occidental.</t>
  </si>
  <si>
    <t>N 05°26'</t>
  </si>
  <si>
    <t>05°26' N</t>
  </si>
  <si>
    <t>W 76°02'</t>
  </si>
  <si>
    <t>76°02' W</t>
  </si>
  <si>
    <t>05°26' N, 76°02' W</t>
  </si>
  <si>
    <t>5.4333333</t>
  </si>
  <si>
    <t>-76.0333333</t>
  </si>
  <si>
    <t>5.4333333,-76.0333333</t>
  </si>
  <si>
    <t>Mistrató</t>
  </si>
  <si>
    <t>corregimiento de Jeguadas, Cordillera Occidental, vertiente occidental.</t>
  </si>
  <si>
    <t>A. Gomez et al., 612</t>
  </si>
  <si>
    <t>HUA 82495</t>
  </si>
  <si>
    <t>Antioquia, Yarumal/Valdivia, vereda El Cedro, sector alto de Ventanas</t>
  </si>
  <si>
    <t>1800-2300</t>
  </si>
  <si>
    <t>07° 05' N</t>
  </si>
  <si>
    <t>75°32'W</t>
  </si>
  <si>
    <t>07° 05' N, 75°32'W</t>
  </si>
  <si>
    <t>7.0833333</t>
  </si>
  <si>
    <t>7.0833333,-75.5333333</t>
  </si>
  <si>
    <t>Rup: Rupiculous</t>
  </si>
  <si>
    <t>HUA82495</t>
  </si>
  <si>
    <t>Yarumal/Valdivia</t>
  </si>
  <si>
    <t>vereda El Cedro, sector alto de Ventanas</t>
  </si>
  <si>
    <t>F. Llanos &amp; W. Botache 2461</t>
  </si>
  <si>
    <t>COL 468077</t>
  </si>
  <si>
    <t>Huila, Rivera, vereda Honda Alta, Quebrada la Honda.</t>
  </si>
  <si>
    <t>N 02°46'50.37"</t>
  </si>
  <si>
    <t>02°46'50.37" N</t>
  </si>
  <si>
    <t>W 75°15'23.96"</t>
  </si>
  <si>
    <t>75°15'23.96" W</t>
  </si>
  <si>
    <t>02°46'50.37" N, 75°15'23.96" W</t>
  </si>
  <si>
    <t>2.7806583</t>
  </si>
  <si>
    <t>-75.2566556</t>
  </si>
  <si>
    <t>2.7806583,-75.2566556</t>
  </si>
  <si>
    <t>Rivera</t>
  </si>
  <si>
    <t>vereda Honda Alta, Quebrada la Honda.</t>
  </si>
  <si>
    <t>F. Llanos &amp; W. Botache 2500</t>
  </si>
  <si>
    <t>COL 453558</t>
  </si>
  <si>
    <t>Colombia, Huila, Rivera, vereda Honda Alta, Quebrada la Honda.</t>
  </si>
  <si>
    <t>COL453558</t>
  </si>
  <si>
    <t>R. Fonnegra et al., 5287</t>
  </si>
  <si>
    <t>COL 419337</t>
  </si>
  <si>
    <t>Colombia, Antioquia, entre Medellin y Guarne, Parque Piedras Blancas, Sector las Lajas.</t>
  </si>
  <si>
    <t>6° 18'N</t>
  </si>
  <si>
    <t>75° 29' W</t>
  </si>
  <si>
    <t>6° 18'N, 75° 29' W</t>
  </si>
  <si>
    <t>6.3</t>
  </si>
  <si>
    <t>-75.4833333</t>
  </si>
  <si>
    <t>6.3,-75.4833333</t>
  </si>
  <si>
    <t>Escogí la coordenada proveniente de un gacetero. El parque Piedras blancas está entre Guarne y Copacabana</t>
  </si>
  <si>
    <t>entre Medellin y Guarne</t>
  </si>
  <si>
    <t>Parque Piedras Blancas, Sector las Lajas.</t>
  </si>
  <si>
    <t>R. Fonnegra et al., 5317</t>
  </si>
  <si>
    <t>HUA 99583 HUA 95314</t>
  </si>
  <si>
    <t>Antioquia, entre Medellin y Guarne, Parque Piedras Blancas, Sector las Lajas</t>
  </si>
  <si>
    <t xml:space="preserve">6° 18'N </t>
  </si>
  <si>
    <t>Parque Piedras Blancas, Sector las Lajas</t>
  </si>
  <si>
    <t>B. R. Ramirez-P. et al., 7131</t>
  </si>
  <si>
    <t>CUAP 2917</t>
  </si>
  <si>
    <t>Cauca, Popayán, Km 2,5 vía a Totoró, Río Blanco.</t>
  </si>
  <si>
    <t>N 02°27'</t>
  </si>
  <si>
    <t>02°27' N</t>
  </si>
  <si>
    <t>W 76°37'</t>
  </si>
  <si>
    <t>76°37' W</t>
  </si>
  <si>
    <t>02°27' N, 76°37' W</t>
  </si>
  <si>
    <t>2.45</t>
  </si>
  <si>
    <t>-76.6166667</t>
  </si>
  <si>
    <t>2.45,-76.6166667</t>
  </si>
  <si>
    <t>Km 2, 5 vía a Totoró, Río Blanco.</t>
  </si>
  <si>
    <t>PSO 31006</t>
  </si>
  <si>
    <t>Cauca, Popayán</t>
  </si>
  <si>
    <t>N 02°26'</t>
  </si>
  <si>
    <t>02°26' N</t>
  </si>
  <si>
    <t>02°26' N, 76°37' W</t>
  </si>
  <si>
    <t>2.4333333,-76.6166667</t>
  </si>
  <si>
    <t>Ramírez-P. B.R. 7131</t>
  </si>
  <si>
    <t>Colombia, Cauca, Popayán, a 2,5 km vía a Totoró, Río Blanco.</t>
  </si>
  <si>
    <t>N 02°30'14.14"</t>
  </si>
  <si>
    <t>02°30'14.14" N</t>
  </si>
  <si>
    <t>W 76°23'28.42"</t>
  </si>
  <si>
    <t>76°23'28.42" W</t>
  </si>
  <si>
    <t>02°30'14.14" N, 76°23'28.42" W</t>
  </si>
  <si>
    <t>2.5039278</t>
  </si>
  <si>
    <t>-76.3912278</t>
  </si>
  <si>
    <t>2.5039278,-76.3912278</t>
  </si>
  <si>
    <t>a 2, 5 km vía a Totoró, Río Blanco.</t>
  </si>
  <si>
    <t>D. Macias et al., 378</t>
  </si>
  <si>
    <t>HUA 19518</t>
  </si>
  <si>
    <t>Quindio, Salento, Vereda Cocora, Finca El Cairo</t>
  </si>
  <si>
    <t>N 04°40'</t>
  </si>
  <si>
    <t>04°40' N</t>
  </si>
  <si>
    <t>W 75°30'</t>
  </si>
  <si>
    <t>04°40' N, 75°30' W</t>
  </si>
  <si>
    <t>4.6666667</t>
  </si>
  <si>
    <t>4.6666667,-75.5</t>
  </si>
  <si>
    <t>Salento</t>
  </si>
  <si>
    <t>Vereda Cocora, Finca El Cairo</t>
  </si>
  <si>
    <t>F. Cardona &amp; F. Alzate 565</t>
  </si>
  <si>
    <t>HUA 111887</t>
  </si>
  <si>
    <t>Antioquia, Medellin, Santa Elena, Sector Piedras Blancas</t>
  </si>
  <si>
    <t xml:space="preserve">6° 17'N </t>
  </si>
  <si>
    <t>6° 17'N</t>
  </si>
  <si>
    <t>6° 17'N, 75°32' W</t>
  </si>
  <si>
    <t>6.2833333</t>
  </si>
  <si>
    <t>6.2833333,-75.5333333</t>
  </si>
  <si>
    <t>Las coordenadas son casi igual a las anteriores. Uso el mismo punto o marco el punto de las originales?</t>
  </si>
  <si>
    <t>Santa Elena, Sector Piedras Blancas</t>
  </si>
  <si>
    <t>B. R. Ramirez-P. &amp; S. L. Díaz 12219</t>
  </si>
  <si>
    <t>PSO 36454</t>
  </si>
  <si>
    <t>Cauca, Popayán, Hacienda la Pradera</t>
  </si>
  <si>
    <t>Hacienda la Pradera</t>
  </si>
  <si>
    <t>B. R. Ramirez-P. &amp; S. L. Diaz 12219</t>
  </si>
  <si>
    <t>CAUP 14298</t>
  </si>
  <si>
    <t>Cauca, Popayán, Hacienda la Pradera, W de Popayán</t>
  </si>
  <si>
    <t>Hacienda la Pradera, W de Popayán</t>
  </si>
  <si>
    <t>W. Vargas 7419</t>
  </si>
  <si>
    <t>HUA 137976</t>
  </si>
  <si>
    <t>Risaralda, Pereira, Otun Quimbaya</t>
  </si>
  <si>
    <t>N 04°45'53.86"</t>
  </si>
  <si>
    <t>04°45'53.86" N</t>
  </si>
  <si>
    <t>W 75°37'15.23"</t>
  </si>
  <si>
    <t>75°37'15.23" W</t>
  </si>
  <si>
    <t>04°45'53.86" N, 75°37'15.23" W</t>
  </si>
  <si>
    <t>4.7649611</t>
  </si>
  <si>
    <t>-75.6208972</t>
  </si>
  <si>
    <t>4.7649611,-75.6208972</t>
  </si>
  <si>
    <t>Otun Quimbaya</t>
  </si>
  <si>
    <t>W. Rodriguez 3125</t>
  </si>
  <si>
    <t>JAUM  37479-37481-37480</t>
  </si>
  <si>
    <t>Antioquia, Medellin, Santa Elena, Vereda Piedras Blancas, Quebrada el Chorrillo, cerca de desembocadura al Embalse Piedras Blancas</t>
  </si>
  <si>
    <t xml:space="preserve">06°17'39.2" N </t>
  </si>
  <si>
    <t>06°17'39.2" N</t>
  </si>
  <si>
    <t>75° 30'39.5"W</t>
  </si>
  <si>
    <t>06°17'39.2" N, 75° 30'39.5"W</t>
  </si>
  <si>
    <t>6.2942222</t>
  </si>
  <si>
    <t>-75.5109722</t>
  </si>
  <si>
    <t>6.2942222,-75.5109722</t>
  </si>
  <si>
    <t>He ó Hr</t>
  </si>
  <si>
    <t>Bastaba con las coordenadas o era necesario marcar el punto?</t>
  </si>
  <si>
    <t>Santa Elena, Vereda Piedras Blancas, Quebrada el Chorrillo, cerca de desembocadura al Embalse Piedras Blancas</t>
  </si>
  <si>
    <t>W.D. Rodriguez 3125</t>
  </si>
  <si>
    <t>HAU 131973</t>
  </si>
  <si>
    <t>Antioquia, Medellín, Corregimiento de Santa Elena, Vereda Piedras Blancas, Quebrada Chorrillo, Cerca de desembocadura al Embalse Piedras Blancas</t>
  </si>
  <si>
    <t xml:space="preserve">6°17'39.2" N </t>
  </si>
  <si>
    <t>6°17'39.2" N</t>
  </si>
  <si>
    <t>75°30'39.5" W</t>
  </si>
  <si>
    <t>6°17'39.2" N, 75°30'39.5" W</t>
  </si>
  <si>
    <t>Medellín</t>
  </si>
  <si>
    <t>Corregimiento de Santa Elena, Vereda Piedras Blancas, Quebrada Chorrillo, Cerca de desembocadura al Embalse Piedras Blancas</t>
  </si>
  <si>
    <t>C. Feuillet et al., 79</t>
  </si>
  <si>
    <t>CAUP 11242</t>
  </si>
  <si>
    <t>Cauca, Popayán, Riberas del Río Palace, vía Popayán-Totoró</t>
  </si>
  <si>
    <t>Riberas del Río Palace, vía Popayán-Totoró</t>
  </si>
  <si>
    <t>D. Sanín 1714</t>
  </si>
  <si>
    <t>FAUC 2959</t>
  </si>
  <si>
    <t>Caldas, Manizales, Jardín Botanico de la Universidad de Caldas</t>
  </si>
  <si>
    <t>Jardín Botanico de la Universidad de Caldas</t>
  </si>
  <si>
    <t>A. Nieto &amp; T. A. Medina 467</t>
  </si>
  <si>
    <t>TOLI 7790</t>
  </si>
  <si>
    <t>Tolima, Ibagué, Arriba de Juntas, loma de la quebrada las Perlas</t>
  </si>
  <si>
    <t>04° 33' 4.8"N</t>
  </si>
  <si>
    <t>75°19'31.2"W</t>
  </si>
  <si>
    <t>04° 33' 4.8"N, 75°19'31.2"W</t>
  </si>
  <si>
    <t>4.5513333</t>
  </si>
  <si>
    <t>-75.3253333</t>
  </si>
  <si>
    <t>4.5513333,-75.3253333</t>
  </si>
  <si>
    <t>Ibagué</t>
  </si>
  <si>
    <t>Arriba de Juntas, loma de la quebrada las Perlas</t>
  </si>
  <si>
    <t>W. Rodriguez et al., 3560</t>
  </si>
  <si>
    <t>COL 484023</t>
  </si>
  <si>
    <t>Antioquia, Santa Rosa de Osos, Vereda La Quebradona, limite con Belmira</t>
  </si>
  <si>
    <t xml:space="preserve">05°41'59.9"N </t>
  </si>
  <si>
    <t>05°41'59.9"N</t>
  </si>
  <si>
    <t>75° 36'09.5" W</t>
  </si>
  <si>
    <t>05°41'59.9"N, 75° 36'09.5" W</t>
  </si>
  <si>
    <t>5.6999722</t>
  </si>
  <si>
    <t>-75.6026389</t>
  </si>
  <si>
    <t>5.6999722,-75.6026389</t>
  </si>
  <si>
    <t>COL484023</t>
  </si>
  <si>
    <t>Santa Rosa de Osos</t>
  </si>
  <si>
    <t>Vereda La Quebradona, limite con Belmira</t>
  </si>
  <si>
    <t>JAUM 38630-38629</t>
  </si>
  <si>
    <t>Rodriguez E. et al., 3650</t>
  </si>
  <si>
    <t>JAUM 38631</t>
  </si>
  <si>
    <t>Colombia, Antioquia, Liborina, vereda Barrio Nuevo, margen izquierdo de la Quebrada La Honda, nacimientos.</t>
  </si>
  <si>
    <t>N 06°46'22"</t>
  </si>
  <si>
    <t>06°46'22" N</t>
  </si>
  <si>
    <t>W 75°47'31.3"</t>
  </si>
  <si>
    <t>75°47'31.3" W</t>
  </si>
  <si>
    <t>06°46'22" N, 75°47'31.3" W</t>
  </si>
  <si>
    <t>6.7727778</t>
  </si>
  <si>
    <t>-75.7920278</t>
  </si>
  <si>
    <t>6.7727778,-75.7920278</t>
  </si>
  <si>
    <t>he</t>
  </si>
  <si>
    <t>Liborina</t>
  </si>
  <si>
    <t>vereda Barrio Nuevo, margen izquierdo de la Quebrada La Honda, nacimientos.</t>
  </si>
  <si>
    <t>W. Rodriguez et al., 3693</t>
  </si>
  <si>
    <t>COL 483937</t>
  </si>
  <si>
    <t>Antioquia, Sopetran, Correimiento de Horizontes, parte alta del Acueducto cerca del Alto de La Virgen</t>
  </si>
  <si>
    <t>06° 34'50.9" N</t>
  </si>
  <si>
    <t>75°41'41.0"W</t>
  </si>
  <si>
    <t>06° 34'50.9" N, 75°41'41.0"W</t>
  </si>
  <si>
    <t>6.5808056</t>
  </si>
  <si>
    <t>-75.6947222</t>
  </si>
  <si>
    <t>6.5808056,-75.6947222</t>
  </si>
  <si>
    <t>2285970.477 N, 4702119.004 W</t>
  </si>
  <si>
    <t>Conventions</t>
  </si>
  <si>
    <t>Hr: Terrestrial</t>
  </si>
  <si>
    <t>COL483937</t>
  </si>
  <si>
    <t>Sopetran</t>
  </si>
  <si>
    <t>Correimiento de Horizontes, parte alta del Acueducto cerca del Alto de La Virgen</t>
  </si>
  <si>
    <t>HUA 137471-137470</t>
  </si>
  <si>
    <t>Antioquia, Sopetrán, Corregimiento Horizontes, parte alta de la Bocatoma, cerca al alto La Virgen</t>
  </si>
  <si>
    <t xml:space="preserve">06°37'09.3" N </t>
  </si>
  <si>
    <t>06°37'09.3" N</t>
  </si>
  <si>
    <t>75°42'41.1" W</t>
  </si>
  <si>
    <t>06°37'09.3" N, 75°42'41.1" W</t>
  </si>
  <si>
    <t>6.61925</t>
  </si>
  <si>
    <t>-75.7114167</t>
  </si>
  <si>
    <t>6.61925,-75.7114167</t>
  </si>
  <si>
    <t>Sopetrán</t>
  </si>
  <si>
    <t>Corregimiento Horizontes, parte alta de la Bocatoma, cerca al alto La Virgen</t>
  </si>
  <si>
    <t>D. Sanín 1736</t>
  </si>
  <si>
    <t>FAUC 3454</t>
  </si>
  <si>
    <t>Caldas, Manizales, Ecoparque los Yarumos</t>
  </si>
  <si>
    <t>Ecoparque los Yarumos</t>
  </si>
  <si>
    <t>J.A. Aguilar 339</t>
  </si>
  <si>
    <t>CAUP 14999</t>
  </si>
  <si>
    <t>Cauca, Bolivar, asenso al Cerro de Lerma, vereda Buenos Aires</t>
  </si>
  <si>
    <t>1600-1800</t>
  </si>
  <si>
    <t>1°58'55.5"N</t>
  </si>
  <si>
    <t>76°55'24"W</t>
  </si>
  <si>
    <t>1°58'55.5"N, 76°55'24"W</t>
  </si>
  <si>
    <t>1.9820833</t>
  </si>
  <si>
    <t>-76.9233333</t>
  </si>
  <si>
    <t>1.9820833,-76.9233333</t>
  </si>
  <si>
    <t>Bolivar</t>
  </si>
  <si>
    <t>asenso al Cerro de Lerma, vereda Buenos Aires</t>
  </si>
  <si>
    <t>Duque C. Sn</t>
  </si>
  <si>
    <t>FAUC 4772</t>
  </si>
  <si>
    <t>Colombia, Tolima, Murillo, Finca Villa Helena, Jacinto Panchá.</t>
  </si>
  <si>
    <t>N04°54'11.202</t>
  </si>
  <si>
    <t>4°54'11.202 N</t>
  </si>
  <si>
    <t>w 75°10'38.47"</t>
  </si>
  <si>
    <t>75°10'38.47" W</t>
  </si>
  <si>
    <t>4°54'11.202 N, 75°10'38.47" W</t>
  </si>
  <si>
    <t>4.9031117</t>
  </si>
  <si>
    <t>-75.1773528</t>
  </si>
  <si>
    <t>4.9031117,-75.1773528</t>
  </si>
  <si>
    <t>Murillo</t>
  </si>
  <si>
    <t>Finca Villa Helena, Jacinto Panchá.</t>
  </si>
  <si>
    <t>J.A. Aguilar 391</t>
  </si>
  <si>
    <t>CAUP 15029</t>
  </si>
  <si>
    <t>Cauca, Bolivar, Corregimieno del Carmen, alrededores,</t>
  </si>
  <si>
    <t>2300-2400</t>
  </si>
  <si>
    <t>1°49'28"N</t>
  </si>
  <si>
    <t>76°53' W</t>
  </si>
  <si>
    <t>1°49'28"N, 76°53' W</t>
  </si>
  <si>
    <t>1.8244444</t>
  </si>
  <si>
    <t>-76.8833333</t>
  </si>
  <si>
    <t>1.8244444,-76.8833333</t>
  </si>
  <si>
    <t xml:space="preserve">Corregimieno del Carmen, alrededores, </t>
  </si>
  <si>
    <t>H. David &amp; A. Giraldo 727</t>
  </si>
  <si>
    <t>HUA 153038</t>
  </si>
  <si>
    <t>Antioquia, Medellin, Santa Elena, Reserva Montevivo</t>
  </si>
  <si>
    <t xml:space="preserve">06°12'48" N </t>
  </si>
  <si>
    <t>06°12'48" N</t>
  </si>
  <si>
    <t>75°29'32.2" W</t>
  </si>
  <si>
    <t>06°12'48" N, 75°29'32.2" W</t>
  </si>
  <si>
    <t>6.2133333</t>
  </si>
  <si>
    <t>-75.4922778</t>
  </si>
  <si>
    <t>6.2133333,-75.4922778</t>
  </si>
  <si>
    <t>Marqué la incertidumbre desde el punto hasta un punto en Santa Elena que tuviera la elevación reportada</t>
  </si>
  <si>
    <t>La reserva no tiene área sobre los 2500 msnm. Dónde se ubica el punto?</t>
  </si>
  <si>
    <t>Santa Elena, Reserva Montevivo</t>
  </si>
  <si>
    <t>A. N. Castaño-R. 581</t>
  </si>
  <si>
    <t>FAUC (XXXX)</t>
  </si>
  <si>
    <t>Caldas, Villamaría, Hacienda el Parnaso</t>
  </si>
  <si>
    <t>4°58'14"N</t>
  </si>
  <si>
    <t>75°50'32.4" W</t>
  </si>
  <si>
    <t>4°58'14"N, 75°50'32.4" W</t>
  </si>
  <si>
    <t>4.9705556</t>
  </si>
  <si>
    <t>-75.8423333</t>
  </si>
  <si>
    <t>4.9705556,-75.8423333</t>
  </si>
  <si>
    <t>FAUC00308</t>
  </si>
  <si>
    <t>Villamaría</t>
  </si>
  <si>
    <t>Hacienda el Parnaso</t>
  </si>
  <si>
    <t>D. Sanín 1643</t>
  </si>
  <si>
    <t>FAUC xxX</t>
  </si>
  <si>
    <t>Colombia, Caldas, Manizales, Neira, Alto del Guamo, Hacienda San Juan.</t>
  </si>
  <si>
    <t>N 05°09'58.2"</t>
  </si>
  <si>
    <t>05°09'58.2" N</t>
  </si>
  <si>
    <t>W 75°24'7"</t>
  </si>
  <si>
    <t>75°24'7" W</t>
  </si>
  <si>
    <t>05°09'58.2" N, 75°24'7" W</t>
  </si>
  <si>
    <t>5.1661667</t>
  </si>
  <si>
    <t>-75.4019444</t>
  </si>
  <si>
    <t>5.1661667,-75.4019444</t>
  </si>
  <si>
    <t>El alto del guamo queda en Manizales y la Hacienda San Juan queda en Neira</t>
  </si>
  <si>
    <t>Neira, Alto del Guamo, Hacienda San Juan.</t>
  </si>
  <si>
    <t>D. M. Munar 711</t>
  </si>
  <si>
    <t>CAUP 16390</t>
  </si>
  <si>
    <t>Cauca, Santa Rosa, Bota Caucana, corregimiento San Juan de Villalobos, vereda la Esmeralda.</t>
  </si>
  <si>
    <t>01° 33.247' N</t>
  </si>
  <si>
    <t>76° 17.672 W</t>
  </si>
  <si>
    <t>01° 33.247' N, 76° 17.672 W</t>
  </si>
  <si>
    <t>Santa Rosa</t>
  </si>
  <si>
    <t>Bota Caucana, corregimiento San Juan de Villalobos, vereda la Esmeralda.</t>
  </si>
  <si>
    <t>J. M. Duque Quintero 14</t>
  </si>
  <si>
    <t>FAUC 10683</t>
  </si>
  <si>
    <t>Risaralda, Pereira, Santuario Otún Quimbaya</t>
  </si>
  <si>
    <t>Santuario Otún Quimbaya</t>
  </si>
  <si>
    <t>J. M. Duque Quintero 18</t>
  </si>
  <si>
    <t>FAUC 10652</t>
  </si>
  <si>
    <t>W. Rodriguez et al., 4835</t>
  </si>
  <si>
    <t>HUA 153784</t>
  </si>
  <si>
    <t>Antioquia, Fredonia, Vereda Erbe, Microcuenca La Chaparrala</t>
  </si>
  <si>
    <t>2150-2250</t>
  </si>
  <si>
    <t xml:space="preserve">05° 59'01.0"N </t>
  </si>
  <si>
    <t>05° 59'01.0"N</t>
  </si>
  <si>
    <t>75° 38'28.3" W</t>
  </si>
  <si>
    <t>05° 59'01.0"N, 75° 38'28.3" W</t>
  </si>
  <si>
    <t>5.9836111</t>
  </si>
  <si>
    <t>-75.6411944</t>
  </si>
  <si>
    <t>5.9836111,-75.6411944</t>
  </si>
  <si>
    <t>Marqué el punto sobre el área de la Quebrada La Chaparrala que pasa por Fredonia. Y la incertidumbre la marqué desde este punto hasta donde marcaban las coordenadas originales.</t>
  </si>
  <si>
    <t>Fredonia</t>
  </si>
  <si>
    <t>Vereda Erbe, Microcuenca La Chaparrala</t>
  </si>
  <si>
    <t>D. M. Munar 1336</t>
  </si>
  <si>
    <t>CAUP 16571</t>
  </si>
  <si>
    <t>Cauca, Santa Rosa, Bota Caucana, Corregimiento de San Juan de Villalobos, Vereda la Esmeralda.</t>
  </si>
  <si>
    <t xml:space="preserve">01° 33'18.7" N </t>
  </si>
  <si>
    <t>01° 33'18.7" N</t>
  </si>
  <si>
    <t>76° 18'18.6"W</t>
  </si>
  <si>
    <t>01° 33'18.7" N, 76° 18'18.6"W</t>
  </si>
  <si>
    <t>1.5551944</t>
  </si>
  <si>
    <t>-76.3051667</t>
  </si>
  <si>
    <t>1.5551944,-76.3051667</t>
  </si>
  <si>
    <t>Bota Caucana, Corregimiento de San Juan de Villalobos, Vereda la Esmeralda.</t>
  </si>
  <si>
    <t>W. Rodriguez et al., 4907</t>
  </si>
  <si>
    <t>HUA 153789</t>
  </si>
  <si>
    <t>Antioquia, Jardín, Vereda Quebrada Bonita, Sector Bocatoma, Quebrada la Mendoza</t>
  </si>
  <si>
    <t>2110-2150</t>
  </si>
  <si>
    <t xml:space="preserve">05°35'04.3" N </t>
  </si>
  <si>
    <t>05°35'04.3" N</t>
  </si>
  <si>
    <t>75°46'36.1"W</t>
  </si>
  <si>
    <t>05°35'04.3" N, 75°46'36.1"W</t>
  </si>
  <si>
    <t>5.5845278</t>
  </si>
  <si>
    <t>-75.7766944</t>
  </si>
  <si>
    <t>5.5845278,-75.7766944</t>
  </si>
  <si>
    <t>Vereda Quebrada Bonita, Sector Bocatoma, Quebrada la Mendoza</t>
  </si>
  <si>
    <t>D. Sanín 2806</t>
  </si>
  <si>
    <t>FAUC XXX</t>
  </si>
  <si>
    <t>Caldas, Riosucio, vereda El Claren, corregimiento de Bonafon, Finca El Mirador.</t>
  </si>
  <si>
    <t>Marqué el punto cerca del casco urbano de Bonafont</t>
  </si>
  <si>
    <t>D_Sanín2806</t>
  </si>
  <si>
    <t>Riosucio</t>
  </si>
  <si>
    <t>vereda El Claren, corregimiento de Bonafon, Finca El Mirador.</t>
  </si>
  <si>
    <t>Sanín D. et al., 2794</t>
  </si>
  <si>
    <t>Colombia, Caldas, Manizales, vía Neira, Relleno Saniterios La Esmeralda, zona a la derecha de la Quebrada para conservación.</t>
  </si>
  <si>
    <t>N 05°05'17.2"</t>
  </si>
  <si>
    <t>05°05'17.2" N</t>
  </si>
  <si>
    <t>W 75°30'30.5"</t>
  </si>
  <si>
    <t>75°30'30.5" W</t>
  </si>
  <si>
    <t>05°05'17.2" N, 75°30'30.5" W</t>
  </si>
  <si>
    <t>5.0881111</t>
  </si>
  <si>
    <t>-75.5084722</t>
  </si>
  <si>
    <t>5.0881111,-75.5084722</t>
  </si>
  <si>
    <t>vía Neira, Relleno Saniterios La Esmeralda, zona a la derecha de la Quebrada para conservación.</t>
  </si>
  <si>
    <t>D. Sanín et al., 2774</t>
  </si>
  <si>
    <t>Caldas, Manizales, vía a Neira, cerca del Relleno Sanitario La Esmeralda, zona de relictos aledaños a quebradas.</t>
  </si>
  <si>
    <t>N 05°05'4.5"</t>
  </si>
  <si>
    <t>05°05'4.5" N</t>
  </si>
  <si>
    <t>75°30'30.3" W</t>
  </si>
  <si>
    <t>05°05'4.5" N, 75°30'30.3" W</t>
  </si>
  <si>
    <t>5.0845833</t>
  </si>
  <si>
    <t>-75.5084167</t>
  </si>
  <si>
    <t>5.0845833,-75.5084167</t>
  </si>
  <si>
    <t>vía a Neira, cerca del Relleno Sanitario La Esmeralda, zona de relictos aledaños a quebradas.</t>
  </si>
  <si>
    <t>D. Sanín et al., 2417</t>
  </si>
  <si>
    <t>Caldas, Neira, vereda La Cristalina, vía Marulanda, al margen de la vía.</t>
  </si>
  <si>
    <t>N 5°10'59"</t>
  </si>
  <si>
    <t>5°10'59" N</t>
  </si>
  <si>
    <t>W 75°27''28.8"</t>
  </si>
  <si>
    <t>75°27''28.8" W</t>
  </si>
  <si>
    <t>5°10'59" N, 75°27''28.8" W</t>
  </si>
  <si>
    <t>5.1830556</t>
  </si>
  <si>
    <t>-75.458</t>
  </si>
  <si>
    <t>5.1830556,-75.458</t>
  </si>
  <si>
    <t>vereda La Cristalina, vía Marulanda, al margen de la vía.</t>
  </si>
  <si>
    <t>D. Sanín et al., 3061</t>
  </si>
  <si>
    <t>Colombia, Quindio, Filandia, vereda Cruces, Corredor Biologico Los Monos-Sendero el Otobo.</t>
  </si>
  <si>
    <t>04°41'620"</t>
  </si>
  <si>
    <t>75°37'214"</t>
  </si>
  <si>
    <t>75°37'214" W</t>
  </si>
  <si>
    <t>04°41'620", 75°37'214" W</t>
  </si>
  <si>
    <t>vereda Cruces, Corredor Biologico Los Monos-Sendero el Otobo.</t>
  </si>
  <si>
    <t>Sanín D. et al., 3306</t>
  </si>
  <si>
    <t>Colombia, Caldas, Manizales, Villamaria, vereda Montaño, finca San Antonio, relicto al nor-oriente de la casa.</t>
  </si>
  <si>
    <t>2526</t>
  </si>
  <si>
    <t>4° 59' 5.57''</t>
  </si>
  <si>
    <t>75° 27' 4.10'' W</t>
  </si>
  <si>
    <t>4° 59' 5.57'', 75° 27' 4.10'' W</t>
  </si>
  <si>
    <t>Villamaria, vereda Montaño, finca San Antonio, relicto al nor-oriente de la casa.</t>
  </si>
  <si>
    <t>B. R. Ramirez-P. &amp; M. S. González 9106</t>
  </si>
  <si>
    <t>PSO 33145</t>
  </si>
  <si>
    <t>Colombia, Nariño, Ricaurte, Resguardo Indígena Gualcalá, alrededores de Santa Fé.</t>
  </si>
  <si>
    <t>1°19'N</t>
  </si>
  <si>
    <t>77°55'W</t>
  </si>
  <si>
    <t>1°19'N, 77°55'W</t>
  </si>
  <si>
    <t>1.3166667</t>
  </si>
  <si>
    <t>-77.9166667</t>
  </si>
  <si>
    <t>1.3166667,-77.9166667</t>
  </si>
  <si>
    <t>Resguardo Indígena Gualcalá, alrededores de Santa Fé.</t>
  </si>
  <si>
    <t>D. Sanín et al., 3306</t>
  </si>
  <si>
    <t>Colombia, Caldas, Manizales-Villamaria, vereda Montaño, finca San Antonio, relicto al nor-oriente de la casa.</t>
  </si>
  <si>
    <t>04°59'5.57" N</t>
  </si>
  <si>
    <t>75°27'4.10" W</t>
  </si>
  <si>
    <t>04°59'5.57" N, 75°27'4.10" W</t>
  </si>
  <si>
    <t>Manizales-Villamaria</t>
  </si>
  <si>
    <t>vereda Montaño, finca San Antonio, relicto al nor-oriente de la casa.</t>
  </si>
  <si>
    <t>D. Sanín et al., 3316</t>
  </si>
  <si>
    <t>Alvarez Mejia L.M. 1336</t>
  </si>
  <si>
    <t>FAUC 296</t>
  </si>
  <si>
    <t xml:space="preserve">Caldas, Pensilvania, vereda El Dorado, </t>
  </si>
  <si>
    <t>N 05°23'09.23"</t>
  </si>
  <si>
    <t>05°23'09.23" N</t>
  </si>
  <si>
    <t>W 75°09'39.31"</t>
  </si>
  <si>
    <t>75°09'39.31" W</t>
  </si>
  <si>
    <t>05°23'09.23" N, 75°09'39.31" W</t>
  </si>
  <si>
    <t>5.3858972</t>
  </si>
  <si>
    <t>-75.1609194</t>
  </si>
  <si>
    <t>5.3858972,-75.1609194</t>
  </si>
  <si>
    <t>Las coordenadas originales marcan el punto en la vereda contigua. Marqué el punto en el centroide de la vereda, y la incertidumbre hasta el límite de la vereda pero la elevación asciende a 3261</t>
  </si>
  <si>
    <t>Pensilvania</t>
  </si>
  <si>
    <t xml:space="preserve">vereda El Dorado, </t>
  </si>
  <si>
    <t>D. Sanín et al., 3080</t>
  </si>
  <si>
    <t>D. Sanín et al., 3065</t>
  </si>
  <si>
    <t>D. Sanín et al., 3076</t>
  </si>
  <si>
    <t>Arbelaez-S. G. et al., 352</t>
  </si>
  <si>
    <t>HUQ 4043</t>
  </si>
  <si>
    <t xml:space="preserve">Colombia, Quindio, Salento, ribera del Río Barbas. </t>
  </si>
  <si>
    <t>ribera del Río Barbas.</t>
  </si>
  <si>
    <t>D. Sanín et al., 3089</t>
  </si>
  <si>
    <t>Colombia, Quindio, Salento, vereda Boquía, sector La Patasola, flanco sur-oriental del río Boquía, frente al departamento del Quíndio y atrás del santuario Orún Quinbaya.</t>
  </si>
  <si>
    <t>D_Sanín3089</t>
  </si>
  <si>
    <t>vereda Boquía, sector La Patasola, flanco sur-oriental del río Boquía, frente al departamento del Quíndio y atrás del santuario Orún Quinbaya.</t>
  </si>
  <si>
    <t>C.A. Agudelo &amp; M. C. Velez 307</t>
  </si>
  <si>
    <t>HUQ 5343</t>
  </si>
  <si>
    <t>Risaralda, Pereira, 2 km arriva de la Finca La Suiza, camino a Salento.</t>
  </si>
  <si>
    <t>2 km arriva de la Finca La Suiza, camino a Salento.</t>
  </si>
  <si>
    <t>D. Sanín 2157</t>
  </si>
  <si>
    <t>Colombia, Risaralda, San Jose de Risaralda, vereda Chavarquia.</t>
  </si>
  <si>
    <t>05°10'31.6"</t>
  </si>
  <si>
    <t>75°45'49.8"W</t>
  </si>
  <si>
    <t>05°10'31.6", 75°45'49.8"W</t>
  </si>
  <si>
    <t>5.1754444</t>
  </si>
  <si>
    <t>-75.7638333</t>
  </si>
  <si>
    <t>5.1754444,-75.7638333</t>
  </si>
  <si>
    <t>D_Sanín2804</t>
  </si>
  <si>
    <t>San Jose de Risaralda</t>
  </si>
  <si>
    <t>vereda Chavarquia.</t>
  </si>
  <si>
    <t>S. antioquianum</t>
  </si>
  <si>
    <t>Serpocaulon antioquianum</t>
  </si>
  <si>
    <t>Fonnegra R. et al., 374</t>
  </si>
  <si>
    <t>HUA 4183</t>
  </si>
  <si>
    <t>Colombia, Antioquia, Anorí, corregimiento de Providencia, valle del río Anorí, entre Dos Bocas y Anorí, zona transicional entre bosque húmedo y muy húmedo tropical montañoso.</t>
  </si>
  <si>
    <t>400-900</t>
  </si>
  <si>
    <t>N 07°04'35.18"</t>
  </si>
  <si>
    <t>07°04'35.18" N</t>
  </si>
  <si>
    <t>W 75°09'23.54"</t>
  </si>
  <si>
    <t>75°09'23.54" W</t>
  </si>
  <si>
    <t>07°04'35.18" N, 75°09'23.54" W</t>
  </si>
  <si>
    <t>7.0764389</t>
  </si>
  <si>
    <t>-75.1565389</t>
  </si>
  <si>
    <t>7.0764389,-75.1565389</t>
  </si>
  <si>
    <t>4982,527</t>
  </si>
  <si>
    <t>Ubiqué el punto en la Vereda Providencia</t>
  </si>
  <si>
    <t>Anorí</t>
  </si>
  <si>
    <t>corregimiento de Providencia, valle del río Anorí, entre Dos Bocas y Anorí, zona transicional entre bosque húmedo y muy húmedo tropical montañoso.</t>
  </si>
  <si>
    <t>Albert de Escobar L. 3332</t>
  </si>
  <si>
    <t>HUA 18360</t>
  </si>
  <si>
    <t>Colombia, Antioquia, San Luis, autopista Medellín-Bogotá, este del puente sobre el Río Samaná.</t>
  </si>
  <si>
    <t>N 06°28'36.85"</t>
  </si>
  <si>
    <t>06°28'36.85" N</t>
  </si>
  <si>
    <t>W 74°25'09.60"</t>
  </si>
  <si>
    <t>74°25'09.60" W</t>
  </si>
  <si>
    <t>06°28'36.85" N, 74°25'09.60" W</t>
  </si>
  <si>
    <t>6.4769028</t>
  </si>
  <si>
    <t>-74.4193333</t>
  </si>
  <si>
    <t>6.4769028,-74.4193333</t>
  </si>
  <si>
    <t>HUA18360</t>
  </si>
  <si>
    <t>San Luis</t>
  </si>
  <si>
    <t>autopista Medellín-Bogotá, este del puente sobre el Río Samaná.</t>
  </si>
  <si>
    <t>Hoyos S &amp; J. Hernandez 629</t>
  </si>
  <si>
    <t>JAUM 12924</t>
  </si>
  <si>
    <t>Colombia, Antioquia, San Luis, autopista Medellín-Bogotá, vereda Josefina, Camino del Caño la Mariola, hacia Santa Bárbara.</t>
  </si>
  <si>
    <t>N 06°03'</t>
  </si>
  <si>
    <t>06°03' N</t>
  </si>
  <si>
    <t>W 75°00'</t>
  </si>
  <si>
    <t>75°00' W</t>
  </si>
  <si>
    <t>06°03' N, 75°00' W</t>
  </si>
  <si>
    <t>6.05</t>
  </si>
  <si>
    <t>75</t>
  </si>
  <si>
    <t>6.05,75</t>
  </si>
  <si>
    <t>autopista Medellín-Bogotá, vereda Josefina, Camino del Caño la Mariola, hacia Santa Bárbara.</t>
  </si>
  <si>
    <t>Hoyos S &amp; J. Hernandez 816</t>
  </si>
  <si>
    <t>JAUM 42618</t>
  </si>
  <si>
    <t>-75</t>
  </si>
  <si>
    <t>6.05,-75</t>
  </si>
  <si>
    <t>Rodríguez W. 4318</t>
  </si>
  <si>
    <t>COL 000048779</t>
  </si>
  <si>
    <t>Colombia, Antioquia, Anorí, vereda San Antonio, quebrada que abastece de agua la finca de don Pedro.</t>
  </si>
  <si>
    <t>N 07°15'58.6"</t>
  </si>
  <si>
    <t>07°15'58.6" N</t>
  </si>
  <si>
    <t>W 75°04'27"</t>
  </si>
  <si>
    <t>75°04'27" W</t>
  </si>
  <si>
    <t>07°15'58.6" N, 75°04'27" W</t>
  </si>
  <si>
    <t>7.2662778</t>
  </si>
  <si>
    <t>-75.0741667</t>
  </si>
  <si>
    <t>7.2662778,-75.0741667</t>
  </si>
  <si>
    <t>vereda San Antonio, quebrada que abastece de agua la finca de don Pedro.</t>
  </si>
  <si>
    <t>Rodríguez W. et al., 4475</t>
  </si>
  <si>
    <t>COL 000048913</t>
  </si>
  <si>
    <t>Colombia, Antioquia, Anorí, región Providencia, sector Ajibes-La Tirana, desembocadura de la Quebrada Buenos Aires al río Anorí.</t>
  </si>
  <si>
    <t>N 07°17'36.5"</t>
  </si>
  <si>
    <t>07°17'36.5" N</t>
  </si>
  <si>
    <t>W 75°04'02.9"</t>
  </si>
  <si>
    <t>75°04'02.9" W</t>
  </si>
  <si>
    <t>07°17'36.5" N, 75°04'02.9" W</t>
  </si>
  <si>
    <t>7.2934722</t>
  </si>
  <si>
    <t>-75.0674722</t>
  </si>
  <si>
    <t>7.2934722,-75.0674722</t>
  </si>
  <si>
    <t>región Providencia, sector Ajibes-La Tirana, desembocadura de la Quebrada Buenos Aires al río Anorí.</t>
  </si>
  <si>
    <t>COL 000048914</t>
  </si>
  <si>
    <t>Rodríguez W. et al., 4507</t>
  </si>
  <si>
    <t>MEDEL 47752</t>
  </si>
  <si>
    <t>Colombia, Antioquia, Anorí, vereda Madre Seca, quebrada Espíritu Santo.</t>
  </si>
  <si>
    <t>N 07°15'12.6"</t>
  </si>
  <si>
    <t>07°15'12.6" N</t>
  </si>
  <si>
    <t>W 75°02'35.8"</t>
  </si>
  <si>
    <t>75°02'35.8" W</t>
  </si>
  <si>
    <t>07°15'12.6" N, 75°02'35.8" W</t>
  </si>
  <si>
    <t>7.2535</t>
  </si>
  <si>
    <t>-75.0432778</t>
  </si>
  <si>
    <t>7.2535,-75.0432778</t>
  </si>
  <si>
    <t>vereda Madre Seca, quebrada Espíritu Santo.</t>
  </si>
  <si>
    <t>MEDEL 47751</t>
  </si>
  <si>
    <t>1079,169</t>
  </si>
  <si>
    <t>Rodríguez W. et al., 4526</t>
  </si>
  <si>
    <t>HUA 142068</t>
  </si>
  <si>
    <t>Colombia, Antioquia, Anorí, vereda Madre Seca, quebrada Pilones, sector Juanico.</t>
  </si>
  <si>
    <t>N 07°17'00.2"</t>
  </si>
  <si>
    <t>07°17'00.2" N</t>
  </si>
  <si>
    <t>W 75°03'</t>
  </si>
  <si>
    <t>75°03' W</t>
  </si>
  <si>
    <t>07°17'00.2" N, 75°03' W</t>
  </si>
  <si>
    <t>7.2833889</t>
  </si>
  <si>
    <t>-75.05</t>
  </si>
  <si>
    <t>7.2833889,-75.05</t>
  </si>
  <si>
    <t>vereda Madre Seca, quebrada Pilones, sector Juanico.</t>
  </si>
  <si>
    <t xml:space="preserve">Sanín D. et al., 1954 </t>
  </si>
  <si>
    <t>FAUC XXXX</t>
  </si>
  <si>
    <t>Colombia, Antioquia, San Luis, Río Claro, reserva Río Claro, por el sendero turístico.</t>
  </si>
  <si>
    <t>N 05°53'50.2"</t>
  </si>
  <si>
    <t>05°53'50.2" N</t>
  </si>
  <si>
    <t>W 74°51'34.5"</t>
  </si>
  <si>
    <t>74°51'34.5" W</t>
  </si>
  <si>
    <t>05°53'50.2" N, 74°51'34.5" W</t>
  </si>
  <si>
    <t>5.8972778</t>
  </si>
  <si>
    <t>-74.8595833</t>
  </si>
  <si>
    <t>5.8972778,-74.8595833</t>
  </si>
  <si>
    <t>La Reserva Natural Río Claro está ubicada en San Francisco</t>
  </si>
  <si>
    <t xml:space="preserve">D_Sanín1954 </t>
  </si>
  <si>
    <t>Río Claro, reserva Río Claro, por el sendero turístico.</t>
  </si>
  <si>
    <t>S. articulatum (C.Presl) Schwartsb &amp; A. R. Sm.</t>
  </si>
  <si>
    <t>Serpocaulon articulatum</t>
  </si>
  <si>
    <t>Little E.L &amp; R. R. Little 9622</t>
  </si>
  <si>
    <t>COL 000335829</t>
  </si>
  <si>
    <t>Colombia, Caqueta, Solano, 8 km SE, of Tres Esquinas on Río Caquetá below mouth of Río Orteguaza.</t>
  </si>
  <si>
    <t>COL000335829</t>
  </si>
  <si>
    <t>Caqueta</t>
  </si>
  <si>
    <t>Solano</t>
  </si>
  <si>
    <t>8 km SE, of Tres Esquinas on Río Caquetá below mouth of Río Orteguaza.</t>
  </si>
  <si>
    <t>Barkley F.A. &amp; G. Gutiérrez 1885</t>
  </si>
  <si>
    <t>MEDEL 29099</t>
  </si>
  <si>
    <t>Colombia, Magdalena, Sierra Nevada de Santa Marta, región del Campano.</t>
  </si>
  <si>
    <t>MEDEL29099</t>
  </si>
  <si>
    <t>Magdalena</t>
  </si>
  <si>
    <t>Sierra Nevada de Santa Marta</t>
  </si>
  <si>
    <t>región del Campano.</t>
  </si>
  <si>
    <t>COL 000335821</t>
  </si>
  <si>
    <t>Bischler H. 2049</t>
  </si>
  <si>
    <t>COL 000335812</t>
  </si>
  <si>
    <t>Colombia, Norte de Santander, Sarare, Gibraltar.</t>
  </si>
  <si>
    <t>700-900</t>
  </si>
  <si>
    <t>No encontré una localidad llamada Sarare en Gibraltar, así que ubiqué el punto en el centro de Gibraltar</t>
  </si>
  <si>
    <t>COL000335812</t>
  </si>
  <si>
    <t>Norte de Santander</t>
  </si>
  <si>
    <t>Sarare</t>
  </si>
  <si>
    <t>Gibraltar.</t>
  </si>
  <si>
    <t>Murillo M. T. 84</t>
  </si>
  <si>
    <t>COL 000335825</t>
  </si>
  <si>
    <t>Colombia, Cundinamarca, entre Albán y Sasaima, hacia Las Mercedes.</t>
  </si>
  <si>
    <t>COL000335825</t>
  </si>
  <si>
    <t>entre Albán y Sasaima</t>
  </si>
  <si>
    <t>hacia Las Mercedes.</t>
  </si>
  <si>
    <t>Forero E. et al., 4451</t>
  </si>
  <si>
    <t>COL 000336121</t>
  </si>
  <si>
    <t>Colombia, Chocó, Hoya del río San Juan, Quebrada La Serpiente, afluente del Río San Juan.</t>
  </si>
  <si>
    <t>N 04°10'</t>
  </si>
  <si>
    <t>04°10' N</t>
  </si>
  <si>
    <t>W 77°10'</t>
  </si>
  <si>
    <t>77°10' W</t>
  </si>
  <si>
    <t>04°10' N, 77°10' W</t>
  </si>
  <si>
    <t>COL 000336552</t>
  </si>
  <si>
    <t>Hoya del río San Juan</t>
  </si>
  <si>
    <t>Quebrada La Serpiente, afluente del Río San Juan.</t>
  </si>
  <si>
    <t>Osorio G. 161</t>
  </si>
  <si>
    <t>COL 248590</t>
  </si>
  <si>
    <t>Colombia, Huila, Acevedo, carretera entre San Marcos y San Adolfo.</t>
  </si>
  <si>
    <t>COL248590</t>
  </si>
  <si>
    <t>Acevedo</t>
  </si>
  <si>
    <t>carretera entre San Marcos y San Adolfo.</t>
  </si>
  <si>
    <t>Murillo M. T. &amp; M.A. Harker 2164</t>
  </si>
  <si>
    <t>COL 000335823</t>
  </si>
  <si>
    <t>Colombia, Meta, carretera Medina a San Pedro de Jagua, bosques sobre el río Gazuanta.</t>
  </si>
  <si>
    <t>COL000335823</t>
  </si>
  <si>
    <t>Meta</t>
  </si>
  <si>
    <t>carretera Medina a San Pedro de Jagua</t>
  </si>
  <si>
    <t>bosques sobre el río Gazuanta.</t>
  </si>
  <si>
    <t>Killip E. P. 34844</t>
  </si>
  <si>
    <t>COL 19136</t>
  </si>
  <si>
    <t>Colombia, Valle del Cauca, Río Dagua valley, dense forest along Río Engaña.</t>
  </si>
  <si>
    <t>410-560</t>
  </si>
  <si>
    <t>COL19136</t>
  </si>
  <si>
    <t>Río Dagua valley</t>
  </si>
  <si>
    <t>dense forest along Río Engaña.</t>
  </si>
  <si>
    <t>McPerson G. 12989</t>
  </si>
  <si>
    <t>HUA 59991</t>
  </si>
  <si>
    <t xml:space="preserve">Colombia, Antioquia, Frontino, area called Murrí, in western central part department, 20-28 km from Nutibara; forest at roadside </t>
  </si>
  <si>
    <t>1050-1350</t>
  </si>
  <si>
    <t>N 05°30'</t>
  </si>
  <si>
    <t>05°30' N</t>
  </si>
  <si>
    <t>W75°50'</t>
  </si>
  <si>
    <t>5°50' W</t>
  </si>
  <si>
    <t>05°30' N, 5°50' W</t>
  </si>
  <si>
    <t>HUA59991</t>
  </si>
  <si>
    <t>Frontino</t>
  </si>
  <si>
    <t>area called Murrí, in western central part department, 20-28 km from Nutibara; forest at roadside</t>
  </si>
  <si>
    <t>Muñoz E. &amp; D.L. Hurtado 2018</t>
  </si>
  <si>
    <t>CAUP 18858</t>
  </si>
  <si>
    <t>Colombia, Cauca, Piamonte, corregimiento de Nápoles, vereda La Florida, Serrania de los Churumbelos.</t>
  </si>
  <si>
    <t>CAUP18858</t>
  </si>
  <si>
    <t>Piamonte</t>
  </si>
  <si>
    <t>corregimiento de Nápoles, vereda La Florida, Serrania de los Churumbelos.</t>
  </si>
  <si>
    <t>Sanín D. et al., 2976</t>
  </si>
  <si>
    <t>Colombia, Chochó, San Jose del Palmar, vereda Damasco, Escuela Santa Lucia.</t>
  </si>
  <si>
    <t>N 4° 52' 9.38"</t>
  </si>
  <si>
    <t>4° 52' 9.38" N</t>
  </si>
  <si>
    <t>W 76°15'2.33"</t>
  </si>
  <si>
    <t>76°15'2.33" W</t>
  </si>
  <si>
    <t>4° 52' 9.38" N, 76°15'2.33" W</t>
  </si>
  <si>
    <t>4.8692722</t>
  </si>
  <si>
    <t>-76.2506472</t>
  </si>
  <si>
    <t>4.8692722,-76.2506472</t>
  </si>
  <si>
    <t>Chochó</t>
  </si>
  <si>
    <t>vereda Damasco, Escuela Santa Lucia.</t>
  </si>
  <si>
    <t>Lellinger D. &amp; E. De la Sota 176</t>
  </si>
  <si>
    <t>COL 133493</t>
  </si>
  <si>
    <t>Colombia, Chocó, río Mutatá, ca 3 km above its junction with the río El Valle, NW of Alto del Buey.</t>
  </si>
  <si>
    <t>COL133493</t>
  </si>
  <si>
    <t>río Mutatá</t>
  </si>
  <si>
    <t>ca 3 km above its junction with the río El Valle, NW of Alto del Buey.</t>
  </si>
  <si>
    <t>Callejas &amp; O. Marulanda 6016</t>
  </si>
  <si>
    <t>HUA 52460</t>
  </si>
  <si>
    <t>Colombia, Meta, Mesetas, vereda Gaviotas, vía Pto. Croebas-Gaviotas-Río Leiva (afl. Guayabero).</t>
  </si>
  <si>
    <t>La vereda Gaviotas se encuentra en el municipio Uribe</t>
  </si>
  <si>
    <t>HUA52460</t>
  </si>
  <si>
    <t>Mesetas</t>
  </si>
  <si>
    <t>vereda Gaviotas, vía Pto. Croebas-Gaviotas-Río Leiva (afl. Guayabero).</t>
  </si>
  <si>
    <t>S. attenuatum C.Presl.) A. R. Sm.</t>
  </si>
  <si>
    <t>Serpocaulon attenuatum</t>
  </si>
  <si>
    <t>Echeverry-E. R. 2037</t>
  </si>
  <si>
    <t>COL 000336616</t>
  </si>
  <si>
    <t>Colombia, Meta, Reserva Natural la Macarena, margen izquierdo del río Guayabero, 1er raudal.</t>
  </si>
  <si>
    <t>6268,176</t>
  </si>
  <si>
    <t>COL000336616</t>
  </si>
  <si>
    <t>Reserva Natural la Macarena</t>
  </si>
  <si>
    <t>margen izquierdo del río Guayabero, 1er raudal.</t>
  </si>
  <si>
    <t>TOLI 1866</t>
  </si>
  <si>
    <t xml:space="preserve">S. biauriculatum D. Sanín &amp; Testo, sp. nov. </t>
  </si>
  <si>
    <t>Serpocaulon biauriculatum</t>
  </si>
  <si>
    <t xml:space="preserve">J. Meza-Ortíz et al. 553 </t>
  </si>
  <si>
    <t>Paratype (UIS [!]).</t>
  </si>
  <si>
    <t>Colombia, Mun. El Carmen de Chucurí, vereda La Bodega, Sitio Plan de Las Mercedes, orilla de camino entre Quebrada San Guillerma y El Picacho, PNN Serranía de los Yariguíes.</t>
  </si>
  <si>
    <t>1800–1900</t>
  </si>
  <si>
    <t>6°41′13′′N</t>
  </si>
  <si>
    <t>73°26'13.9''W</t>
  </si>
  <si>
    <t>6°41′13′′N, 73°26'13.9''W</t>
  </si>
  <si>
    <t>6.6869444</t>
  </si>
  <si>
    <t>-73.4371944</t>
  </si>
  <si>
    <t>6.6869444,-73.4371944</t>
  </si>
  <si>
    <t>Mun. El Carmen de Chucurí</t>
  </si>
  <si>
    <t>vereda La Bodega</t>
  </si>
  <si>
    <t xml:space="preserve">Sitio Plan de Las Mercedes, orilla de camino entre Quebrada San Guillerma y El Picacho, PNN Serranía de los Yariguíes, , , m, , </t>
  </si>
  <si>
    <t>W. L. Testo  et al. 2908</t>
  </si>
  <si>
    <t>Paratypes</t>
  </si>
  <si>
    <t>Colombia, Santander, El Carmen de Chucurí, Parque Nacional Natural Serranía de los Yariguíes, vereda La Victoria, camino Palma de Ramo.</t>
  </si>
  <si>
    <t>6,5866, 73,5182</t>
  </si>
  <si>
    <t>COLOMBIA. Santander: Mun. El Carmen de Chucurí</t>
  </si>
  <si>
    <t>Parque Nacional Natural Serranía de los Yariguíes</t>
  </si>
  <si>
    <t>vereda La Victoria, camino Palma de Ramo.</t>
  </si>
  <si>
    <t>D. Sanín, A. Martínez &amp; L. Rincón 9368</t>
  </si>
  <si>
    <t xml:space="preserve">holotype: UIS </t>
  </si>
  <si>
    <t>Colombia, Santander, San Vicente de Chucurí, vereda Pamplona, sector San Calletano, Bosque Paraguay.</t>
  </si>
  <si>
    <t>6°44'18''N</t>
  </si>
  <si>
    <t xml:space="preserve">73°25'40.7''W </t>
  </si>
  <si>
    <t>73°25'40.7''W</t>
  </si>
  <si>
    <t>6°44′18′′N, 73°25'40.7''W</t>
  </si>
  <si>
    <t>6.7383333</t>
  </si>
  <si>
    <t>-73.4279722</t>
  </si>
  <si>
    <t>6.7383333,-73.4279722</t>
  </si>
  <si>
    <t>Colombia. Santander</t>
  </si>
  <si>
    <t>Mun. San Vicente de Chucurí</t>
  </si>
  <si>
    <t>vereda Pamplona, sector San Calletano, Bosque Paraguay.</t>
  </si>
  <si>
    <t>S. concolorum A.R.Sm. &amp; M. Kessler</t>
  </si>
  <si>
    <t>Serpocaulon concolorum</t>
  </si>
  <si>
    <t>Hagemann &amp; Leist 1898</t>
  </si>
  <si>
    <t>PSO 28225</t>
  </si>
  <si>
    <t>Colombia, Nariño, Ipiales, km 32 carretera La Victoria-Monopamba. Motilón.</t>
  </si>
  <si>
    <t>PSO11273</t>
  </si>
  <si>
    <t>Ipiales</t>
  </si>
  <si>
    <t>km 32 carretera La Victoria-Monopamba. Motilón.</t>
  </si>
  <si>
    <t>Silverstone-Sopkin P.A., N. Paz, R. T. Gonzalez, J.E. Ramos, L.H. Ramos &amp; A. Henao 4633</t>
  </si>
  <si>
    <t>CUVC 22511 UC</t>
  </si>
  <si>
    <t>Colombia, Chocó, San José del Palmar, Cerro Torrá, filo de cumbre, vegetación abierta con arbustos, hierbas, gramíneas, helechos, algunas palmas y arboles pequeños.</t>
  </si>
  <si>
    <t>2700-2800</t>
  </si>
  <si>
    <t>CUVC22511_UC</t>
  </si>
  <si>
    <t>San José del Palmar</t>
  </si>
  <si>
    <t>Cerro Torrá, filo de cumbre, vegetación abierta con arbustos, hierbas, gramíneas, helechos, algunas palmas y arboles pequeños.</t>
  </si>
  <si>
    <t>CHOCO08478 UC</t>
  </si>
  <si>
    <t>Herrera G. 9302</t>
  </si>
  <si>
    <t>PSO 40027 UC</t>
  </si>
  <si>
    <t>Colombia, Nariño, Reserva Natural La Planada, sendero entre El Hondon y Los Horquetas, Bosque primario.</t>
  </si>
  <si>
    <t>N 01°10'18"</t>
  </si>
  <si>
    <t>01°10'18" N</t>
  </si>
  <si>
    <t>W 78°00'09"</t>
  </si>
  <si>
    <t>78°00'09" W</t>
  </si>
  <si>
    <t>01°10'18" N, 78°00'09" W</t>
  </si>
  <si>
    <t>1.1716667</t>
  </si>
  <si>
    <t>-78.0025</t>
  </si>
  <si>
    <t>1.1716667,-78.0025</t>
  </si>
  <si>
    <t>Reserva Natural La Planada</t>
  </si>
  <si>
    <t>sendero entre El Hondon y Los Horquetas, Bosque primario.</t>
  </si>
  <si>
    <t>Herrera G. 9193</t>
  </si>
  <si>
    <t>S. dissimile (L.) A.R. Sm.</t>
  </si>
  <si>
    <t>Serpocaulon dissimile</t>
  </si>
  <si>
    <t>Hodge W.H. 6779</t>
  </si>
  <si>
    <t>MEDEL 2763</t>
  </si>
  <si>
    <t>Colombia, Antioquia, Medellín, cerca de Porcesito.</t>
  </si>
  <si>
    <t>COL70091</t>
  </si>
  <si>
    <t>cerca de Porcesito.</t>
  </si>
  <si>
    <t>W.H. Hodge 6779</t>
  </si>
  <si>
    <t>COL 70091</t>
  </si>
  <si>
    <t>Colombia, Antioquia, cerca de Porcesito, valle del Río Medellín.</t>
  </si>
  <si>
    <t>cerca de Porcesito</t>
  </si>
  <si>
    <t>valle del Río Medellín.</t>
  </si>
  <si>
    <t>D. Giraldo-Cañas 749</t>
  </si>
  <si>
    <t>HUA 79791</t>
  </si>
  <si>
    <t>Colombia, Antioquia, Cocorná, vereda La Piñuela, vía a San Francisco.</t>
  </si>
  <si>
    <t>N 06°02'</t>
  </si>
  <si>
    <t>06°02' N</t>
  </si>
  <si>
    <t>W 75°08'</t>
  </si>
  <si>
    <t>75°08' W</t>
  </si>
  <si>
    <t>06°02' N, 75°08' W</t>
  </si>
  <si>
    <t>6.0333333</t>
  </si>
  <si>
    <t>-75.1333333</t>
  </si>
  <si>
    <t>6.0333333,-75.1333333</t>
  </si>
  <si>
    <t>Cocorná</t>
  </si>
  <si>
    <t>vereda La Piñuela, vía a San Francisco.</t>
  </si>
  <si>
    <t>Sanín et al., 5162</t>
  </si>
  <si>
    <t>NY, Col</t>
  </si>
  <si>
    <t>Colombia, Antioquia, Frontino, Parque Nacional Natural Las Orquideas, vereda Venados Abajo, Finca de Gabriel Montoya, margen derecha del río Venados.</t>
  </si>
  <si>
    <t>860-910</t>
  </si>
  <si>
    <t>N 06°32'23.5"</t>
  </si>
  <si>
    <t>06°32'23.5" N</t>
  </si>
  <si>
    <t>W76°19'9.7"</t>
  </si>
  <si>
    <t>6°19'9.7" W</t>
  </si>
  <si>
    <t>06°32'23.5" N, 6°19'9.7" W</t>
  </si>
  <si>
    <t>6.5398611</t>
  </si>
  <si>
    <t>-6.3193611</t>
  </si>
  <si>
    <t>6.5398611,-6.3193611</t>
  </si>
  <si>
    <t>Sanín_5068</t>
  </si>
  <si>
    <t>Parque Nacional Natural Las Orquideas, vereda Venados Abajo, Finca de Gabriel Montoya, margen derecha del río Venados.</t>
  </si>
  <si>
    <t>Sanín et al., 5068</t>
  </si>
  <si>
    <t>Colombia, Antioquia, Frontino, Parque Nacional Natural Las Orquideas, vereda Venados Abajo, sector de Venados, sitio Arenales.</t>
  </si>
  <si>
    <t>950-1000</t>
  </si>
  <si>
    <t>N 06°32'25.2"</t>
  </si>
  <si>
    <t>06°32'25.2" N</t>
  </si>
  <si>
    <t>W76°18'38.7"</t>
  </si>
  <si>
    <t>6°18'38.7" W</t>
  </si>
  <si>
    <t>06°32'25.2" N, 6°18'38.7" W</t>
  </si>
  <si>
    <t>6.5403333</t>
  </si>
  <si>
    <t>-6.31075</t>
  </si>
  <si>
    <t>6.5403333,-6.31075</t>
  </si>
  <si>
    <t>Parque Nacional Natural Las Orquideas, vereda Venados Abajo, sector de Venados, sitio Arenales.</t>
  </si>
  <si>
    <t>C.E. Acosta-Arteaga 768</t>
  </si>
  <si>
    <t>COL 176719</t>
  </si>
  <si>
    <t>Colombia, Caldas, Samaná, adelante del puente La Linda, Río Samaná.</t>
  </si>
  <si>
    <t>N 05°34'30.42"</t>
  </si>
  <si>
    <t>05°34'30.42" N</t>
  </si>
  <si>
    <t>W 74°53'24.66"</t>
  </si>
  <si>
    <t>74°53'24.66" W</t>
  </si>
  <si>
    <t>05°34'30.42" N, 74°53'24.66" W</t>
  </si>
  <si>
    <t>5.5751167</t>
  </si>
  <si>
    <t>-74.8901833</t>
  </si>
  <si>
    <t>5.5751167,-74.8901833</t>
  </si>
  <si>
    <t>Samaná</t>
  </si>
  <si>
    <t>adelante del puente La Linda, Río Samaná.</t>
  </si>
  <si>
    <t>Sanín et al., 5656</t>
  </si>
  <si>
    <t>HUA XXX</t>
  </si>
  <si>
    <t>Colombia, Caldas, Chichiná, vereda La Esmeralda, bosques del Embalse San Francisco, en la vía a los tubos, por el campo de entrenamiento militar.</t>
  </si>
  <si>
    <t>N 05° 03'32"</t>
  </si>
  <si>
    <t>05° 03'32" N</t>
  </si>
  <si>
    <t>W 75° 44' 07.6"</t>
  </si>
  <si>
    <t>75° 44' 07.6" W</t>
  </si>
  <si>
    <t>05° 03'32" N, 75° 44' 07.6" W</t>
  </si>
  <si>
    <t>5.0588889</t>
  </si>
  <si>
    <t>-75.7354444</t>
  </si>
  <si>
    <t>5.0588889,-75.7354444</t>
  </si>
  <si>
    <t>Chichiná</t>
  </si>
  <si>
    <t>vereda La Esmeralda, bosques del Embalse San Francisco, en la vía a los tubos, por el campo de entrenamiento militar.</t>
  </si>
  <si>
    <t>C. González 501</t>
  </si>
  <si>
    <t>COL 434448</t>
  </si>
  <si>
    <t>Colombia, Cauca, Santa Rosa, Serrania de los Churumbelos, Bota Cuacana.</t>
  </si>
  <si>
    <t>N 1°13'59.32"</t>
  </si>
  <si>
    <t>1°13'59.32" N</t>
  </si>
  <si>
    <t>W 76°31'58.24"</t>
  </si>
  <si>
    <t>76°31'58.24" W</t>
  </si>
  <si>
    <t>1°13'59.32" N, 76°31'58.24" W</t>
  </si>
  <si>
    <t>1.2331444</t>
  </si>
  <si>
    <t>-76.5328444</t>
  </si>
  <si>
    <t>1.2331444,-76.5328444</t>
  </si>
  <si>
    <t>Serrania de los Churumbelos, Bota Cuacana.</t>
  </si>
  <si>
    <t>E.L. Muñoz et al., 1900</t>
  </si>
  <si>
    <t>CAUP 18744</t>
  </si>
  <si>
    <t>N 02°27'29.55"</t>
  </si>
  <si>
    <t>02°27'29.55" N</t>
  </si>
  <si>
    <t>W 76°48'31.18"</t>
  </si>
  <si>
    <t>76°48'31.18" W</t>
  </si>
  <si>
    <t>02°27'29.55" N, 76°48'31.18" W</t>
  </si>
  <si>
    <t>2.4582083</t>
  </si>
  <si>
    <t>-76.8086611</t>
  </si>
  <si>
    <t>2.4582083,-76.8086611</t>
  </si>
  <si>
    <t>Sanín D. et al., 2957</t>
  </si>
  <si>
    <t>FAUC xxxx</t>
  </si>
  <si>
    <t>Colombia, Chocó, San Jose del Palmar, vereda Damasco, Escuela Santa Lucia.</t>
  </si>
  <si>
    <t>N 04° 52' 9.38"</t>
  </si>
  <si>
    <t>04° 52' 9.38" N</t>
  </si>
  <si>
    <t>W 76° 15' 2.33"</t>
  </si>
  <si>
    <t>76° 15' 2.33" W</t>
  </si>
  <si>
    <t>04° 52' 9.38" N, 76° 15' 2.33" W</t>
  </si>
  <si>
    <t>Sanín et al., 2901</t>
  </si>
  <si>
    <t>W 76 15' 2.33"</t>
  </si>
  <si>
    <t>76 15' 2.33" W</t>
  </si>
  <si>
    <t>04° 52' 9.38" N, 76 15' 2.33" W</t>
  </si>
  <si>
    <t>Sanín D. et al., 2879</t>
  </si>
  <si>
    <t>Forero E &amp; R. Jaramillo 4428</t>
  </si>
  <si>
    <t>COL 000335845</t>
  </si>
  <si>
    <t>Colombia, Colombia, Chocó, Hoya del río San Juan.</t>
  </si>
  <si>
    <t>W 77° 10</t>
  </si>
  <si>
    <t>77° 10 W</t>
  </si>
  <si>
    <t>04°10' N, 77° 10 W</t>
  </si>
  <si>
    <t>4.1666667</t>
  </si>
  <si>
    <t>-77.1666667</t>
  </si>
  <si>
    <t>4.1666667,-77.1666667</t>
  </si>
  <si>
    <t>Hoya del río San Juan.</t>
  </si>
  <si>
    <t>Jaramillo Mejía R. &amp; T. van der Hammen 4791</t>
  </si>
  <si>
    <t>COL 000335848</t>
  </si>
  <si>
    <t>Colombia, Cundinamarca, carretera arriba de Sasaima, Hacienda La Isabela.</t>
  </si>
  <si>
    <t>COL000335794</t>
  </si>
  <si>
    <t>carretera arriba de Sasaima</t>
  </si>
  <si>
    <t>Hacienda La Isabela.</t>
  </si>
  <si>
    <t>Mejía F. 63</t>
  </si>
  <si>
    <t>COL 000335852</t>
  </si>
  <si>
    <t>Colombia, Cundinamarca, Sasaima, vereda Las Mercedes, granja Wisaca.</t>
  </si>
  <si>
    <t>COL000335852</t>
  </si>
  <si>
    <t>Sasaima</t>
  </si>
  <si>
    <t>vereda Las Mercedes, granja Wisaca.</t>
  </si>
  <si>
    <t>Mejía F. 64</t>
  </si>
  <si>
    <t>COL 000335851</t>
  </si>
  <si>
    <t>Fernandez-Alonso J.L. et al., 15965</t>
  </si>
  <si>
    <t>COL 000335853</t>
  </si>
  <si>
    <t>Colombia, Cundinamarca, Ubala B. Inspección de policia Manbita, campamento EMGESA.</t>
  </si>
  <si>
    <t>N 04°10'10"</t>
  </si>
  <si>
    <t>04°10'10" N</t>
  </si>
  <si>
    <t>W 73° 19'26"</t>
  </si>
  <si>
    <t>73° 19'26" W</t>
  </si>
  <si>
    <t>04°10'10" N, 73° 19'26" W</t>
  </si>
  <si>
    <t>4.1694444</t>
  </si>
  <si>
    <t>-73.3238889</t>
  </si>
  <si>
    <t>4.1694444,-73.3238889</t>
  </si>
  <si>
    <t>COL000335853</t>
  </si>
  <si>
    <t>Ubala B. Inspección de policia Manbita</t>
  </si>
  <si>
    <t>campamento EMGESA.</t>
  </si>
  <si>
    <t>G. Osorio 43</t>
  </si>
  <si>
    <t>COL 248480</t>
  </si>
  <si>
    <t>Colombia, Huila, Pitalito, vereda Mortiñal.</t>
  </si>
  <si>
    <t>N 01°51'22.65"</t>
  </si>
  <si>
    <t>01°51'22.65" N</t>
  </si>
  <si>
    <t>W 76°02'21.81"</t>
  </si>
  <si>
    <t>76°02'21.81" W</t>
  </si>
  <si>
    <t>01°51'22.65" N, 76°02'21.81" W</t>
  </si>
  <si>
    <t>1.8562917</t>
  </si>
  <si>
    <t>-76.0393917</t>
  </si>
  <si>
    <t>1.8562917,-76.0393917</t>
  </si>
  <si>
    <t>vereda Mortiñal.</t>
  </si>
  <si>
    <t>G. Osorio 159</t>
  </si>
  <si>
    <t>COL 248462</t>
  </si>
  <si>
    <t>Colombia, Huila, Acevedo, vía a San Adolfo, vereda San Marcos</t>
  </si>
  <si>
    <t>N 01°48'13.69"</t>
  </si>
  <si>
    <t>01°48'13.69" N</t>
  </si>
  <si>
    <t>W 75°53'22.93"</t>
  </si>
  <si>
    <t>75°53'22.93" W</t>
  </si>
  <si>
    <t>01°48'13.69" N, 75°53'22.93" W</t>
  </si>
  <si>
    <t>1.8038028</t>
  </si>
  <si>
    <t>-75.8897028</t>
  </si>
  <si>
    <t>1.8038028,-75.8897028</t>
  </si>
  <si>
    <t>vía a San Adolfo, vereda San Marcos</t>
  </si>
  <si>
    <t>F. Llanos &amp; J. Camacho 1846</t>
  </si>
  <si>
    <t>COL 342159</t>
  </si>
  <si>
    <t>Colombia, Huila, Colombia, Inspección Las Lajas, sitio Cara de Perro.</t>
  </si>
  <si>
    <t>N 03°22'37.20"</t>
  </si>
  <si>
    <t>03°22'37.20" N</t>
  </si>
  <si>
    <t>W 74°48'08.85"</t>
  </si>
  <si>
    <t>74°48'08.85" W</t>
  </si>
  <si>
    <t>03°22'37.20" N, 74°48'08.85" W</t>
  </si>
  <si>
    <t>3.377</t>
  </si>
  <si>
    <t>-74.8024583</t>
  </si>
  <si>
    <t>3.377,-74.8024583</t>
  </si>
  <si>
    <t>Inspección Las Lajas, sitio Cara de Perro.</t>
  </si>
  <si>
    <t>COL 401219</t>
  </si>
  <si>
    <t>T. Croat 71494</t>
  </si>
  <si>
    <t>PSO 23380</t>
  </si>
  <si>
    <t>Colombia, Nariño, Ricaurte, a un lado del río Imbi, a 2-3 km del campamento de Ecopetrol.</t>
  </si>
  <si>
    <t>N 01°08'</t>
  </si>
  <si>
    <t>01°08' N</t>
  </si>
  <si>
    <t>W 77°56'</t>
  </si>
  <si>
    <t>77°56' W</t>
  </si>
  <si>
    <t>01°08' N, 77°56' W</t>
  </si>
  <si>
    <t>1.1333333</t>
  </si>
  <si>
    <t>-77.9333333</t>
  </si>
  <si>
    <t>1.1333333,-77.9333333</t>
  </si>
  <si>
    <t>PSO23380</t>
  </si>
  <si>
    <t>a un lado del río Imbi, a 2-3 km del campamento de Ecopetrol.</t>
  </si>
  <si>
    <t>D. Sanín et al., 3086</t>
  </si>
  <si>
    <t>Colombia, Quindío, Salento, vereda Boquía, Sector la Pata Sola, flanco sur oriental del río Boquia, frente al depto del Quindio y detrás del Santuario Otun Quimbaya.</t>
  </si>
  <si>
    <t>N 04°41'6.20"</t>
  </si>
  <si>
    <t>04°41'6.20" N</t>
  </si>
  <si>
    <t>W 75°37'21.4"</t>
  </si>
  <si>
    <t>75°37'21.4" W</t>
  </si>
  <si>
    <t>04°41'6.20" N, 75°37'21.4" W</t>
  </si>
  <si>
    <t>Quindío</t>
  </si>
  <si>
    <t>vereda Boquía, Sector la Pata Sola, flanco sur oriental del río Boquia, frente al depto del Quindio y detrás del Santuario Otun Quimbaya.</t>
  </si>
  <si>
    <t>Hagemmann W. 481</t>
  </si>
  <si>
    <t>COL 000336038</t>
  </si>
  <si>
    <t>Colombia, Valle del Cauca, Río Reposo, La Altegre.</t>
  </si>
  <si>
    <t>El nombre correcto es río Raposo</t>
  </si>
  <si>
    <t>COL000336038</t>
  </si>
  <si>
    <t>Río Reposo</t>
  </si>
  <si>
    <t>La Altegre.</t>
  </si>
  <si>
    <t>S. eleutherophebium (Fée) A.R.Sm.</t>
  </si>
  <si>
    <t>Serpocaulon eleutherophlebium</t>
  </si>
  <si>
    <t>Londoño R. et al., 188</t>
  </si>
  <si>
    <t>MEDEL 25982</t>
  </si>
  <si>
    <t>Colombia, Antioquia, Urrao, páramo de Frontino, el río.</t>
  </si>
  <si>
    <t>Urrao</t>
  </si>
  <si>
    <t>páramo de Frontino, el río.</t>
  </si>
  <si>
    <t>Pérez Z. J. A. &amp; N. Parra 1499</t>
  </si>
  <si>
    <t>MEDEL 42182</t>
  </si>
  <si>
    <t>Colombia, Antioquia, Urrao, Páramo de Frontino.</t>
  </si>
  <si>
    <t>N 06° 30'</t>
  </si>
  <si>
    <t>06° 30' N</t>
  </si>
  <si>
    <t>W 76° 7'</t>
  </si>
  <si>
    <t>76° 7' W</t>
  </si>
  <si>
    <t>06° 30' N, 76° 7' W</t>
  </si>
  <si>
    <t>6.5</t>
  </si>
  <si>
    <t>-76.1166667</t>
  </si>
  <si>
    <t>6.5,-76.1166667</t>
  </si>
  <si>
    <t>Páramo de Frontino.</t>
  </si>
  <si>
    <t>Rodriguez W. et al., 3339</t>
  </si>
  <si>
    <t>HUA 137402</t>
  </si>
  <si>
    <t>Colombia, Antioquia, Belmira, alrededores de la ciénaga El Morro.</t>
  </si>
  <si>
    <t>N 06°41'09.1"</t>
  </si>
  <si>
    <t>06°41'09.1" N</t>
  </si>
  <si>
    <t>W 75°40'29.6"</t>
  </si>
  <si>
    <t>75°40'29.6" W</t>
  </si>
  <si>
    <t>06°41'09.1" N, 75°40'29.6" W</t>
  </si>
  <si>
    <t>6.6858611</t>
  </si>
  <si>
    <t>-75.6748889</t>
  </si>
  <si>
    <t>6.6858611,-75.6748889</t>
  </si>
  <si>
    <t>Belmira</t>
  </si>
  <si>
    <t>alrededores de la ciénaga El Morro.</t>
  </si>
  <si>
    <t>COL 486813</t>
  </si>
  <si>
    <t>Ramirez P. B.R. 12608</t>
  </si>
  <si>
    <t>JAUM 38653</t>
  </si>
  <si>
    <t>Colombia, Antioquia, San Jose de La Montaña, vereda La Margarita, sector La Margarita, camino Alto El Cristo.</t>
  </si>
  <si>
    <t>N 06°46'18.3"</t>
  </si>
  <si>
    <t>06°46'18.3" N</t>
  </si>
  <si>
    <t>W 75°41'40.9"</t>
  </si>
  <si>
    <t>75°41'40.9" W</t>
  </si>
  <si>
    <t>06°46'18.3" N, 75°41'40.9" W</t>
  </si>
  <si>
    <t>6.77175</t>
  </si>
  <si>
    <t>-75.6946944</t>
  </si>
  <si>
    <t>6.77175,-75.6946944</t>
  </si>
  <si>
    <t>San Jose de La Montaña</t>
  </si>
  <si>
    <t>vereda La Margarita, sector La Margarita, camino Alto El Cristo.</t>
  </si>
  <si>
    <t>Rodriguez W. et al., 3529</t>
  </si>
  <si>
    <t>Colombia, Antioquia, San Jose de la Montaña, vereda la Margarita, sector La Margarita, camino Alto El Cristo.</t>
  </si>
  <si>
    <t>San Jose de la Montaña</t>
  </si>
  <si>
    <t>vereda la Margarita, sector La Margarita, camino Alto El Cristo.</t>
  </si>
  <si>
    <t>Cuatrecasas J. 9228</t>
  </si>
  <si>
    <t>COL 98007</t>
  </si>
  <si>
    <t>Colombia, Caldas, cordillera Central, vertiente Occidental, sudoeste del Ruiz, Termales.</t>
  </si>
  <si>
    <t>N 05°00'00.07"</t>
  </si>
  <si>
    <t>05°00'00.07" N</t>
  </si>
  <si>
    <t>W 75°20'59.94"</t>
  </si>
  <si>
    <t>75°20'59.94" W</t>
  </si>
  <si>
    <t>05°00'00.07" N, 75°20'59.94" W</t>
  </si>
  <si>
    <t>5.0000194</t>
  </si>
  <si>
    <t>-75.3499833</t>
  </si>
  <si>
    <t>5.0000194,-75.3499833</t>
  </si>
  <si>
    <t>cordillera Central</t>
  </si>
  <si>
    <t>vertiente Occidental, sudoeste del Ruiz, Termales.</t>
  </si>
  <si>
    <t>Bischler H. 1463</t>
  </si>
  <si>
    <t>COL 74565</t>
  </si>
  <si>
    <t>Colombia, Caldas, Nevado del Ruiz, Los Chorros, cerca de la estación termal</t>
  </si>
  <si>
    <t>N 04°58'54.36"</t>
  </si>
  <si>
    <t>04°58'54.36" N</t>
  </si>
  <si>
    <t>W 75°21'36.86"</t>
  </si>
  <si>
    <t>75°21'36.86" W</t>
  </si>
  <si>
    <t>04°58'54.36" N, 75°21'36.86" W</t>
  </si>
  <si>
    <t>4.9817667</t>
  </si>
  <si>
    <t>-75.3602389</t>
  </si>
  <si>
    <t>4.9817667,-75.3602389</t>
  </si>
  <si>
    <t>Nevado del Ruiz</t>
  </si>
  <si>
    <t>Los Chorros, cerca de la estación termal</t>
  </si>
  <si>
    <t>Pinto P. 409</t>
  </si>
  <si>
    <t>COL 77981</t>
  </si>
  <si>
    <t>Colombia, Caldas, entre Manizales y El Nevado del Ruíz, Los Chorros.</t>
  </si>
  <si>
    <t>entre Manizales y El Nevado del Ruíz</t>
  </si>
  <si>
    <t>Los Chorros.</t>
  </si>
  <si>
    <t>Murillo M.T. 483</t>
  </si>
  <si>
    <t>COL 91303</t>
  </si>
  <si>
    <t>Colombia, Caldas, de Termales hacia abajo.</t>
  </si>
  <si>
    <t>de Termales hacia abajo.</t>
  </si>
  <si>
    <t>Forero E. et al., 542</t>
  </si>
  <si>
    <t>COL 128992</t>
  </si>
  <si>
    <t>Colombia, Caldas, carretera entre Manizales y el Hotel Termales del Ruiz.</t>
  </si>
  <si>
    <t>3000-3500</t>
  </si>
  <si>
    <t>carretera entre Manizales y el Hotel Termales del Ruiz.</t>
  </si>
  <si>
    <t>Anonimo 26</t>
  </si>
  <si>
    <t>FAUC 00308</t>
  </si>
  <si>
    <t>Colombia, Caldas, Villamaría, carretera Tejares.</t>
  </si>
  <si>
    <t>carretera Tejares.</t>
  </si>
  <si>
    <t>Sanín D. 687</t>
  </si>
  <si>
    <t>HUQ 29495</t>
  </si>
  <si>
    <t>Colombia, Caldas, Manizales, Letras, Parte Alta Torre IV.</t>
  </si>
  <si>
    <t>N 05°03'31.1"</t>
  </si>
  <si>
    <t>05°03'31.1" N</t>
  </si>
  <si>
    <t>W 75°23'0.4"</t>
  </si>
  <si>
    <t>75°23'0.4" W</t>
  </si>
  <si>
    <t>05°03'31.1" N, 75°23'0.4" W</t>
  </si>
  <si>
    <t>5.0586389</t>
  </si>
  <si>
    <t>-75.3834444</t>
  </si>
  <si>
    <t>5.0586389,-75.3834444</t>
  </si>
  <si>
    <t>Letras, Parte Alta Torre IV.</t>
  </si>
  <si>
    <t>Sanín D. 841</t>
  </si>
  <si>
    <t>FAUC 05874</t>
  </si>
  <si>
    <t>Colombia, Caldas, Villamaria San Carlos, vía Parque N.N.Los Nevados.</t>
  </si>
  <si>
    <t>N 05° 0' 14.1"</t>
  </si>
  <si>
    <t>05° 0' 14.1" N</t>
  </si>
  <si>
    <t>05° 0' 14.1" N, 75°23'0.4" W</t>
  </si>
  <si>
    <t>5.0039167</t>
  </si>
  <si>
    <t>5.0039167,-75.3834444</t>
  </si>
  <si>
    <t>Villamaria San Carlos</t>
  </si>
  <si>
    <t>vía Parque N.N.Los Nevados.</t>
  </si>
  <si>
    <t>Sanín D. 1308</t>
  </si>
  <si>
    <t>FAUC 8256</t>
  </si>
  <si>
    <t>Colombia, Caldas, Villamaria, vía Hosteria Kumanday, bajando a Termales del Ruiz.</t>
  </si>
  <si>
    <t>N 04°97'39.2"</t>
  </si>
  <si>
    <t>04°97'39.2" N</t>
  </si>
  <si>
    <t>W 75°38'56"</t>
  </si>
  <si>
    <t>75°38'56" W</t>
  </si>
  <si>
    <t>04°97'39.2" N, 75°38'56" W</t>
  </si>
  <si>
    <t>COL91312</t>
  </si>
  <si>
    <t>Villamaria</t>
  </si>
  <si>
    <t>vía Hosteria Kumanday, bajando a Termales del Ruiz.</t>
  </si>
  <si>
    <t>Vasco A &amp; A. Marín 602</t>
  </si>
  <si>
    <t>HUA 157034</t>
  </si>
  <si>
    <t>Colombia, Caldas, PNN Los Nevados.</t>
  </si>
  <si>
    <t>N 04°57'55.0"</t>
  </si>
  <si>
    <t>04°57'55.0" N</t>
  </si>
  <si>
    <t>W 75°22'05.7"</t>
  </si>
  <si>
    <t>75°22'05.7" W</t>
  </si>
  <si>
    <t>04°57'55.0" N, 75°22'05.7" W</t>
  </si>
  <si>
    <t>4.9652778</t>
  </si>
  <si>
    <t>-75.36825</t>
  </si>
  <si>
    <t>4.9652778,-75.36825</t>
  </si>
  <si>
    <t>PNN Los Nevados.</t>
  </si>
  <si>
    <t>Sanín D. &amp; B. Gonzalez Echeverry 2338</t>
  </si>
  <si>
    <t>FAUC xxx</t>
  </si>
  <si>
    <t>Colombia, Caldas, Salamina, corregimiento de San Felix, Finca La Samaria, vía Monte Loro-Valle Alto, relictos a mano derecha del Bosque el Retiro.</t>
  </si>
  <si>
    <t>D_Sanín2338</t>
  </si>
  <si>
    <t>Salamina</t>
  </si>
  <si>
    <t>corregimiento de San Felix, Finca La Samaria, vía Monte Loro-Valle Alto, relictos a mano derecha del Bosque el Retiro.</t>
  </si>
  <si>
    <t>Sanín D. et al., 2758</t>
  </si>
  <si>
    <t>Colombia, Caldas, Manizales, Finca La Linea, entre Reserva Torre IV y Río Blanco, entrada por Letras, vía a la mina de Malteria.</t>
  </si>
  <si>
    <t>N 05°3'45.9"</t>
  </si>
  <si>
    <t>05°3'45.9" N</t>
  </si>
  <si>
    <t>W 75°22'56.6"</t>
  </si>
  <si>
    <t>75°22'56.6" W</t>
  </si>
  <si>
    <t>05°3'45.9" N, 75°22'56.6" W</t>
  </si>
  <si>
    <t>5.06275</t>
  </si>
  <si>
    <t>-75.3823889</t>
  </si>
  <si>
    <t>5.06275,-75.3823889</t>
  </si>
  <si>
    <t>Finca La Linea, entre Reserva Torre IV y Río Blanco, entrada por Letras, vía a la mina de Malteria.</t>
  </si>
  <si>
    <t>Sanín D. et al., 4350</t>
  </si>
  <si>
    <t>HUA xxx</t>
  </si>
  <si>
    <t>Colombia, Caldas, Salamina, corregimiento de San Felix, localidad El Recreo, Bosques a la izquierda de la vía a Marulanda, entre el potrero y el Bosque.</t>
  </si>
  <si>
    <t>N 1188626</t>
  </si>
  <si>
    <t>1188626 N</t>
  </si>
  <si>
    <t>W 1596085</t>
  </si>
  <si>
    <t>1596085 W</t>
  </si>
  <si>
    <t>1188626 N, 1596085 W</t>
  </si>
  <si>
    <t>D_Sanín4320</t>
  </si>
  <si>
    <t>corregimiento de San Felix, localidad El Recreo, Bosques a la izquierda de la vía a Marulanda, entre el potrero y el Bosque.</t>
  </si>
  <si>
    <t>Sanín D. et al., 4390</t>
  </si>
  <si>
    <t>Colombia, Caldas, Villamaría, vía Termales del Ruiz-La Gruta, relictos al lado de la vía, en talud de roca y arcilla.</t>
  </si>
  <si>
    <t>3500-3800</t>
  </si>
  <si>
    <t>D_Sanín4390</t>
  </si>
  <si>
    <t>vía Termales del Ruiz-La Gruta, relictos al lado de la vía, en talud de roca y arcilla.</t>
  </si>
  <si>
    <t>Forero E. et al., 516</t>
  </si>
  <si>
    <t>COL 129081</t>
  </si>
  <si>
    <t>S. eleutherophebium (Fée) A.R. Sm.</t>
  </si>
  <si>
    <t>Ramírez P. B. R. 12608</t>
  </si>
  <si>
    <t>CAUP 14564</t>
  </si>
  <si>
    <t>Colombia, Cauca, Puracé, entre el Cruceri y el Km 28 vía Laguna de San Rafael</t>
  </si>
  <si>
    <t>2° 22'N</t>
  </si>
  <si>
    <t>76° 25'W</t>
  </si>
  <si>
    <t>2° 22'N, 76° 25'W</t>
  </si>
  <si>
    <t>2.3666667</t>
  </si>
  <si>
    <t>-76.4166667</t>
  </si>
  <si>
    <t>2.3666667,-76.4166667</t>
  </si>
  <si>
    <t>Hes</t>
  </si>
  <si>
    <t>Puracé</t>
  </si>
  <si>
    <t>entre el Cruceri y el Km 28 vía Laguna de San Rafael</t>
  </si>
  <si>
    <t>Barclay H. G. &amp; P. Juajibioy 5877</t>
  </si>
  <si>
    <t>COL 99802</t>
  </si>
  <si>
    <t>Colombia, Cauca, Macizo Colombiano, valle de Las Papas, alrededores de Valencia, Los Andes.</t>
  </si>
  <si>
    <t>COL99802</t>
  </si>
  <si>
    <t>Macizo Colombiano</t>
  </si>
  <si>
    <t>valle de Las Papas, alrededores de Valencia, Los Andes.</t>
  </si>
  <si>
    <t>Rangel J.O. 2493</t>
  </si>
  <si>
    <t>COL 234370</t>
  </si>
  <si>
    <t>Colombia, Cauca, Las Flautas, carretera, Toéz-Tacueyó, km 45-46.</t>
  </si>
  <si>
    <t>COL234370</t>
  </si>
  <si>
    <t>Las Flautas</t>
  </si>
  <si>
    <t>carretera, Toéz-Tacueyó, km 45-46.</t>
  </si>
  <si>
    <t>Casañas O.L. &amp; J. Guerrero 61</t>
  </si>
  <si>
    <t>CAUP 2915</t>
  </si>
  <si>
    <t>Colombia, Cauca, Parque Nacional Puracé.</t>
  </si>
  <si>
    <t>N 02°22'52.48"</t>
  </si>
  <si>
    <t>02°22'52.48" N</t>
  </si>
  <si>
    <t>W 76°27'17.51"</t>
  </si>
  <si>
    <t>76°27'17.51" W</t>
  </si>
  <si>
    <t>02°22'52.48" N, 76°27'17.51" W</t>
  </si>
  <si>
    <t>2.3812444</t>
  </si>
  <si>
    <t>-76.4548639</t>
  </si>
  <si>
    <t>2.3812444,-76.4548639</t>
  </si>
  <si>
    <t>Parque Nacional Puracé.</t>
  </si>
  <si>
    <t>González C. 224</t>
  </si>
  <si>
    <t>CAUP 2916</t>
  </si>
  <si>
    <t>Colombia, Cauca, Puracé, Páramo de Puracé.</t>
  </si>
  <si>
    <t>N 02°22'52"</t>
  </si>
  <si>
    <t>02°22'52" N</t>
  </si>
  <si>
    <t>02°22'52" N, 76°27'17.51" W</t>
  </si>
  <si>
    <t>2.3811111</t>
  </si>
  <si>
    <t>2.3811111,-76.4548639</t>
  </si>
  <si>
    <t>Páramo de Puracé.</t>
  </si>
  <si>
    <t>Muñoz-E. E.L. 974</t>
  </si>
  <si>
    <t>CAUP 17772</t>
  </si>
  <si>
    <t>Colombia, Cauca, Totoro, vereda Santa Teresa, Páramo Carga Chiquillo.</t>
  </si>
  <si>
    <t>3100-3600</t>
  </si>
  <si>
    <t>Totoro</t>
  </si>
  <si>
    <t>vereda Santa Teresa, Páramo Carga Chiquillo.</t>
  </si>
  <si>
    <t>Sandobal C.L. et al., 39</t>
  </si>
  <si>
    <t>CAUP 16877</t>
  </si>
  <si>
    <t>Colombia, Cauca, Popayán, corregimiento de Quintana, cerro Toma Aire, bosque cerca de la casa del camino hacia el páramo.</t>
  </si>
  <si>
    <t>CAUP16877</t>
  </si>
  <si>
    <t>corregimiento de Quintana, cerro Toma Aire, bosque cerca de la casa del camino hacia el páramo.</t>
  </si>
  <si>
    <t>Aguilar J.A. 746</t>
  </si>
  <si>
    <t>CAUP 15212</t>
  </si>
  <si>
    <t>Colombia, Cauca, Bolívar, corregimiento Los Milagros.</t>
  </si>
  <si>
    <t>2500-3000</t>
  </si>
  <si>
    <t>N 01°45'35.5"</t>
  </si>
  <si>
    <t>01°45'35.5" N</t>
  </si>
  <si>
    <t>W 76°54'21"</t>
  </si>
  <si>
    <t>76°54'21" W</t>
  </si>
  <si>
    <t>01°45'35.5" N, 76°54'21" W</t>
  </si>
  <si>
    <t>1.7598611</t>
  </si>
  <si>
    <t>-76.9058333</t>
  </si>
  <si>
    <t>1.7598611,-76.9058333</t>
  </si>
  <si>
    <t>Bolívar</t>
  </si>
  <si>
    <t>corregimiento Los Milagros.</t>
  </si>
  <si>
    <t>Sanín D. &amp; E. Sanín 3293</t>
  </si>
  <si>
    <t>FAUC Xxx</t>
  </si>
  <si>
    <t>Colombia, Cauca, Popayán, Parque Nacional Natural Puracé, sector anexo a las bases militares.</t>
  </si>
  <si>
    <t>N 02°22.846'</t>
  </si>
  <si>
    <t>02°22.846' N</t>
  </si>
  <si>
    <t>W 76°26.645'</t>
  </si>
  <si>
    <t>76°26.645' W</t>
  </si>
  <si>
    <t>02°22.846' N, 76°26.645' W</t>
  </si>
  <si>
    <t>2.3807667</t>
  </si>
  <si>
    <t>-76.4440833</t>
  </si>
  <si>
    <t>2.3807667,-76.4440833</t>
  </si>
  <si>
    <t>Parque Nacional Natural Puracé, sector anexo a las bases militares.</t>
  </si>
  <si>
    <t>Tryon R. &amp; A. Tryon 6169</t>
  </si>
  <si>
    <t>COL 000335857</t>
  </si>
  <si>
    <t>Colombia, Cundinamarca, Above Tausa (ca 22 km northeast of Zipaquirá).</t>
  </si>
  <si>
    <t>COL000335857</t>
  </si>
  <si>
    <t>Above Tausa (ca 22 km northeast of Zipaquirá).</t>
  </si>
  <si>
    <t>Acosta-Arteaga C.E. et al., 86</t>
  </si>
  <si>
    <t>COL 000335870</t>
  </si>
  <si>
    <t>Colombia, Cundinamarca, Guatavita, Páramo de Guasca.</t>
  </si>
  <si>
    <t>COL000335870</t>
  </si>
  <si>
    <t>Guatavita</t>
  </si>
  <si>
    <t>Páramo de Guasca.</t>
  </si>
  <si>
    <t>Acosta-Arteaga C.E. &amp; P. Rodríguez 463</t>
  </si>
  <si>
    <t>COL 000335856</t>
  </si>
  <si>
    <t>Colombia, Cundinamarca, Fómeque, km 10, carretera hacia Chingaza.</t>
  </si>
  <si>
    <t>COL000335856</t>
  </si>
  <si>
    <t>Fómeque</t>
  </si>
  <si>
    <t>km 10, carretera hacia Chingaza.</t>
  </si>
  <si>
    <t>Acosta-Arteaga C.E. et al., 583</t>
  </si>
  <si>
    <t>COL 000335864</t>
  </si>
  <si>
    <t>Colombia, Cundinamarca, Páramo de Coachí, al comenzar el descenso hacia Oriente.</t>
  </si>
  <si>
    <t>COL000335864</t>
  </si>
  <si>
    <t>Páramo de Coachí</t>
  </si>
  <si>
    <t>al comenzar el descenso hacia Oriente.</t>
  </si>
  <si>
    <t>Zuluaga S. 84</t>
  </si>
  <si>
    <t>COL 000335855</t>
  </si>
  <si>
    <t>Colombia, Cundinamarca, Bogotá, región de Monserrate, El Granizo.</t>
  </si>
  <si>
    <t>COL000335855</t>
  </si>
  <si>
    <t>Bogotá</t>
  </si>
  <si>
    <t>región de Monserrate, El Granizo.</t>
  </si>
  <si>
    <t>Diaz S. et al., 2915</t>
  </si>
  <si>
    <t>COL 000335869</t>
  </si>
  <si>
    <t>Colombia, Cundinamarca, Macizo de Sumapáz, Cuchilla La Rabona.</t>
  </si>
  <si>
    <t>3900-3950</t>
  </si>
  <si>
    <t>COL000335869</t>
  </si>
  <si>
    <t>Macizo de Sumapáz</t>
  </si>
  <si>
    <t>Cuchilla La Rabona.</t>
  </si>
  <si>
    <t>Carrizosa S. 126</t>
  </si>
  <si>
    <t>FMB 40927</t>
  </si>
  <si>
    <t>Colombia, Cundinamarca, embalse del Neusa, entre los municipios de Tausa y Cogua.</t>
  </si>
  <si>
    <t>FMB40927</t>
  </si>
  <si>
    <t>embalse del Neusa</t>
  </si>
  <si>
    <t>entre los municipios de Tausa y Cogua.</t>
  </si>
  <si>
    <t>Idrobo J.M. et al., 3382</t>
  </si>
  <si>
    <t>COL 65076</t>
  </si>
  <si>
    <t>Colombia, Huila-Cauca, Macizo Colombiano, páramo de las Papas, cerros y alrededores de las Laguna del Magdalena y Santiago.</t>
  </si>
  <si>
    <t>3530-3630</t>
  </si>
  <si>
    <t>COL65076</t>
  </si>
  <si>
    <t>Huila-Cauca</t>
  </si>
  <si>
    <t>páramo de las Papas, cerros y alrededores de las Laguna del Magdalena y Santiago.</t>
  </si>
  <si>
    <t>Barnngton D. 510</t>
  </si>
  <si>
    <t>PSO 4393</t>
  </si>
  <si>
    <t>Colombia, Nariño, Pasto, Selva El Campanero, 5 km swof La Granja Botana.</t>
  </si>
  <si>
    <t>N 01°12'49.29"</t>
  </si>
  <si>
    <t>01°12'49.29" N</t>
  </si>
  <si>
    <t>W 77°16'21.49"</t>
  </si>
  <si>
    <t>77°16'21.49" W</t>
  </si>
  <si>
    <t>01°12'49.29" N, 77°16'21.49" W</t>
  </si>
  <si>
    <t>1.2136917</t>
  </si>
  <si>
    <t>-77.2726361</t>
  </si>
  <si>
    <t>1.2136917,-77.2726361</t>
  </si>
  <si>
    <t>Pasto</t>
  </si>
  <si>
    <t>Selva El Campanero, 5 km swof La Granja Botana.</t>
  </si>
  <si>
    <t>Hagemann W. &amp; Leist 1367</t>
  </si>
  <si>
    <t>COL 214241</t>
  </si>
  <si>
    <t>Colombia, Nariño, El Tábano, al E de Pasto.</t>
  </si>
  <si>
    <t>COL214241</t>
  </si>
  <si>
    <t>El Tábano</t>
  </si>
  <si>
    <t>al E de Pasto.</t>
  </si>
  <si>
    <t>De Benavides O.S. 2659</t>
  </si>
  <si>
    <t>PSO 10168</t>
  </si>
  <si>
    <t>Colombia, Nariño, Pasto-Volcán Galeras.</t>
  </si>
  <si>
    <t>PSO10168</t>
  </si>
  <si>
    <t>Pasto-Volcán Galeras.</t>
  </si>
  <si>
    <t>de Benavides O. &amp; B.R. Ramírez 4334</t>
  </si>
  <si>
    <t>PSO 12086</t>
  </si>
  <si>
    <t>Colombia, Nariño, Pasto, Bosque de Botana.</t>
  </si>
  <si>
    <t>Bosque de Botana.</t>
  </si>
  <si>
    <t>Ramirez P. B.R. 2002</t>
  </si>
  <si>
    <t>PSO 22995</t>
  </si>
  <si>
    <t>Colombia, Nariño, Pasto, Serranía del Morasurco, Tacines.</t>
  </si>
  <si>
    <t>3400-3500</t>
  </si>
  <si>
    <t>Serranía del Morasurco, Tacines.</t>
  </si>
  <si>
    <t>Ramírez P. B.R. &amp; J.A. Cuayal M. 4596</t>
  </si>
  <si>
    <t>COL 349226</t>
  </si>
  <si>
    <t>Colombia, Nariño, Pasto, Faldas del Volcán Galeras, vereda San Felipe, cerca Quebrada Mijitayo.</t>
  </si>
  <si>
    <t>3000-3300</t>
  </si>
  <si>
    <t>Faldas del Volcán Galeras, vereda San Felipe, cerca Quebrada Mijitayo.</t>
  </si>
  <si>
    <t>B. R. Ramirez P. &amp; J. A. Cuayal M. 4595</t>
  </si>
  <si>
    <t>Colombia, Nariño, Pasto, Faldas del Volcan Galeras, Vda. San Felipe, quebrada Mijitayo</t>
  </si>
  <si>
    <t>Hrs</t>
  </si>
  <si>
    <t>La quebrada Mijitayo se ubica en Obonuco, Pasto</t>
  </si>
  <si>
    <t>COL349226</t>
  </si>
  <si>
    <t>Faldas del Volcan Galeras, Vda. San Felipe, quebrada Mijitayo</t>
  </si>
  <si>
    <t>Ramírez P. B.R. &amp; D. Salas L. 10798</t>
  </si>
  <si>
    <t>PSO 37781</t>
  </si>
  <si>
    <t>Colombia, Nariño, Pasto, corregimiento La Laguna, alrededores Alto Zapallurco, área de páramo.</t>
  </si>
  <si>
    <t>N 01°18'</t>
  </si>
  <si>
    <t>01°18' N</t>
  </si>
  <si>
    <t>01°18' N, 77°10' W</t>
  </si>
  <si>
    <t>1.3</t>
  </si>
  <si>
    <t>1.3,-77.1666667</t>
  </si>
  <si>
    <t>PSO37781</t>
  </si>
  <si>
    <t>corregimiento La Laguna, alrededores Alto Zapallurco, área de páramo.</t>
  </si>
  <si>
    <t>Ramírez P. B.R. &amp; J.A. Cuayal M. 4595</t>
  </si>
  <si>
    <t>PSO 28038</t>
  </si>
  <si>
    <t>Colombia, Nariño Pasto, Faldas del Volcán Galeras, vereda San Felipe, cerca Quebrada Mijitayo.</t>
  </si>
  <si>
    <t>Nariño Pasto</t>
  </si>
  <si>
    <t>Faldas del Volcán Galeras</t>
  </si>
  <si>
    <t>vereda San Felipe, cerca Quebrada Mijitayo.</t>
  </si>
  <si>
    <t>Cuatrecasas J. et  al., 12680</t>
  </si>
  <si>
    <t>COL 000335875</t>
  </si>
  <si>
    <t>Colombia, Norte de Santander, Cordillera Oriental, Páramo de Tamá, alrededores de la Cueva.</t>
  </si>
  <si>
    <t>3000-3200</t>
  </si>
  <si>
    <t>COL000335875</t>
  </si>
  <si>
    <t>Cordillera Oriental</t>
  </si>
  <si>
    <t>Páramo de Tamá, alrededores de la Cueva.</t>
  </si>
  <si>
    <t>Ramírez P. B.R. 5280</t>
  </si>
  <si>
    <t>PSO 28972</t>
  </si>
  <si>
    <t>Colombia, Putumayo, Santiago, San Antonio de Bellavista, Páramo del Bordoncillo.</t>
  </si>
  <si>
    <t>3150-3250</t>
  </si>
  <si>
    <t>PSO28972</t>
  </si>
  <si>
    <t>Santiago</t>
  </si>
  <si>
    <t>San Antonio de Bellavista, Páramo del Bordoncillo.</t>
  </si>
  <si>
    <t>Vargas W. 580</t>
  </si>
  <si>
    <t>HUQ 26738</t>
  </si>
  <si>
    <t>Colombia, Quindio, Salento, Acaime.</t>
  </si>
  <si>
    <t>W 75°30</t>
  </si>
  <si>
    <t>75°30 W</t>
  </si>
  <si>
    <t>04°40' N, 75°30 W</t>
  </si>
  <si>
    <t>Acaime.</t>
  </si>
  <si>
    <t>Vélez C. Et al., 4511</t>
  </si>
  <si>
    <t>HUQ 14886</t>
  </si>
  <si>
    <t>Colombia, Quindio, Salento, Páramo de Romerales, Parque Nacional Natural Los Nevados.</t>
  </si>
  <si>
    <t>Páramo de Romerales, Parque Nacional Natural Los Nevados.</t>
  </si>
  <si>
    <t>Sanín D. et al., 3146</t>
  </si>
  <si>
    <t>HUA xxxx</t>
  </si>
  <si>
    <t>Colombia, Quindio, Salento, verda Cocora, vía Estrella de Agua, camino en mosaicos sucesionales de Aliso.</t>
  </si>
  <si>
    <t>2430-3200</t>
  </si>
  <si>
    <t>N 04°38'29.4"</t>
  </si>
  <si>
    <t>04°38'29.4" N</t>
  </si>
  <si>
    <t>W 75°29'12.4"</t>
  </si>
  <si>
    <t>75°29'12.4" W</t>
  </si>
  <si>
    <t>04°38'29.4" N, 75°29'12.4" W</t>
  </si>
  <si>
    <t>4.6415</t>
  </si>
  <si>
    <t>-75.4867778</t>
  </si>
  <si>
    <t>4.6415,-75.4867778</t>
  </si>
  <si>
    <t>verda Cocora, vía Estrella de Agua, camino en mosaicos sucesionales de Aliso.</t>
  </si>
  <si>
    <t>Sanín D. et al., 4009</t>
  </si>
  <si>
    <t>HUAQ xxx</t>
  </si>
  <si>
    <t xml:space="preserve">Colombia, Quindio, Salento, sector entre  Estrella de Agua y La Primavera. </t>
  </si>
  <si>
    <t>2871-3502</t>
  </si>
  <si>
    <t>N 04°39'</t>
  </si>
  <si>
    <t>04°39' N</t>
  </si>
  <si>
    <t>W 75°29'</t>
  </si>
  <si>
    <t>75°29' W</t>
  </si>
  <si>
    <t>04°39' N, 75°29' W</t>
  </si>
  <si>
    <t>4.65</t>
  </si>
  <si>
    <t>4.65,-75.4833333</t>
  </si>
  <si>
    <t>sector entre  Estrella de Agua y La Primavera.</t>
  </si>
  <si>
    <t>Jaramillo R. et al., 6018</t>
  </si>
  <si>
    <t>COL 214224</t>
  </si>
  <si>
    <t>Colombia, Risaralda, Cordillera Central, Santa Rosa, vertiente occidental, entre la Hacienda La Sierra y Termales de Santa Rosa.</t>
  </si>
  <si>
    <t>N 04°52'</t>
  </si>
  <si>
    <t>04°52' N</t>
  </si>
  <si>
    <t>W 75°37'</t>
  </si>
  <si>
    <t>75°37' W</t>
  </si>
  <si>
    <t>04°52' N, 75°37' W</t>
  </si>
  <si>
    <t>4.8666667</t>
  </si>
  <si>
    <t>-75.6166667</t>
  </si>
  <si>
    <t>4.8666667,-75.6166667</t>
  </si>
  <si>
    <t>Cordillera Central</t>
  </si>
  <si>
    <t>Santa Rosa, vertiente occidental, entre la Hacienda La Sierra y Termales de Santa Rosa.</t>
  </si>
  <si>
    <t>Torres J.H. et al., 1576</t>
  </si>
  <si>
    <t>COL 264956</t>
  </si>
  <si>
    <t>Colombia, Risaralda, Santuario, vereda Las Colonias, 200 m abajo del Reposo, Macizo Tatamá.</t>
  </si>
  <si>
    <t>COL264956</t>
  </si>
  <si>
    <t>vereda Las Colonias, 200 m abajo del Reposo, Macizo Tatamá.</t>
  </si>
  <si>
    <t>Wolf J. 965</t>
  </si>
  <si>
    <t>COL 312106</t>
  </si>
  <si>
    <t>Colombia, Risaralda, Santa Rosa de Cabal, camino real entre Termales de Santa Rosa y finca Berlín.</t>
  </si>
  <si>
    <t>Santa Rosa de Cabal</t>
  </si>
  <si>
    <t>camino real entre Termales de Santa Rosa y finca Berlín.</t>
  </si>
  <si>
    <t>Sanín D. et al., 4294</t>
  </si>
  <si>
    <t>Colombia, Risaralda, Santuario, Parque Natural Tatamá, Valle del los Frailejones.</t>
  </si>
  <si>
    <t>N 5.1208051</t>
  </si>
  <si>
    <t>5.1208051 N</t>
  </si>
  <si>
    <t>W-76.0594532</t>
  </si>
  <si>
    <t>76.0594532 W</t>
  </si>
  <si>
    <t>5.1208051 N, 76.0594532 W</t>
  </si>
  <si>
    <t>Parque Natural Tatamá, Valle del los Frailejones.</t>
  </si>
  <si>
    <t>Sanín D. et al., 4306</t>
  </si>
  <si>
    <t>Colombia, Risaralda, Santuario, Parque Natural Tatamá, descenso al Valle de las Mirlas.</t>
  </si>
  <si>
    <t>Parque Natural Tatamá, descenso al Valle de las Mirlas.</t>
  </si>
  <si>
    <t>Sanín D. et al., 4293</t>
  </si>
  <si>
    <t>Colombia, Risaralda, Santuario, Parque Nacional Natural Tatamá, Valle de los Frailejones.</t>
  </si>
  <si>
    <t>W -76.0594532</t>
  </si>
  <si>
    <t>-76.0594532 W</t>
  </si>
  <si>
    <t>5.1208051 N, -76.0594532 W</t>
  </si>
  <si>
    <t>Parque Nacional Natural Tatamá, Valle de los Frailejones.</t>
  </si>
  <si>
    <t>Jaramillo Mejía R &amp; T. van der Hammen 4320</t>
  </si>
  <si>
    <t>COL 000335880</t>
  </si>
  <si>
    <t>Colombia, Santander, páramo de Guatavita, lado occidental hacia Onzaga.</t>
  </si>
  <si>
    <t>COL000336495</t>
  </si>
  <si>
    <t>páramo de Guatavita</t>
  </si>
  <si>
    <t>lado occidental hacia Onzaga.</t>
  </si>
  <si>
    <t>Diaz S. &amp; R. Jaramillo 1987</t>
  </si>
  <si>
    <t>COL 204934</t>
  </si>
  <si>
    <t>Colombia, Tolima, Santa Isabel, cordillera Central, valle del Río Totarito, entre el Paso El Español y La Ermita.</t>
  </si>
  <si>
    <t>N 04°43'08.19"</t>
  </si>
  <si>
    <t>04°43'08.19" N</t>
  </si>
  <si>
    <t>W 75°06'02.63"</t>
  </si>
  <si>
    <t>75°06'02.63" W</t>
  </si>
  <si>
    <t>04°43'08.19" N, 75°06'02.63" W</t>
  </si>
  <si>
    <t>4.7189417</t>
  </si>
  <si>
    <t>-75.1007306</t>
  </si>
  <si>
    <t>4.7189417,-75.1007306</t>
  </si>
  <si>
    <t>cordillera Central, valle del Río Totarito, entre el Paso El Español y La Ermita.</t>
  </si>
  <si>
    <t>Jaramillo R. et al., 6357</t>
  </si>
  <si>
    <t>COL 494084</t>
  </si>
  <si>
    <t>Colombia, Tolima, Cordillera Central, Santa Isabel, vertiente Oriental, valle del río Totarito, lado N Bosque de Hesperomeles y Hedyosmum.</t>
  </si>
  <si>
    <t>Santa Isabel, vertiente Oriental, valle del río Totarito, lado N Bosque de Hesperomeles y Hedyosmum.</t>
  </si>
  <si>
    <t>Jaramillo R. et al., 6451</t>
  </si>
  <si>
    <t>COL 494081</t>
  </si>
  <si>
    <t>Colombia, Tolima, cordillera Central, Santa Isabel, vertiente Oriental, en selva de Quercus y Clusia, en el sitio el Ochoral.</t>
  </si>
  <si>
    <t>Santa Isabel, vertiente Oriental, en selva de Quercus y Clusia, en el sitio el Ochoral.</t>
  </si>
  <si>
    <t>Duque C. &amp; E. Correa 29</t>
  </si>
  <si>
    <t>FAUC 4826</t>
  </si>
  <si>
    <t>Colombia, Tolima, Murillo, margen derecha Río Azul, Quebrada Los Patos (Mozul).</t>
  </si>
  <si>
    <t>N 04°52'11.20"</t>
  </si>
  <si>
    <t>04°52'11.20" N</t>
  </si>
  <si>
    <t>W 75°10'38.47"</t>
  </si>
  <si>
    <t>04°52'11.20" N, 75°10'38.47" W</t>
  </si>
  <si>
    <t>4.8697778</t>
  </si>
  <si>
    <t>4.8697778,-75.1773528</t>
  </si>
  <si>
    <t>margen derecha Río Azul, Quebrada Los Patos (Mozul).</t>
  </si>
  <si>
    <t>Correa E. 70</t>
  </si>
  <si>
    <t>FAUC 4819</t>
  </si>
  <si>
    <t>Colombia, Tolima, Murillo, Lugar Casas Viejas.</t>
  </si>
  <si>
    <t>N 877093.75</t>
  </si>
  <si>
    <t>877093.75 N</t>
  </si>
  <si>
    <t>W 1037843.75</t>
  </si>
  <si>
    <t>1037843.75 W</t>
  </si>
  <si>
    <t>877093.75 N, 1037843.75 W</t>
  </si>
  <si>
    <t>E_Correa70</t>
  </si>
  <si>
    <t>Lugar Casas Viejas.</t>
  </si>
  <si>
    <t>Sanín D. et al, 3154</t>
  </si>
  <si>
    <t>Colombia, Tolima, Ibague, El Bergel, vía Termales del Cañon, escuala rural, bosques a mano derecha Sur este.</t>
  </si>
  <si>
    <t>D_Sanín3154</t>
  </si>
  <si>
    <t>El Bergel, vía Termales del Cañon, escuala rural, bosques a mano derecha Sur este.</t>
  </si>
  <si>
    <t>Sanín D. et al., 3166</t>
  </si>
  <si>
    <t>TOLI xxx</t>
  </si>
  <si>
    <t>Colombia, Tolima, Ibague, Corregimiento de Juntas, vía Escuela El Salto.</t>
  </si>
  <si>
    <t>N 04° 37'45.3"</t>
  </si>
  <si>
    <t>04° 37'45.3" N</t>
  </si>
  <si>
    <t>W 75°16'9.31"</t>
  </si>
  <si>
    <t>75°16'9.31" W</t>
  </si>
  <si>
    <t>04° 37'45.3" N, 75°16'9.31" W</t>
  </si>
  <si>
    <t>Corregimiento de Juntas, vía Escuela El Salto.</t>
  </si>
  <si>
    <t>Killip E.P. et al., 34630</t>
  </si>
  <si>
    <t>COL 18052</t>
  </si>
  <si>
    <t>Colombia, Tolima: allong Quindio higway, between Cajamarca and summit of Divide.</t>
  </si>
  <si>
    <t>N 04°26'24.14"</t>
  </si>
  <si>
    <t>04°26'24.14" N</t>
  </si>
  <si>
    <t>W 75°25'48.37"</t>
  </si>
  <si>
    <t>75°25'48.37" W</t>
  </si>
  <si>
    <t>04°26'24.14" N, 75°25'48.37" W</t>
  </si>
  <si>
    <t>4.4400389</t>
  </si>
  <si>
    <t>-75.4301028</t>
  </si>
  <si>
    <t>4.4400389,-75.4301028</t>
  </si>
  <si>
    <t>Tolima: allong Quindio higway</t>
  </si>
  <si>
    <t>between Cajamarca and summit of Divide.</t>
  </si>
  <si>
    <t>S. fraxinifolium (Jacq.) A. R. Sm.</t>
  </si>
  <si>
    <t>Serpocaulon fraxinifolium</t>
  </si>
  <si>
    <t>Archer W. A. 1099</t>
  </si>
  <si>
    <t>COL 00997</t>
  </si>
  <si>
    <t>Antioquia, Medellín, Cerca a La Sierra</t>
  </si>
  <si>
    <t>1973.084</t>
  </si>
  <si>
    <t>COL00997</t>
  </si>
  <si>
    <t>Cerca a La Sierra</t>
  </si>
  <si>
    <t>G. Gutierrez-V. &amp; A. Puccini-B. 14</t>
  </si>
  <si>
    <t>COL 70867</t>
  </si>
  <si>
    <t>Antioquia, Vía a Guarne</t>
  </si>
  <si>
    <t>2500 aprox.</t>
  </si>
  <si>
    <t>COL70867</t>
  </si>
  <si>
    <t>Vía a Guarne</t>
  </si>
  <si>
    <t>L. Uribe Uribe 1867</t>
  </si>
  <si>
    <t>COL 113265</t>
  </si>
  <si>
    <t>Antioquia, Nariño, bosques de Paramitos</t>
  </si>
  <si>
    <t>2000-2200</t>
  </si>
  <si>
    <t>bosques de Paramitos</t>
  </si>
  <si>
    <t>Albert de Escobar L. et al., 3711</t>
  </si>
  <si>
    <t>HUA 20288</t>
  </si>
  <si>
    <t>Antioquia, Guatapé, Vereda Santa Rita, Finca Montepinar</t>
  </si>
  <si>
    <t>HUA20288</t>
  </si>
  <si>
    <t>Guatapé</t>
  </si>
  <si>
    <t>Vereda Santa Rita, Finca Montepinar</t>
  </si>
  <si>
    <t>F. J. Roldán et al., 48</t>
  </si>
  <si>
    <t>HUA 24106</t>
  </si>
  <si>
    <t>Antioquia, Guarne, Vereda Piedras Blancas, cerca a la represa.</t>
  </si>
  <si>
    <t>HUA24106</t>
  </si>
  <si>
    <t>Vereda Piedras Blancas, cerca a la represa.</t>
  </si>
  <si>
    <t>Albert de Escobar L. et al., 3861</t>
  </si>
  <si>
    <t>HUA 020600</t>
  </si>
  <si>
    <t>Colombia, Antioquia, Caldas, vereda La Clara, Finca La Oculta.</t>
  </si>
  <si>
    <t>HUA20600</t>
  </si>
  <si>
    <t>vereda La Clara, Finca La Oculta.</t>
  </si>
  <si>
    <t>L. Albert de Escobar et al., 3855</t>
  </si>
  <si>
    <t>HUA 20594</t>
  </si>
  <si>
    <t>Antioquia, Caldas, Vereda La Clara, Finca la Oculta</t>
  </si>
  <si>
    <t>Vereda La Clara, Finca la Oculta</t>
  </si>
  <si>
    <t>L. Albert de Escobar et al., 4609</t>
  </si>
  <si>
    <t>HUA 22533</t>
  </si>
  <si>
    <t>Antioquia, Caldas, Vereda la Clara, Finca la Oculta</t>
  </si>
  <si>
    <t>Vereda la Clara, Finca la Oculta</t>
  </si>
  <si>
    <t>Palacio M. &amp; E. Vallejo 07</t>
  </si>
  <si>
    <t>COL 495594</t>
  </si>
  <si>
    <t>Antioquia, Caldas, Vereda La Corrala</t>
  </si>
  <si>
    <t>COL495594</t>
  </si>
  <si>
    <t>Vereda La Corrala</t>
  </si>
  <si>
    <t>Palacios M. &amp; E. Vallejo 07</t>
  </si>
  <si>
    <t>HUA 2593</t>
  </si>
  <si>
    <t>Antioquia, Caldas, Vereda La Corrala, Bosque Humedo</t>
  </si>
  <si>
    <t>Vereda La Corrala, Bosque Humedo</t>
  </si>
  <si>
    <t>C.I. Orozco et al., 1445</t>
  </si>
  <si>
    <t>COL 416185</t>
  </si>
  <si>
    <t>Antioquia, Bello, Corregimiento de San Felix, vía a Altos Baldíos</t>
  </si>
  <si>
    <t>COL416185</t>
  </si>
  <si>
    <t>Bello</t>
  </si>
  <si>
    <t>Corregimiento de San Felix, vía a Altos Baldíos</t>
  </si>
  <si>
    <t>L. Albert de Escobar et al., 6282</t>
  </si>
  <si>
    <t>HUA 27702</t>
  </si>
  <si>
    <t>Colombia, Antioquia, Guatapé, Vereda Santa Rita, Bosque Humedo</t>
  </si>
  <si>
    <t>HUA27795</t>
  </si>
  <si>
    <t>Vereda Santa Rita, Bosque Humedo</t>
  </si>
  <si>
    <t>L. Albert de Escobar et al., 6446</t>
  </si>
  <si>
    <t>HUA 28680</t>
  </si>
  <si>
    <t>Antioquia, Guatapé, Vereda Santa Rita, Bosque Humedo</t>
  </si>
  <si>
    <t>L. Albert de Escobar et al., 6321</t>
  </si>
  <si>
    <t>HUA 27795</t>
  </si>
  <si>
    <t>Antioquia, Guatape, Vereda Santa Rita, Bosuqe Humedo</t>
  </si>
  <si>
    <t>Guatape</t>
  </si>
  <si>
    <t>Vereda Santa Rita, Bosuqe Humedo</t>
  </si>
  <si>
    <t>Sánchez D. et al., 523</t>
  </si>
  <si>
    <t>MEDEL 25600</t>
  </si>
  <si>
    <t>Colombia, Antioquia, Frontino, corregimiento de Nutibara, cuenca alta del río Cuevas.</t>
  </si>
  <si>
    <t>MEDEL25600</t>
  </si>
  <si>
    <t>corregimiento de Nutibara, cuenca alta del río Cuevas.</t>
  </si>
  <si>
    <t>Fonnegra R. et al., 2236</t>
  </si>
  <si>
    <t>HUA 37517</t>
  </si>
  <si>
    <t>Antioquia, Medellín-Guarne, por la antigua carretera, Granja Forestal de la Universidad Nacional.</t>
  </si>
  <si>
    <t>1600-1700</t>
  </si>
  <si>
    <t>HUA37517</t>
  </si>
  <si>
    <t>Medellín-Guarne</t>
  </si>
  <si>
    <t>por la antigua carretera, Granja Forestal de la Universidad Nacional.</t>
  </si>
  <si>
    <t>Escobar L. A.  &amp; J. S. Zuluaga 59</t>
  </si>
  <si>
    <t>HUA 36876</t>
  </si>
  <si>
    <t>Antioquia, La Unión, vereda El Masurcal</t>
  </si>
  <si>
    <t>En las capas de QGIS, solo existe la vereda El mazorral y corresponde a El Carmen de Viboral. En internet, la vereda Mazorcal corresponde a La Unión</t>
  </si>
  <si>
    <t>HUA36876</t>
  </si>
  <si>
    <t>vereda El Masurcal</t>
  </si>
  <si>
    <t>D. L. Echeverry  67</t>
  </si>
  <si>
    <t>HUA 38837</t>
  </si>
  <si>
    <t>Antioquia, Guatapé, Santa Rita, Bosque humedo</t>
  </si>
  <si>
    <t>Santa Rita, Bosque humedo</t>
  </si>
  <si>
    <t>HUA 38834</t>
  </si>
  <si>
    <t>Antioquia, Guatapé, vereda Santa Rita, bosque humedo</t>
  </si>
  <si>
    <t>vereda Santa Rita, bosque humedo</t>
  </si>
  <si>
    <t>A. L. Arbelaez et al., 86</t>
  </si>
  <si>
    <t>HUA 40297</t>
  </si>
  <si>
    <t>Antioquia, Sonson, Paramó de Sonson</t>
  </si>
  <si>
    <t>05°41' N</t>
  </si>
  <si>
    <t>75°14' W</t>
  </si>
  <si>
    <t>05°41' N, 75°14' W</t>
  </si>
  <si>
    <t>5.6833333</t>
  </si>
  <si>
    <t>-75.2333333</t>
  </si>
  <si>
    <t>5.6833333,-75.2333333</t>
  </si>
  <si>
    <t>Sonson</t>
  </si>
  <si>
    <t>Paramó de Sonson</t>
  </si>
  <si>
    <t>Zarucchi J.L. et al., 6947</t>
  </si>
  <si>
    <t>HUA 60023</t>
  </si>
  <si>
    <t>Colombia, Antioquia, Jardín, Km 20 of road Jardín-Riosucio (Caldas), ca 15 km SSE of Jardín, Alto de Ventanas.</t>
  </si>
  <si>
    <t>2700-2790</t>
  </si>
  <si>
    <t>N 05° 31'</t>
  </si>
  <si>
    <t>05° 31' N</t>
  </si>
  <si>
    <t>W 75° 48'</t>
  </si>
  <si>
    <t>75° 48' W</t>
  </si>
  <si>
    <t>05° 31' N, 75° 48' W</t>
  </si>
  <si>
    <t>5.5166667</t>
  </si>
  <si>
    <t>-75.8</t>
  </si>
  <si>
    <t>5.5166667,-75.8</t>
  </si>
  <si>
    <t>Km 20 of road Jardín-Riosucio (Caldas), ca 15 km SSE of Jardín, Alto de Ventanas.</t>
  </si>
  <si>
    <t>J.M. MacDougal &amp; F.J. Roldán 3603</t>
  </si>
  <si>
    <t>HUA 62173</t>
  </si>
  <si>
    <t>Antioquia, Jardín, entre Jardín y Morro Amarillo (6,4 km del municipio).</t>
  </si>
  <si>
    <t>05°37'N</t>
  </si>
  <si>
    <t>75°50'W</t>
  </si>
  <si>
    <t>05°37'N, 75°50'W</t>
  </si>
  <si>
    <t>5.6166667</t>
  </si>
  <si>
    <t>5.6166667,-75.8333333</t>
  </si>
  <si>
    <t>entre Jardín y Morro Amarillo (6, 4 km del municipio).</t>
  </si>
  <si>
    <t>J. M. MacDougal &amp; F. J. Roldán 3657</t>
  </si>
  <si>
    <t>HUA 63188</t>
  </si>
  <si>
    <t>Antioquia, Entrerios, casi 3 k desde Entrerios-Santa Rosa de Osos, al margen del Río Grande</t>
  </si>
  <si>
    <t>2205-2240</t>
  </si>
  <si>
    <t>06°32'N</t>
  </si>
  <si>
    <t>75°30"W</t>
  </si>
  <si>
    <t>06°32'N, 75°30"W</t>
  </si>
  <si>
    <t>6.5333333</t>
  </si>
  <si>
    <t>6.5333333,-75.5</t>
  </si>
  <si>
    <t>Entrerios</t>
  </si>
  <si>
    <t>casi 3 k desde Entrerios-Santa Rosa de Osos, al margen del Río Grande</t>
  </si>
  <si>
    <t>R. Callejas et al., 8242</t>
  </si>
  <si>
    <t>HUA 67130</t>
  </si>
  <si>
    <t>Antioquia, Campamento, 6 km NO del pueblo, vía a Mina Las Brisas, bosques poco intervenidos</t>
  </si>
  <si>
    <t>7°00'N</t>
  </si>
  <si>
    <t>75°20'W</t>
  </si>
  <si>
    <t>7°00'N, 75°20'W</t>
  </si>
  <si>
    <t>7</t>
  </si>
  <si>
    <t>-75.3333333</t>
  </si>
  <si>
    <t>7,-75.3333333</t>
  </si>
  <si>
    <t>HUA67130</t>
  </si>
  <si>
    <t>Campamento</t>
  </si>
  <si>
    <t>6 km NO del pueblo, vía a Mina Las Brisas, bosques poco intervenidos</t>
  </si>
  <si>
    <t>N. Contreras &amp; D.L. Echeverry 63</t>
  </si>
  <si>
    <t>HUA 66141</t>
  </si>
  <si>
    <t>Antioquia, Guatapé, Vereda Santa Rita, Finca Montepinar, Bosque Pluvial.</t>
  </si>
  <si>
    <t>06°15'N</t>
  </si>
  <si>
    <t>75°10'W</t>
  </si>
  <si>
    <t>06°15'N, 75°10'W</t>
  </si>
  <si>
    <t>-75.1666667</t>
  </si>
  <si>
    <t>6.25,-75.1666667</t>
  </si>
  <si>
    <t>Vereda Santa Rita, Finca Montepinar, Bosque Pluvial.</t>
  </si>
  <si>
    <t>N. Contreras &amp; D.L. Echeverry 85</t>
  </si>
  <si>
    <t>HUA 66174</t>
  </si>
  <si>
    <t>Antioquia, Guatapé, Vereda Santa Rita, Finca Montepinar, bosque pluvial</t>
  </si>
  <si>
    <t>6°15'N</t>
  </si>
  <si>
    <t>6°15'N, 75°10'W</t>
  </si>
  <si>
    <t>Vereda Santa Rita, Finca Montepinar, bosque pluvial</t>
  </si>
  <si>
    <t>D. L. Echeverry &amp; N. Contreras  137</t>
  </si>
  <si>
    <t>HUA 65470</t>
  </si>
  <si>
    <t>Antioquia, Guatapé, vereda Santa Rita, Finca Montepinar, Bosque Pluvial</t>
  </si>
  <si>
    <t>vereda Santa Rita, Finca Montepinar, Bosque Pluvial</t>
  </si>
  <si>
    <t>Echeverri D.L. &amp; N. Contreras 196</t>
  </si>
  <si>
    <t>HUA 66505</t>
  </si>
  <si>
    <t>Colombia, Antioquia, Guatapé, vereda Santa Rita, finca Montepinar.</t>
  </si>
  <si>
    <t>N 06°15'</t>
  </si>
  <si>
    <t>06°15' N</t>
  </si>
  <si>
    <t>W 75°10'</t>
  </si>
  <si>
    <t>75°10' W</t>
  </si>
  <si>
    <t>06°15' N, 75°10' W</t>
  </si>
  <si>
    <t>vereda Santa Rita, finca Montepinar.</t>
  </si>
  <si>
    <t>N. Contreras &amp; D. L. Echeverry 158</t>
  </si>
  <si>
    <t>HUA 66930</t>
  </si>
  <si>
    <t>6°15' N</t>
  </si>
  <si>
    <t>6°15' N, 75°10' W</t>
  </si>
  <si>
    <t>N. Contreras &amp; D.L. Echeverry 170</t>
  </si>
  <si>
    <t>HUA 66981</t>
  </si>
  <si>
    <t>N. Contreras &amp; D.L. Echeverry 253</t>
  </si>
  <si>
    <t>HUA 67885</t>
  </si>
  <si>
    <t>D.L Echeverri &amp; N. Contreras 281</t>
  </si>
  <si>
    <t>HUA 69558</t>
  </si>
  <si>
    <t>N. Contreras &amp; D.L. Echeverry 294</t>
  </si>
  <si>
    <t>HUA 69155</t>
  </si>
  <si>
    <t>HUA 81437</t>
  </si>
  <si>
    <t>Colombia, Antioquia, San Francisco, corregimiento Aquitania, río Venado.</t>
  </si>
  <si>
    <t xml:space="preserve">6°18'N </t>
  </si>
  <si>
    <t>6°18'N</t>
  </si>
  <si>
    <t>75°29'W</t>
  </si>
  <si>
    <t>6°18'N, 75°29'W</t>
  </si>
  <si>
    <t>La quebrada Venado no pasa cerca de Aquitania, San Francisco. Ubiqué el punto en Aquitania</t>
  </si>
  <si>
    <t>HUA81437</t>
  </si>
  <si>
    <t>corregimiento Aquitania, río Venado.</t>
  </si>
  <si>
    <t>R. Fonnegra et al., 5289</t>
  </si>
  <si>
    <t>HUA 95235</t>
  </si>
  <si>
    <t>Antioquia, Medellín y Guarne, Parque Ecológico Piedras Blancas, sector Lajas</t>
  </si>
  <si>
    <t>06°18'N</t>
  </si>
  <si>
    <t>06°18'N, 75°29'W</t>
  </si>
  <si>
    <t>Medellín y Guarne</t>
  </si>
  <si>
    <t>Parque Ecológico Piedras Blancas, sector Lajas</t>
  </si>
  <si>
    <t>COL 419300</t>
  </si>
  <si>
    <t>Antioquia, Parque Piedras Blancas, Sector las Lajas</t>
  </si>
  <si>
    <t>75°29"W</t>
  </si>
  <si>
    <t>6°18'N, 75°29"W</t>
  </si>
  <si>
    <t>Parque Piedras Blancas</t>
  </si>
  <si>
    <t>Sector las Lajas</t>
  </si>
  <si>
    <t>R. Callejas &amp; A. Echeverry 11580</t>
  </si>
  <si>
    <t>HUA 10533</t>
  </si>
  <si>
    <t>Antioquia, Medellín, Corregimiento de Santa Elena, Vereda El Tambo, 3 km via a Laguna de Guarne</t>
  </si>
  <si>
    <t>75°35' W</t>
  </si>
  <si>
    <t>06°15' N, 75°35' W</t>
  </si>
  <si>
    <t>-75.5833333</t>
  </si>
  <si>
    <t>6.25,-75.5833333</t>
  </si>
  <si>
    <t>Corregimiento de Santa Elena, Vereda El Tambo, 3 km via a Laguna de Guarne</t>
  </si>
  <si>
    <t>F.J. Roldán &amp; W. Rengifo 2460</t>
  </si>
  <si>
    <t>HUA 105587</t>
  </si>
  <si>
    <t>Antioquia, Caldas, Reserva Alto de San Miguel, cuenca alta del río Medellín</t>
  </si>
  <si>
    <t>1800-2000</t>
  </si>
  <si>
    <t>6°05'N</t>
  </si>
  <si>
    <t>75°38'W</t>
  </si>
  <si>
    <t>6°05'N, 75°38'W</t>
  </si>
  <si>
    <t>6.0833333</t>
  </si>
  <si>
    <t>-75.6333333</t>
  </si>
  <si>
    <t>6.0833333,-75.6333333</t>
  </si>
  <si>
    <t>Reserva Alto de San Miguel, cuenca alta del río Medellín</t>
  </si>
  <si>
    <t>Correa M. et al., 881</t>
  </si>
  <si>
    <t>JAUM 30800</t>
  </si>
  <si>
    <t>Antioquia, Envigado, Vereda El Escobero, margen izquierda frente a la Morena</t>
  </si>
  <si>
    <t>2000-2150</t>
  </si>
  <si>
    <t>06°10'19" N</t>
  </si>
  <si>
    <t>75°35'09" W</t>
  </si>
  <si>
    <t>06°10'19" N, 75°35'09" W</t>
  </si>
  <si>
    <t>6.1719444</t>
  </si>
  <si>
    <t>-75.5858333</t>
  </si>
  <si>
    <t>6.1719444,-75.5858333</t>
  </si>
  <si>
    <t>Envigado</t>
  </si>
  <si>
    <t>Vereda El Escobero, margen izquierda frente a la Morena</t>
  </si>
  <si>
    <t>A. L. Correa &amp; S. Cuartas 176</t>
  </si>
  <si>
    <t>HUA 107341</t>
  </si>
  <si>
    <t>Antioquia, Caldas, parte alta del Río Medellin, Reserva ecologica Alto de San Miguel</t>
  </si>
  <si>
    <t>1900-2200</t>
  </si>
  <si>
    <t>06°05' N</t>
  </si>
  <si>
    <t>75° 38'W</t>
  </si>
  <si>
    <t>06°05' N, 75° 38'W</t>
  </si>
  <si>
    <t>parte alta del Río Medellin, Reserva ecologica Alto de San Miguel</t>
  </si>
  <si>
    <t>F. Alzate &amp; F. Cardona 497</t>
  </si>
  <si>
    <t>COL 443201</t>
  </si>
  <si>
    <t>Antioquia, Corregimiento de Santa Elena, sector Piedras Blancas</t>
  </si>
  <si>
    <t>75°35'W</t>
  </si>
  <si>
    <t>06°15'N, 75°35'W</t>
  </si>
  <si>
    <t>Epífita</t>
  </si>
  <si>
    <t>Corregimiento de Santa Elena</t>
  </si>
  <si>
    <t>sector Piedras Blancas</t>
  </si>
  <si>
    <t>A. Gil et al., 421</t>
  </si>
  <si>
    <t>HUA 132527</t>
  </si>
  <si>
    <t>Colombia, Antioquia, Abejorral, Vereda El Buey, Finca El Recreo</t>
  </si>
  <si>
    <t>05°51'N</t>
  </si>
  <si>
    <t>75°22'W</t>
  </si>
  <si>
    <t>05°51'N, 75°22'W</t>
  </si>
  <si>
    <t>5.85</t>
  </si>
  <si>
    <t>-75.3666667</t>
  </si>
  <si>
    <t>5.85,-75.3666667</t>
  </si>
  <si>
    <t>Abejorral</t>
  </si>
  <si>
    <t>Vereda El Buey, Finca El Recreo</t>
  </si>
  <si>
    <t>W. Rodriguez D. 3104</t>
  </si>
  <si>
    <t>COL 3104</t>
  </si>
  <si>
    <t>Antioquia, Medellin, Corregimiento de Santa Elena, Vereda Mazo, Bocatoma que conduce al pozo de los patos, estación Biodiversidad, Corantioquia</t>
  </si>
  <si>
    <t>6°15'42"N</t>
  </si>
  <si>
    <t>75° 30'32.8"W</t>
  </si>
  <si>
    <t>6°15'42"N, 75° 30'32.8"W</t>
  </si>
  <si>
    <t>6.2616667</t>
  </si>
  <si>
    <t>-75.5091111</t>
  </si>
  <si>
    <t>6.2616667,-75.5091111</t>
  </si>
  <si>
    <t>Corregimiento de Santa Elena, Vereda Mazo, Bocatoma que conduce al pozo de los patos, estación Biodiversidad, Corantioquia</t>
  </si>
  <si>
    <t>W. Rodriguez 3104</t>
  </si>
  <si>
    <t>JAUM 37456</t>
  </si>
  <si>
    <t>Antioquia, Medellín, Santa Elena, Vereda Mazo, Estación Biodiversidad-Corantioquia, bocatoma al pozo de los Patos</t>
  </si>
  <si>
    <t>06°15'42" N</t>
  </si>
  <si>
    <t>75°30'32.8" W</t>
  </si>
  <si>
    <t>06°15'42" N, 75°30'32.8" W</t>
  </si>
  <si>
    <t>Santa Elena, Vereda Mazo, Estación Biodiversidad-Corantioquia, bocatoma al pozo de los Patos</t>
  </si>
  <si>
    <t>HUA 132175</t>
  </si>
  <si>
    <t>Antioquia, Medellín, Santa Elena, Vereda Mazo, Estación Biodiversidad-Corantioquia, Bocatoma que conduce al pozo de los patos</t>
  </si>
  <si>
    <t>06°15'42"N</t>
  </si>
  <si>
    <t>75°30'32.8"W</t>
  </si>
  <si>
    <t>06°15'42"N, 75°30'32.8"W</t>
  </si>
  <si>
    <t>Santa Elena, Vereda Mazo, Estación Biodiversidad-Corantioquia, Bocatoma que conduce al pozo de los patos</t>
  </si>
  <si>
    <t>Rodriguez W. &amp; M. Arboleda 3454</t>
  </si>
  <si>
    <t>COL 484069</t>
  </si>
  <si>
    <t>Antioquia, Belmira, Vereda La Salazar (parte baja), Quebrada el Diablo</t>
  </si>
  <si>
    <t>06°35'45.3"N</t>
  </si>
  <si>
    <t>75°39'13"W</t>
  </si>
  <si>
    <t>06°35'45.3"N, 75°39'13"W</t>
  </si>
  <si>
    <t>6.5959167</t>
  </si>
  <si>
    <t>-75.6536111</t>
  </si>
  <si>
    <t>6.5959167,-75.6536111</t>
  </si>
  <si>
    <t>Vereda La Salazar (parte baja), Quebrada el Diablo</t>
  </si>
  <si>
    <t>W. Rodriguez &amp; M. Arboleda 3454</t>
  </si>
  <si>
    <t>HUA 137336</t>
  </si>
  <si>
    <t>Antioquia, Belmira, Vereda La Salazar, Quebrada El Diablo</t>
  </si>
  <si>
    <t>75°39'13.0" W</t>
  </si>
  <si>
    <t>06°35'45.3"N, 75°39'13.0" W</t>
  </si>
  <si>
    <t>Vereda La Salazar, Quebrada El Diablo</t>
  </si>
  <si>
    <t>JUAM 38635</t>
  </si>
  <si>
    <t>Antioquia, Belmira, Vereda La Salarza, (Parte Baja), quebrada El Diablo</t>
  </si>
  <si>
    <t>06°35'45.3" N</t>
  </si>
  <si>
    <t>75°39'13" W</t>
  </si>
  <si>
    <t>06°35'45.3" N, 75°39'13" W</t>
  </si>
  <si>
    <t>Vereda La Salarza, (Parte Baja), quebrada El Diablo</t>
  </si>
  <si>
    <t>Rodriguez W. et al., 3556</t>
  </si>
  <si>
    <t>COL 487645</t>
  </si>
  <si>
    <t>Antioquia, San Jose de la Montaña, Vereda El Caribe, Sector El Calvario,arriba de la Finca de la Fuente</t>
  </si>
  <si>
    <t>06°41'29.1"N</t>
  </si>
  <si>
    <t>75°40'50.7" W</t>
  </si>
  <si>
    <t>06°41'29.1"N, 75°40'50.7" W</t>
  </si>
  <si>
    <t>6.6914167</t>
  </si>
  <si>
    <t>-75.68075</t>
  </si>
  <si>
    <t>6.6914167,-75.68075</t>
  </si>
  <si>
    <t>COL487645</t>
  </si>
  <si>
    <t>Vereda El Caribe, Sector El Calvario, arriba de la Finca de la Fuente</t>
  </si>
  <si>
    <t>JAUM 38636</t>
  </si>
  <si>
    <t>Antioquia, San Jose de la Montaña, Vereda El Caribe, Finca Casita Vieja</t>
  </si>
  <si>
    <t>06°41'29.1" N</t>
  </si>
  <si>
    <t>75°40' 50.7" W</t>
  </si>
  <si>
    <t>06°41'29.1" N, 75°40' 50.7" W</t>
  </si>
  <si>
    <t>Vereda El Caribe, Finca Casita Vieja</t>
  </si>
  <si>
    <t>W. Rodriguez et al., 3556</t>
  </si>
  <si>
    <t>HUA 137343</t>
  </si>
  <si>
    <t>75°40'50.7"W</t>
  </si>
  <si>
    <t>06°41'29.1"N, 75°40'50.7"W</t>
  </si>
  <si>
    <t>W. Rodriguez et al., 3640</t>
  </si>
  <si>
    <t>HUA 137353-137352</t>
  </si>
  <si>
    <t>Antioquia, Liborina, Vereda Barrio Nuevo, Quebrada La Honda, limites con Sabanalarga</t>
  </si>
  <si>
    <t>6°46'54.3"N</t>
  </si>
  <si>
    <t>75°47'34.2"W</t>
  </si>
  <si>
    <t>6°46'54.3"N, 75°47'34.2"W</t>
  </si>
  <si>
    <t>6.78175</t>
  </si>
  <si>
    <t>-75.7928333</t>
  </si>
  <si>
    <t>6.78175,-75.7928333</t>
  </si>
  <si>
    <t>Vereda Barrio Nuevo, Quebrada La Honda, limites con Sabanalarga</t>
  </si>
  <si>
    <t>HUA 137352</t>
  </si>
  <si>
    <t>W. Rodriguez et al., 3653</t>
  </si>
  <si>
    <t>JAUM 38638-38637</t>
  </si>
  <si>
    <t>Antioquia, Liborina, Vereda Barrio Nuevo, Margen izquierda de la Quebrada La Honda</t>
  </si>
  <si>
    <t>Vereda Barrio Nuevo, Margen izquierda de la Quebrada La Honda</t>
  </si>
  <si>
    <t>H. David &amp; J. Idarraga 483</t>
  </si>
  <si>
    <t>HUA 145192</t>
  </si>
  <si>
    <t>Antioquia, Medellin, Santa Elena, Reserva Natural Montevivo, sector Casapalo</t>
  </si>
  <si>
    <t>06° 12'48"N</t>
  </si>
  <si>
    <t>06° 12'48"N, 75°29'32.2" W</t>
  </si>
  <si>
    <t>Santa Elena, Reserva Natural Montevivo, sector Casapalo</t>
  </si>
  <si>
    <t>Echeverri S. V. &amp; H. David 317</t>
  </si>
  <si>
    <t>HUA 1499052</t>
  </si>
  <si>
    <t>Antioquia, Fredonia, Vereda Santa Isabel, Finca Colegio Mayor, parte alta Cerro Bravo.</t>
  </si>
  <si>
    <t>05°56'6.30"N</t>
  </si>
  <si>
    <t>75°42'12.9" W</t>
  </si>
  <si>
    <t>05°56'6.30"N, 75°42'12.9" W</t>
  </si>
  <si>
    <t>5.9350833</t>
  </si>
  <si>
    <t>-75.7035833</t>
  </si>
  <si>
    <t>5.9350833,-75.7035833</t>
  </si>
  <si>
    <t>HUA149905</t>
  </si>
  <si>
    <t>Vereda Santa Isabel, Finca Colegio Mayor, parte alta Cerro Bravo.</t>
  </si>
  <si>
    <t>H. David &amp; A. Giraldo 631</t>
  </si>
  <si>
    <t>HUA 153031</t>
  </si>
  <si>
    <t>Colombia, Antioquia, Medellín, Corregimieno de Santa Elena, Reserva Natural Montevivo</t>
  </si>
  <si>
    <t>06°12'48"N</t>
  </si>
  <si>
    <t>75°29'32.2"W</t>
  </si>
  <si>
    <t>06°12'48"N, 75°29'32.2"W</t>
  </si>
  <si>
    <t>Corregimieno de Santa Elena, Reserva Natural Montevivo</t>
  </si>
  <si>
    <t>W. Rodriguez et al., 4059</t>
  </si>
  <si>
    <t>COL 500606</t>
  </si>
  <si>
    <t>Antioquia, Anorí, Sector El Chaquiral, borde de Quebrada</t>
  </si>
  <si>
    <t>06°58'55.4"N</t>
  </si>
  <si>
    <t>75°07'58.4"W</t>
  </si>
  <si>
    <t>06°58'55.4"N, 75°07'58.4"W</t>
  </si>
  <si>
    <t>6.9820556</t>
  </si>
  <si>
    <t>-75.1328889</t>
  </si>
  <si>
    <t>6.9820556,-75.1328889</t>
  </si>
  <si>
    <t>Sector El Chaquiral, borde de Quebrada</t>
  </si>
  <si>
    <t>HUA 141995</t>
  </si>
  <si>
    <t>Antioquia, Anorí, sector el Chaquiral, al borde de quebrada</t>
  </si>
  <si>
    <t>sector el Chaquiral, al borde de quebrada</t>
  </si>
  <si>
    <t>W. Rodriguez et al., 4864</t>
  </si>
  <si>
    <t>HUA 153786</t>
  </si>
  <si>
    <t>5°59'0.8"N</t>
  </si>
  <si>
    <t>75°38'06.8"W</t>
  </si>
  <si>
    <t>5°59'0.8"N, 75°38'06.8"W</t>
  </si>
  <si>
    <t>5.9835556</t>
  </si>
  <si>
    <t>-75.6352222</t>
  </si>
  <si>
    <t>5.9835556,-75.6352222</t>
  </si>
  <si>
    <t>W. Rodriguez et al., 4932</t>
  </si>
  <si>
    <t>HUA 153790</t>
  </si>
  <si>
    <t>Antioquia, Jardín Vereda la Mesenia, sector Paramillo</t>
  </si>
  <si>
    <t>2280-2560</t>
  </si>
  <si>
    <t>05°29'13.2"N</t>
  </si>
  <si>
    <t>75°53'52"W</t>
  </si>
  <si>
    <t>05°29'13.2"N, 75°53'52"W</t>
  </si>
  <si>
    <t>5.487</t>
  </si>
  <si>
    <t>-75.8977778</t>
  </si>
  <si>
    <t>5.487,-75.8977778</t>
  </si>
  <si>
    <t>Jardín Vereda la Mesenia</t>
  </si>
  <si>
    <t>sector Paramillo</t>
  </si>
  <si>
    <t>Rodriguez W. et al., 5089</t>
  </si>
  <si>
    <t>HUA 153793</t>
  </si>
  <si>
    <t>Colombia, Antioquia, Angelópolis, sector Bocatoma acueducto, Quebrada Las Animas.</t>
  </si>
  <si>
    <t>N 06°06'55.08"</t>
  </si>
  <si>
    <t>06°06'55.08" N</t>
  </si>
  <si>
    <t>W 75°41'54.16"</t>
  </si>
  <si>
    <t>75°41'54.16" W</t>
  </si>
  <si>
    <t>06°06'55.08" N, 75°41'54.16" W</t>
  </si>
  <si>
    <t>6.1153</t>
  </si>
  <si>
    <t>-75.6983778</t>
  </si>
  <si>
    <t>6.1153,-75.6983778</t>
  </si>
  <si>
    <t>Angelópolis</t>
  </si>
  <si>
    <t>sector Bocatoma acueducto, Quebrada Las Animas.</t>
  </si>
  <si>
    <t>W. Rodriguez et al., 5547</t>
  </si>
  <si>
    <t>HUA 154688</t>
  </si>
  <si>
    <t>Antioquia, Angelópolis, vereda Romeral, sector Bocatoma, acueducto multiveredal, Quebrada Las Animas</t>
  </si>
  <si>
    <t>2100-2200</t>
  </si>
  <si>
    <t>06°09'29"N</t>
  </si>
  <si>
    <t>75°42'05"W</t>
  </si>
  <si>
    <t>06°09'29"N, 75°42'05"W</t>
  </si>
  <si>
    <t>6.1580556</t>
  </si>
  <si>
    <t>-75.7013889</t>
  </si>
  <si>
    <t>6.1580556,-75.7013889</t>
  </si>
  <si>
    <t>vereda Romeral, sector Bocatoma, acueducto multiveredal, Quebrada Las Animas</t>
  </si>
  <si>
    <t>W. Rodriguez &amp; J. Rios 6087</t>
  </si>
  <si>
    <t>HUA 158396</t>
  </si>
  <si>
    <t>Antioquia, Medellín, Corregimiento de San Antonio de Prado, vereda La Verde, sector Montes del Encanto</t>
  </si>
  <si>
    <t>6°12'39.7"N</t>
  </si>
  <si>
    <t>75°39'18.5"W</t>
  </si>
  <si>
    <t>6°12'39.7"N, 75°39'18.5"W</t>
  </si>
  <si>
    <t>6.2110278</t>
  </si>
  <si>
    <t>-75.6551389</t>
  </si>
  <si>
    <t>6.2110278,-75.6551389</t>
  </si>
  <si>
    <t>Corregimiento de San Antonio de Prado, vereda La Verde, sector Montes del Encanto</t>
  </si>
  <si>
    <t>Sanín D. et al., 1962</t>
  </si>
  <si>
    <t>Colombia, Antioquia, Medellin, Parque Arvi, Corregimiento de Santa Helena, Vereda Piedras Blancas, Bosque rodeado por primeras regeneraciones, a 30 minutos de la represa Piedras Blancas.</t>
  </si>
  <si>
    <t>800</t>
  </si>
  <si>
    <t>D_Sanín1962</t>
  </si>
  <si>
    <t>Parque Arvi, Corregimiento de Santa Helena, Vereda Piedras Blancas, Bosque rodeado por primeras regeneraciones, a 30 minutos de la represa Piedras Blancas.</t>
  </si>
  <si>
    <t>Sanín D et al., 5188</t>
  </si>
  <si>
    <t>COL XXX</t>
  </si>
  <si>
    <t>Colombia, Antioquia, Frontino, vereda Venados Abajo, camino de la Cabaña de Venados a la vereda Alto Bonito, al frente de la Cabaña, Parque Nacional Natural Las Orquideas.</t>
  </si>
  <si>
    <t>900-920</t>
  </si>
  <si>
    <t>N 06°32'10.6"</t>
  </si>
  <si>
    <t>06°32'10.6" N</t>
  </si>
  <si>
    <t>W 76°19'15"</t>
  </si>
  <si>
    <t>76°19'15" W</t>
  </si>
  <si>
    <t>06°32'10.6" N, 76°19'15" W</t>
  </si>
  <si>
    <t>6.5362778</t>
  </si>
  <si>
    <t>-76.3208333</t>
  </si>
  <si>
    <t>6.5362778,-76.3208333</t>
  </si>
  <si>
    <t>vereda Venados Abajo, camino de la Cabaña de Venados a la vereda Alto Bonito, al frente de la Cabaña, Parque Nacional Natural Las Orquideas.</t>
  </si>
  <si>
    <t>Sanín D. et al., 5171</t>
  </si>
  <si>
    <t>COL XX</t>
  </si>
  <si>
    <t>S. fraxinifolium (Jacq.) A. R. Sm.S. fraxinifolium (Jacq.) A. R. Sm.</t>
  </si>
  <si>
    <t>HUA 123172</t>
  </si>
  <si>
    <t>Antioquia, Medellín, Corregimiento de Santa Elena, sector Piedras Blancas</t>
  </si>
  <si>
    <t>6°15'N, 75°35'W</t>
  </si>
  <si>
    <t>Corregimiento de Santa Elena, sector Piedras Blancas</t>
  </si>
  <si>
    <t>Murillo J.C. et al., 2921</t>
  </si>
  <si>
    <t>COL 000335916</t>
  </si>
  <si>
    <t>Colombia, Boyacá, Villa de Leyva, Santuario de Fauna y Flora de Iguaque, quebrada Carrizal.</t>
  </si>
  <si>
    <t>COL000335916</t>
  </si>
  <si>
    <t>Villa de Leyva</t>
  </si>
  <si>
    <t>Santuario de Fauna y Flora de Iguaque, quebrada Carrizal.</t>
  </si>
  <si>
    <t>L. Albert de Escobar &amp; J. Brand 2073</t>
  </si>
  <si>
    <t>HUA 15278</t>
  </si>
  <si>
    <t>Caldas, Pensilvania, Atrás de Hospital de Pensilvania</t>
  </si>
  <si>
    <t>HUA15278</t>
  </si>
  <si>
    <t>Atrás de Hospital de Pensilvania</t>
  </si>
  <si>
    <t>C. Barbosa 10033</t>
  </si>
  <si>
    <t>HUQ 24291</t>
  </si>
  <si>
    <t>Caldas, Samaná, cruce de camino a Florencia, con Pueblo Nuevo, con 24 de Pensilvania?</t>
  </si>
  <si>
    <t>05°30'08" N</t>
  </si>
  <si>
    <t>75°07'33" W</t>
  </si>
  <si>
    <t>05°30'08" N, 75°07'33" W</t>
  </si>
  <si>
    <t>5.5022222</t>
  </si>
  <si>
    <t>-75.1258333</t>
  </si>
  <si>
    <t>5.5022222,-75.1258333</t>
  </si>
  <si>
    <t>HUQ24291</t>
  </si>
  <si>
    <t>cruce de camino a Florencia, con Pueblo Nuevo, con 24 de Pensilvania?</t>
  </si>
  <si>
    <t>C. Barbosa 10027</t>
  </si>
  <si>
    <t>HUQ 24264</t>
  </si>
  <si>
    <t>D. Sanín 1737</t>
  </si>
  <si>
    <t>FAUC 14368</t>
  </si>
  <si>
    <t>Caldas, Manizales, Ecoparque Los Yarumos.</t>
  </si>
  <si>
    <t>FAUC14368</t>
  </si>
  <si>
    <t>Ecoparque Los Yarumos.</t>
  </si>
  <si>
    <t>Sanín D. et al., 1955</t>
  </si>
  <si>
    <t>Colombia, Caldas, Villamaría, vereda Montaño, finca La Meza, vía Las Minas de California, Tolda Fría.</t>
  </si>
  <si>
    <t>D_Sanín1955</t>
  </si>
  <si>
    <t>vereda Montaño, finca La Meza, vía Las Minas de California, Tolda Fría.</t>
  </si>
  <si>
    <t>Sanín D. et al., 2695</t>
  </si>
  <si>
    <t>Colombia, Caldas, Río Sucio, Vereda Buenos Aires, Finca Agua Bonita, Propietarío Hector Cano.</t>
  </si>
  <si>
    <t>D_Sanín2695</t>
  </si>
  <si>
    <t>Río Sucio</t>
  </si>
  <si>
    <t>Vereda Buenos Aires, Finca Agua Bonita, Propietarío Hector Cano.</t>
  </si>
  <si>
    <t>Sanín D. 2804</t>
  </si>
  <si>
    <t>Colombia, Caldas, San Jose de Risaralda, vereda Chavarquia.</t>
  </si>
  <si>
    <t>Sanín D. 2231</t>
  </si>
  <si>
    <t>Colombia, Caldas, Salamina, vereda Encimadas, vía Encimadas-La Asombrosa.</t>
  </si>
  <si>
    <t>La vereda Encimadas está en el municipio Samaná</t>
  </si>
  <si>
    <t>D_Sanín2231</t>
  </si>
  <si>
    <t>vereda Encimadas, vía Encimadas-La Asombrosa.</t>
  </si>
  <si>
    <t>Sanín D. et al., 3301</t>
  </si>
  <si>
    <t>4° 59' 5.57'' N</t>
  </si>
  <si>
    <t>4° 59' 5.57'' N, 75° 27' 4.10'' W</t>
  </si>
  <si>
    <t>Sanín D. et al., 3366</t>
  </si>
  <si>
    <t>Colombia, Caldas, Salamina, corregimiento de San Felix, sector La Samaria, relictos atrás de la escuela.</t>
  </si>
  <si>
    <t>N 05° 23'7.99"</t>
  </si>
  <si>
    <t>05° 23'7.99" N</t>
  </si>
  <si>
    <t>W 75°21'12"</t>
  </si>
  <si>
    <t>75°21'12" W</t>
  </si>
  <si>
    <t>05° 23'7.99" N, 75°21'12" W</t>
  </si>
  <si>
    <t>5.3855528</t>
  </si>
  <si>
    <t>-75.3533333</t>
  </si>
  <si>
    <t>5.3855528,-75.3533333</t>
  </si>
  <si>
    <t>corregimiento de San Felix, sector La Samaria, relictos atrás de la escuela.</t>
  </si>
  <si>
    <t>Sanín D. et al., 4382</t>
  </si>
  <si>
    <t>CUVC XXX</t>
  </si>
  <si>
    <t>Colombia, Caldas, Salamina, corregimeinto de San Felix, localidad El Recreo, Bosques a la izquierda de la vía a Marulanda, entre el potrero y el Bosque.</t>
  </si>
  <si>
    <t>1188666</t>
  </si>
  <si>
    <t>1506143 W</t>
  </si>
  <si>
    <t>1188666, 1506143 W</t>
  </si>
  <si>
    <t>corregimeinto de San Felix, localidad El Recreo, Bosques a la izquierda de la vía a Marulanda, entre el potrero y el Bosque.</t>
  </si>
  <si>
    <t>Peréz- Arbeláez E. &amp; J. Cuatrecasas 6272</t>
  </si>
  <si>
    <t>COL 996</t>
  </si>
  <si>
    <t>Colombia, Cauca, Cordillera Occidental, Cerro de Munchique, vertiente W, en la Hoya del Río Tambito.</t>
  </si>
  <si>
    <t>COL996</t>
  </si>
  <si>
    <t>Cordillera Occidental</t>
  </si>
  <si>
    <t>Cerro de Munchique, vertiente W, en la Hoya del Río Tambito.</t>
  </si>
  <si>
    <t>Idrobo J.M. &amp; A. Fernandez 249</t>
  </si>
  <si>
    <t>COL 72781</t>
  </si>
  <si>
    <t>Colombia, Cauca, Cordillera Occidental, vertiente oriental, Cuchilla El Tambo.</t>
  </si>
  <si>
    <t>COL72781</t>
  </si>
  <si>
    <t>vertiente oriental, Cuchilla El Tambo.</t>
  </si>
  <si>
    <t>Hagemman W.  354</t>
  </si>
  <si>
    <t>CUVC 6230</t>
  </si>
  <si>
    <t>Colombia, Cauca, vía Popayán, río Orejas, Reserva El Guayabo</t>
  </si>
  <si>
    <t>CUVC6230</t>
  </si>
  <si>
    <t>vía Popayán</t>
  </si>
  <si>
    <t>río Orejas, Reserva El Guayabo</t>
  </si>
  <si>
    <t>C. Gonzalez 557</t>
  </si>
  <si>
    <t>COL 434447</t>
  </si>
  <si>
    <t>Cauca, Santa Rosa, Serrania de los Churumbelos, Bota Caucana, La Piedra.</t>
  </si>
  <si>
    <t>Serrania de los Churumbelos, Bota Caucana, La Piedra.</t>
  </si>
  <si>
    <t>C. Gonzalez 493</t>
  </si>
  <si>
    <t>CAUP 134449</t>
  </si>
  <si>
    <t>C. Gonzalez 723</t>
  </si>
  <si>
    <t>COL 434450</t>
  </si>
  <si>
    <t>O.L. Casañas Suárez 217</t>
  </si>
  <si>
    <t>COL 471103</t>
  </si>
  <si>
    <t>Colombia, Cauca, El Tambo, Reserva Natural Tambito</t>
  </si>
  <si>
    <t>2°30'16.8" N</t>
  </si>
  <si>
    <t>77°59'42.7" W</t>
  </si>
  <si>
    <t>2°30'16.8" N, 77°59'42.7" W</t>
  </si>
  <si>
    <t>2.5046667</t>
  </si>
  <si>
    <t>-77.9951944</t>
  </si>
  <si>
    <t>2.5046667,-77.9951944</t>
  </si>
  <si>
    <t>Reserva Natural Tambito</t>
  </si>
  <si>
    <t>Ramirez-P. B.R. 12962</t>
  </si>
  <si>
    <t>CAUP 14777</t>
  </si>
  <si>
    <t>Colombia, Cauca, Popayán, hacienda La Lomita, km9,5 de la variante a Calí.</t>
  </si>
  <si>
    <t>N 2°28'</t>
  </si>
  <si>
    <t>2°28' N</t>
  </si>
  <si>
    <t>2°28' N, 76°37' W</t>
  </si>
  <si>
    <t>2.4666667</t>
  </si>
  <si>
    <t>2.4666667,-76.6166667</t>
  </si>
  <si>
    <t>hacienda La Lomita, km9, 5 de la variante a Calí.</t>
  </si>
  <si>
    <t>O.L. Casañas Suárez 536</t>
  </si>
  <si>
    <t>CAUP 7124</t>
  </si>
  <si>
    <t>Cauca, El Tambo, Reserva Natural Tambito.</t>
  </si>
  <si>
    <t>2°32'51" N</t>
  </si>
  <si>
    <t>76°59'20" W</t>
  </si>
  <si>
    <t>2°32'51" N, 76°59'20" W</t>
  </si>
  <si>
    <t>2.5475</t>
  </si>
  <si>
    <t>-76.9888889</t>
  </si>
  <si>
    <t>2.5475,-76.9888889</t>
  </si>
  <si>
    <t>Casañas Suárez O.L.  682</t>
  </si>
  <si>
    <t>CAUP 7157</t>
  </si>
  <si>
    <t>02°31'02.3" N</t>
  </si>
  <si>
    <t>76°59'51.5" W</t>
  </si>
  <si>
    <t>02°31'02.3" N, 76°59'51.5" W</t>
  </si>
  <si>
    <t>2.5173056</t>
  </si>
  <si>
    <t>-76.9976389</t>
  </si>
  <si>
    <t>2.5173056,-76.9976389</t>
  </si>
  <si>
    <t>D.M. Munar 1342</t>
  </si>
  <si>
    <t>CAUP 16572</t>
  </si>
  <si>
    <t>Cauca, Santa Rosa, Bota Caucana, Corregimiento San Juan de Villalobos, Vereda La Esmeralda.</t>
  </si>
  <si>
    <t>01°33'18.7" N</t>
  </si>
  <si>
    <t>76°18'18.6" W</t>
  </si>
  <si>
    <t>01°33'18.7" N, 76°18'18.6" W</t>
  </si>
  <si>
    <t>Bota Caucana, Corregimiento San Juan de Villalobos, Vereda La Esmeralda.</t>
  </si>
  <si>
    <t>E. L. Muñoz et al., 1948</t>
  </si>
  <si>
    <t>CAUP 18</t>
  </si>
  <si>
    <t>Rangel-Ch. J.O. et al., 11388a</t>
  </si>
  <si>
    <t>COL 000335947</t>
  </si>
  <si>
    <t>Colombia, Cesar, Serranía del Perijá, Manaure, El Cinco, Finca Vistahermosa, SE de la carretera.</t>
  </si>
  <si>
    <t>N 10°26'</t>
  </si>
  <si>
    <t>10°26' N</t>
  </si>
  <si>
    <t>W 72°57'</t>
  </si>
  <si>
    <t>72°57' W</t>
  </si>
  <si>
    <t>10°26' N, 72°57' W</t>
  </si>
  <si>
    <t>10.4333333</t>
  </si>
  <si>
    <t>-72.95</t>
  </si>
  <si>
    <t>10.4333333,-72.95</t>
  </si>
  <si>
    <t>COL000335947</t>
  </si>
  <si>
    <t>Cesar</t>
  </si>
  <si>
    <t>Serranía del Perijá</t>
  </si>
  <si>
    <t>Manaure, El Cinco, Finca Vistahermosa, SE de la carretera.</t>
  </si>
  <si>
    <t>Forero E. et al., 3408</t>
  </si>
  <si>
    <t>COL 000335994</t>
  </si>
  <si>
    <t>Colombia, Chochó, San Jose del Palmar, cerro al SO de la población.</t>
  </si>
  <si>
    <t>COL000335994</t>
  </si>
  <si>
    <t>cerro al SO de la población.</t>
  </si>
  <si>
    <t>Lellinger D.B. &amp; E. de la Sota 452</t>
  </si>
  <si>
    <t>COL 000335929</t>
  </si>
  <si>
    <t>Colombia, Chocó, Río El Salto (tributary of the Río Suruco), 9 km W of Andagoya, river banks, flood plains and hillsides.</t>
  </si>
  <si>
    <t>75-100</t>
  </si>
  <si>
    <t>COL000335929</t>
  </si>
  <si>
    <t>Río El Salto (tributary of the Río Suruco)</t>
  </si>
  <si>
    <t>9 km W of Andagoya, river banks, flood plains and hillsides.</t>
  </si>
  <si>
    <t>Gentry A.H. &amp; E. Renteria 24193</t>
  </si>
  <si>
    <t>HUA 1378</t>
  </si>
  <si>
    <t>Colombia, Chocó, Emisora La Sirena, 3 km W of La Mansa at top of Cordillera Occidental.</t>
  </si>
  <si>
    <t>Hr-He</t>
  </si>
  <si>
    <t>HUA1378</t>
  </si>
  <si>
    <t>Emisora La Sirena</t>
  </si>
  <si>
    <t>3 km W of La Mansa at top of Cordillera Occidental.</t>
  </si>
  <si>
    <t>Duque-Jaramillo J.M. 3303</t>
  </si>
  <si>
    <t>COL 000335903</t>
  </si>
  <si>
    <t>Colombia, Cundinamarca, carretera Aguabonita y Fusagasugá.</t>
  </si>
  <si>
    <t>carretera Aguabonita y Fusagasugá.</t>
  </si>
  <si>
    <t>Duque-Jaramillo J.M. 3304</t>
  </si>
  <si>
    <t>FAUC 0290</t>
  </si>
  <si>
    <t>Colombia, Cundinamarca, Aguabonita a Fusagasua, Cordillera Oriental.</t>
  </si>
  <si>
    <t>FAUC0290</t>
  </si>
  <si>
    <t>Aguabonita a Fusagasua</t>
  </si>
  <si>
    <t>Cordillera Oriental.</t>
  </si>
  <si>
    <t>Bischler H. 2250</t>
  </si>
  <si>
    <t>COL 000335912</t>
  </si>
  <si>
    <t>Colombia, Cundinamarca, Salto del Tequendama.</t>
  </si>
  <si>
    <t>COL000335912</t>
  </si>
  <si>
    <t>Salto del Tequendama.</t>
  </si>
  <si>
    <t>Uribe Uribe L. 4914</t>
  </si>
  <si>
    <t>COL 000335904</t>
  </si>
  <si>
    <t>Colombia, Cundinamarca, sureste de Santandercito, cerros cercanos a El Ermitaño.</t>
  </si>
  <si>
    <t>COL000335904</t>
  </si>
  <si>
    <t>sureste de Santandercito</t>
  </si>
  <si>
    <t>cerros cercanos a El Ermitaño.</t>
  </si>
  <si>
    <t>Acosta-Arteaga C.E. 104</t>
  </si>
  <si>
    <t>COL 000335920</t>
  </si>
  <si>
    <t>Colombia, Cundinamarca, km 60-61 de la carretera Guasca a Gachetá.</t>
  </si>
  <si>
    <t>Utilicé de referencia el punto de un gacetero ubicado aprox en el km 49 de la vía</t>
  </si>
  <si>
    <t>COL0003336291</t>
  </si>
  <si>
    <t>km 60-61 de la carretera Guasca a Gachetá.</t>
  </si>
  <si>
    <t>Acosta-Arteaga C.E. 145</t>
  </si>
  <si>
    <t>COL 000335901</t>
  </si>
  <si>
    <t>Colombia, Cundinamarca, Silvania, km 36 de la carretera Sibaté a Fusagasugá cerca de la Quebrada Agua Bonita.</t>
  </si>
  <si>
    <t>COL000335901</t>
  </si>
  <si>
    <t>Silvania</t>
  </si>
  <si>
    <t>km 36 de la carretera Sibaté a Fusagasugá cerca de la Quebrada Agua Bonita.</t>
  </si>
  <si>
    <t>Acosta-Arteaga C.E. 2227</t>
  </si>
  <si>
    <t>COL 000335931</t>
  </si>
  <si>
    <t>Colombia, Cundinamarca, La Mesa, Laguna Pedro-Palo.</t>
  </si>
  <si>
    <t>La Mesa</t>
  </si>
  <si>
    <t>Acosta-Arteaga C.E. et al., 2253</t>
  </si>
  <si>
    <t>COL 000335899</t>
  </si>
  <si>
    <t>Colombia, Cundinamarca, La Mesa, Laguna Pedro Pablo.</t>
  </si>
  <si>
    <t>Laguna Pedro Pablo.</t>
  </si>
  <si>
    <t>Triana-Moreno L.A. et al., 24</t>
  </si>
  <si>
    <t>COL 000070245</t>
  </si>
  <si>
    <t>Colombia, Cundinamarca, Albán, vereda Las Marías, Fundación Granjas Infantiles del Padre Luna, granja del Gran Ciudadano, frente al Paseo Jalisco.</t>
  </si>
  <si>
    <t>vereda Las Marías, Fundación Granjas Infantiles del Padre Luna, granja del Gran Ciudadano, frente al Paseo Jalisco.</t>
  </si>
  <si>
    <t>Idrobo J.M. et al., 2887</t>
  </si>
  <si>
    <t>COL 000336053</t>
  </si>
  <si>
    <t>Colombia, Huila, Macizo Colombiano, Hoya del Magdalena, San Agustín, k 7 carretera a Santa Rosa.</t>
  </si>
  <si>
    <t>No encontré la vía hacia Santa Rosa. Los alrededores de San Agustín están a menos de 2.000 msnm</t>
  </si>
  <si>
    <t>COL000336053</t>
  </si>
  <si>
    <t>Hoya del Magdalena, San Agustín, k 7 carretera a Santa Rosa.</t>
  </si>
  <si>
    <t>S. Díaz et al., 425</t>
  </si>
  <si>
    <t>COL 146877</t>
  </si>
  <si>
    <t>Huila, La Plata, Vereda Agua Bonita, Finca Meremberg, en bosque de Robles</t>
  </si>
  <si>
    <t>1200-1300</t>
  </si>
  <si>
    <t>La reserva Natural Privada Merenberg está ubicada en la vereda La María, en La Plata, Huila; sobre los 2.100 msnm</t>
  </si>
  <si>
    <t>COL146877</t>
  </si>
  <si>
    <t>La Plata</t>
  </si>
  <si>
    <t>Vereda Agua Bonita, Finca Meremberg, en bosque de Robles</t>
  </si>
  <si>
    <t xml:space="preserve"> Díaz S. et al., 708</t>
  </si>
  <si>
    <t>COL 000336019</t>
  </si>
  <si>
    <t>Colombia, Huila, La Plata, Vereda Agua Bonita, Finca Meremberg.</t>
  </si>
  <si>
    <t>Vereda Agua Bonita, Finca Meremberg.</t>
  </si>
  <si>
    <t xml:space="preserve"> Díaz S. et al., 772</t>
  </si>
  <si>
    <t>COL 152555</t>
  </si>
  <si>
    <t>Huila, La Plata, Vereda Agua Bonita, Finca Meremberg.</t>
  </si>
  <si>
    <t>J. H. Torres R. 1200</t>
  </si>
  <si>
    <t>COL 265473</t>
  </si>
  <si>
    <t>Huila, La Plata, Vereda Agua Bonita, Finca Meremberg, Bosque Ojo de Agua</t>
  </si>
  <si>
    <t>Vereda Agua Bonita, Finca Meremberg, Bosque Ojo de Agua</t>
  </si>
  <si>
    <t>Osorio G. 157</t>
  </si>
  <si>
    <t>COL 248582</t>
  </si>
  <si>
    <t>Colombia, Huila, Acevedo, carretera a San Marcos.</t>
  </si>
  <si>
    <t>carretera a San Marcos.</t>
  </si>
  <si>
    <t>Mejía-P. F. 243</t>
  </si>
  <si>
    <t>COL 000336026</t>
  </si>
  <si>
    <t>Colombia, Huila, Algeciras, vereda el Paraiso, finca Tamamlá, sector de Curubito.</t>
  </si>
  <si>
    <t>COL000336026</t>
  </si>
  <si>
    <t>Algeciras</t>
  </si>
  <si>
    <t>vereda el Paraiso, finca Tamamlá, sector de Curubito.</t>
  </si>
  <si>
    <t>F. Llanos &amp; J. Camacho 1784</t>
  </si>
  <si>
    <t>COL 427157</t>
  </si>
  <si>
    <t>Huila, Colombia, Inspeccion Santa Ana, vereda San Emilio, camino a vereda Nueva Granada.</t>
  </si>
  <si>
    <t>Inspeccion Santa Ana, vereda San Emilio, camino a vereda Nueva Granada.</t>
  </si>
  <si>
    <t>F. Llanos et al.,  3370</t>
  </si>
  <si>
    <t>COL 489291</t>
  </si>
  <si>
    <t>Huila, Campoalegre, Vereda Alto El Roble</t>
  </si>
  <si>
    <t>La vereda Alto Roble pertence al municipio de Algeciras</t>
  </si>
  <si>
    <t>COL489294</t>
  </si>
  <si>
    <t>Campoalegre</t>
  </si>
  <si>
    <t>Vereda Alto El Roble</t>
  </si>
  <si>
    <t>F. Llanos &amp; A. Araujo 3467</t>
  </si>
  <si>
    <t>COL 489294</t>
  </si>
  <si>
    <t>Huila, Campoalegre, Vereda Alto El Roble.</t>
  </si>
  <si>
    <t>Vereda Alto El Roble.</t>
  </si>
  <si>
    <t>C. E. Ceballos &amp; V. Lasso 231</t>
  </si>
  <si>
    <t>CAUP 20320</t>
  </si>
  <si>
    <t>Huila, San Agustín, Parque arqueologico Nacional</t>
  </si>
  <si>
    <t>CAUP20320</t>
  </si>
  <si>
    <t>Parque arqueologico Nacional</t>
  </si>
  <si>
    <t>N. Otalora 258</t>
  </si>
  <si>
    <t>CAUP 20620</t>
  </si>
  <si>
    <t>Huila, Nátaga, Serrania de las Nieves, Vereda El Orozco, Finca Miraflores.</t>
  </si>
  <si>
    <t>No encontré un punto de referencia. En internet leí que existe un Parque Natural Municipal llamado Serranía de Las Nieves, ubicado en Nátaga, Huila</t>
  </si>
  <si>
    <t>CAUP20620</t>
  </si>
  <si>
    <t>Nátaga</t>
  </si>
  <si>
    <t>Serrania de las Nieves, Vereda El Orozco, Finca Miraflores.</t>
  </si>
  <si>
    <t>Sanín D. &amp; E. Sanín 3205</t>
  </si>
  <si>
    <t>Colombia, Huila, Pitalito, vereda Charguayaco, Reserva de la comunidad El Arroyuelo.</t>
  </si>
  <si>
    <t>1925</t>
  </si>
  <si>
    <t>1° 46' 8.33" N</t>
  </si>
  <si>
    <t>1° 46' 8.33" N, 76° 1' 7.44" W</t>
  </si>
  <si>
    <t>1.7689806</t>
  </si>
  <si>
    <t>1.7689806,-76.0187333</t>
  </si>
  <si>
    <t>vereda Charguayaco, Reserva de la comunidad El Arroyuelo.</t>
  </si>
  <si>
    <t>Sanín D. &amp; E. Sanín 3210</t>
  </si>
  <si>
    <t>Colombia, Huila, Pitalito, vereda Charguayaco, Reserva de la comunidad El Arroyuelo</t>
  </si>
  <si>
    <t>vereda Charguayaco, Reserva de la comunidad El Arroyuelo</t>
  </si>
  <si>
    <t>Sanín D. &amp; E. Sanín 3189</t>
  </si>
  <si>
    <t>Sanín D. &amp; E. Sanín 3285</t>
  </si>
  <si>
    <t>Colombia, Huila, San Agustín, vereda Planares, relicto arriba de la Escuela Platanares, estos se enmarcan en potreros que se comunica con mas bosques.</t>
  </si>
  <si>
    <t>2147-2150</t>
  </si>
  <si>
    <t>1° 59' N</t>
  </si>
  <si>
    <t>76° 17'</t>
  </si>
  <si>
    <t>76° 17' W</t>
  </si>
  <si>
    <t>1° 59' N, 76° 17' W</t>
  </si>
  <si>
    <t>1.9833333</t>
  </si>
  <si>
    <t>-76.2833333</t>
  </si>
  <si>
    <t>1.9833333,-76.2833333</t>
  </si>
  <si>
    <t>vereda Planares, relicto arriba de la Escuela Platanares, estos se enmarcan en potreros que se comunica con mas bosques.</t>
  </si>
  <si>
    <t>Foster M.B. 1379</t>
  </si>
  <si>
    <t>COL 000335944</t>
  </si>
  <si>
    <t>Colombia, Magdalena, Santa Marta, Cleveland in mts of Cincinnati.</t>
  </si>
  <si>
    <t>7100 fts</t>
  </si>
  <si>
    <t>COL000335944</t>
  </si>
  <si>
    <t>Santa Marta</t>
  </si>
  <si>
    <t>Cleveland in mts of Cincinnati.</t>
  </si>
  <si>
    <t>Romero-Catañeda R. 7846</t>
  </si>
  <si>
    <t>COL 000335934</t>
  </si>
  <si>
    <t>Colombia, Magdalena, Santa Marta, base del Cerro Quemado y Cerro San Lorenzo.</t>
  </si>
  <si>
    <t>COL000335934</t>
  </si>
  <si>
    <t>base del Cerro Quemado y Cerro San Lorenzo.</t>
  </si>
  <si>
    <t>Romero-Catañeda R. 7791</t>
  </si>
  <si>
    <t>COL 000335960</t>
  </si>
  <si>
    <t>Colombia, Magdalena, Santa Marta, Cerro Quemado a Cincinnatti.</t>
  </si>
  <si>
    <t>2600-2800</t>
  </si>
  <si>
    <t>Cerro Quemado a Cincinnatti.</t>
  </si>
  <si>
    <t>Romero Castañeda R.</t>
  </si>
  <si>
    <t>COL 000335940</t>
  </si>
  <si>
    <t>Colombia, Magdalena, Santa Marta, de Cerro Quemado a Cincinnattii.</t>
  </si>
  <si>
    <t>1400-2600</t>
  </si>
  <si>
    <t>de Cerro Quemado a Cincinnattii.</t>
  </si>
  <si>
    <t>Kirkbride J.H. 2376</t>
  </si>
  <si>
    <t>COL 000335937</t>
  </si>
  <si>
    <t>Colombia, Magdalena, Sierra Nevada de Santa Marta, in forest along Quebrada N of House in Finca Los Arroyitos.</t>
  </si>
  <si>
    <t>N 10°56'</t>
  </si>
  <si>
    <t>10°56' N</t>
  </si>
  <si>
    <t>W 73°58'</t>
  </si>
  <si>
    <t>73°58' W</t>
  </si>
  <si>
    <t>10°56' N, 73°58' W</t>
  </si>
  <si>
    <t>10.9333333</t>
  </si>
  <si>
    <t>-73.9666667</t>
  </si>
  <si>
    <t>10.9333333,-73.9666667</t>
  </si>
  <si>
    <t>in forest along Quebrada N of House in Finca Los Arroyitos.</t>
  </si>
  <si>
    <t>Jaramillo-Mejía R. et al., 5241</t>
  </si>
  <si>
    <t>COL 000335958</t>
  </si>
  <si>
    <t>Colombia, Magdalena, Sierra Nevada de Santa Marta, Alto Río Buritacá, Cuchilla El Mirador, Transecto Buritacá.</t>
  </si>
  <si>
    <t>COL000335958</t>
  </si>
  <si>
    <t>Alto Río Buritacá, Cuchilla El Mirador, Transecto Buritacá.</t>
  </si>
  <si>
    <t>Idrobo J.M. &amp; R. E. Schultes 1142</t>
  </si>
  <si>
    <t>COL 000335990</t>
  </si>
  <si>
    <t>Colombia, Meta, Serrania de La Macarena, (extremo nordeste), macizo Rengifo, cumbre y alrededores.</t>
  </si>
  <si>
    <t>1300-1900</t>
  </si>
  <si>
    <t>COL000336361</t>
  </si>
  <si>
    <t>Serrania de La Macarena</t>
  </si>
  <si>
    <t>(extremo nordeste), macizo Rengifo, cumbre y alrededores.</t>
  </si>
  <si>
    <t>Jaramillo R. 7313</t>
  </si>
  <si>
    <t>COL 000335910</t>
  </si>
  <si>
    <t>Colombia, Meta, Acacías, Colonia Penal y Agrícola de Oriente.</t>
  </si>
  <si>
    <t>COL000335970</t>
  </si>
  <si>
    <t>Acacías</t>
  </si>
  <si>
    <t>Colonia Penal y Agrícola de Oriente.</t>
  </si>
  <si>
    <t>Jaramillo R. 7465</t>
  </si>
  <si>
    <t>COL 000335970</t>
  </si>
  <si>
    <t>O. de Benavides 3423</t>
  </si>
  <si>
    <t>PSO 11273</t>
  </si>
  <si>
    <t>Nariño, Ipiales, Km 24, carretera Ipiales-La Victoria</t>
  </si>
  <si>
    <t>Km 24, carretera Ipiales-La Victoria</t>
  </si>
  <si>
    <t>Bristol M.L. 307</t>
  </si>
  <si>
    <t>COL 000336025</t>
  </si>
  <si>
    <t>Colombia, Putumayo, Valle del Río Sibundoy, camino de la hidraulica, 1 km Sibundoy.</t>
  </si>
  <si>
    <t>COL000336025</t>
  </si>
  <si>
    <t>Valle del Río Sibundoy</t>
  </si>
  <si>
    <t>camino de la hidraulica, 1 km Sibundoy.</t>
  </si>
  <si>
    <t>Barinngton D.  526</t>
  </si>
  <si>
    <t>PSO 4409</t>
  </si>
  <si>
    <t>Putumayo, Vía Pasto-Mocoa, km 40</t>
  </si>
  <si>
    <t>PSO4409</t>
  </si>
  <si>
    <t>Vía Pasto-Mocoa</t>
  </si>
  <si>
    <t>km 40</t>
  </si>
  <si>
    <t xml:space="preserve"> Arbelaez G. et al., 1038</t>
  </si>
  <si>
    <t>HUA 61838</t>
  </si>
  <si>
    <t>Quindio, Filandia, via el Roble-Morro Azul</t>
  </si>
  <si>
    <t>No encontré la localidad morro azul. Marqué el punto desde Filandia hacia la vereda El Roble</t>
  </si>
  <si>
    <t>HUA61838</t>
  </si>
  <si>
    <t>via el Roble-Morro Azul</t>
  </si>
  <si>
    <t>G. Arbelaez S. et al., 1038</t>
  </si>
  <si>
    <t>HUQ 2953</t>
  </si>
  <si>
    <t>Quindio, Filandia, Carretera El Roble-Morro Azul.</t>
  </si>
  <si>
    <t>Carretera El Roble-Morro Azul.</t>
  </si>
  <si>
    <t>G. Arbelaez et al., 1365</t>
  </si>
  <si>
    <t>HUQ 2981</t>
  </si>
  <si>
    <t>Quindio, Pijao, Río Lejos, Margen izquierda Hacienda La Playa.</t>
  </si>
  <si>
    <t>HUQ2981</t>
  </si>
  <si>
    <t>Pijao</t>
  </si>
  <si>
    <t>Río Lejos, Margen izquierda Hacienda La Playa.</t>
  </si>
  <si>
    <t>C. Vélez et al., 1357</t>
  </si>
  <si>
    <t>HUQ 7333</t>
  </si>
  <si>
    <t>Quindio, Genova, vía Finca Las Mirlas-Servia.</t>
  </si>
  <si>
    <t>2400-2700</t>
  </si>
  <si>
    <t>HUQ7333</t>
  </si>
  <si>
    <t>Genova</t>
  </si>
  <si>
    <t>vía Finca Las Mirlas-Servia.</t>
  </si>
  <si>
    <t>C. A. Agudelo et al., 1707</t>
  </si>
  <si>
    <t>COL 336352</t>
  </si>
  <si>
    <t>Quindio, Salento, Reserva Acaime.</t>
  </si>
  <si>
    <t>COL336352</t>
  </si>
  <si>
    <t>Reserva Acaime.</t>
  </si>
  <si>
    <t>HUQ 10006</t>
  </si>
  <si>
    <t>C. Vélez et al., 3429</t>
  </si>
  <si>
    <t>HUQ 12771</t>
  </si>
  <si>
    <t>Quindio, Calarca, Vereda Planadas.</t>
  </si>
  <si>
    <t>HUQ12771</t>
  </si>
  <si>
    <t>Calarca</t>
  </si>
  <si>
    <t>Vereda Planadas.</t>
  </si>
  <si>
    <t>C. Vélez et al., 5027</t>
  </si>
  <si>
    <t>HUQ 14794</t>
  </si>
  <si>
    <t>Quindio, Genova, Vereda San Juan Alto, Finca la Caucasia.</t>
  </si>
  <si>
    <t>2500-2780</t>
  </si>
  <si>
    <t>HUQ14794</t>
  </si>
  <si>
    <t>Vereda San Juan Alto, Finca la Caucasia.</t>
  </si>
  <si>
    <t>Sanín D. et al., 3110</t>
  </si>
  <si>
    <t>Colombia, Quindio, Salento, vereda Cocora, vía a Estrella de Agua.</t>
  </si>
  <si>
    <t>vereda Cocora, vía a Estrella de Agua.</t>
  </si>
  <si>
    <t>Sanín D. et al., 3088</t>
  </si>
  <si>
    <t>Colombia, Quindío, Salento, Vereda Boquía. Sector la Pata Sola, flanco sur-oriental del río Boquía. Al frente el departamento del Quindío y detrás delSantuarío Otún Quimbaya.</t>
  </si>
  <si>
    <t>1950</t>
  </si>
  <si>
    <t>75°37'2.14'' W</t>
  </si>
  <si>
    <t>04°41'6.20" N, 75°37'2.14'' W</t>
  </si>
  <si>
    <t>-75.6172611</t>
  </si>
  <si>
    <t>4.6850556,-75.6172611</t>
  </si>
  <si>
    <t>Vereda Boquía. Sector la Pata Sola, flanco sur-oriental del río Boquía. Al frente el departamento del Quindío y detrás delSantuarío Otún Quimbaya.</t>
  </si>
  <si>
    <t>Sanín D. et al., 3108</t>
  </si>
  <si>
    <t>Colombia, Quindío, Salento, Vereda Cocora, Vía a Estrella de Agua, camino con mosaico sucesionales de Aliso.</t>
  </si>
  <si>
    <t>04°38'29.4'' N</t>
  </si>
  <si>
    <t>75°29'12.4'' W</t>
  </si>
  <si>
    <t>04°38'29.4'' N, 75°29'12.4'' W</t>
  </si>
  <si>
    <t>Vereda Cocora, Vía a Estrella de Agua, camino con mosaico sucesionales de Aliso.</t>
  </si>
  <si>
    <t>Torres J.H. et al., 1390</t>
  </si>
  <si>
    <t>COL 264911</t>
  </si>
  <si>
    <t>Colombia, Risaralda, Santuario, vereda Las Colonias, 200 m arriba del campamento.</t>
  </si>
  <si>
    <t>vereda Las Colonias, 200 m arriba del campamento.</t>
  </si>
  <si>
    <t>J.H. Torres et al., 2205</t>
  </si>
  <si>
    <t>COL 265065</t>
  </si>
  <si>
    <t>Risaralda, Apía, vereda La Cumbre</t>
  </si>
  <si>
    <t>COL265065</t>
  </si>
  <si>
    <t>Apía</t>
  </si>
  <si>
    <t>vereda La Cumbre</t>
  </si>
  <si>
    <t>C.A. Agudelo et al., 11</t>
  </si>
  <si>
    <t>HUQ 6814</t>
  </si>
  <si>
    <t>Risaralda, Pereira, Parque Natural Ucumarí, Vereda El Bosque.</t>
  </si>
  <si>
    <t>Ru</t>
  </si>
  <si>
    <t>HUQ6814</t>
  </si>
  <si>
    <t>Parque Natural Ucumarí, Vereda El Bosque.</t>
  </si>
  <si>
    <t>Franco-Roselli P. et al., 2807</t>
  </si>
  <si>
    <t>COL 000336060</t>
  </si>
  <si>
    <t>Colombia, Risaralda, Pereira, Parque Regional Ucumarí, entre La Pastora y Caylan.</t>
  </si>
  <si>
    <t>Parque Regional Ucumarí, entre La Pastora y Caylan.</t>
  </si>
  <si>
    <t>Duque Quintero J.M. 19</t>
  </si>
  <si>
    <t>FAUC 10676</t>
  </si>
  <si>
    <t>Colombia, Risaralda, Pereira, Santuario de Fauna y Flora Otun Quimbaya</t>
  </si>
  <si>
    <t>Santuario de Fauna y Flora Otun Quimbaya</t>
  </si>
  <si>
    <t>Sanín D. &amp; N. Castaño 1782</t>
  </si>
  <si>
    <t>FAUC 04000</t>
  </si>
  <si>
    <t>Colombia, Risaralda, Pereira, Parque Regional Ucumarí.</t>
  </si>
  <si>
    <t>Parque Regional Ucumarí.</t>
  </si>
  <si>
    <t>Sanín D. et al., 2445</t>
  </si>
  <si>
    <t>Colombia, Risaralda, Pereira, Reserva Otun Quimbaya, zona amortiguadora del Parque Los Nevados.</t>
  </si>
  <si>
    <t>1897</t>
  </si>
  <si>
    <t>04°43.752" N</t>
  </si>
  <si>
    <t>75°34.633" W</t>
  </si>
  <si>
    <t>04°43.752" N, 75°34.633" W</t>
  </si>
  <si>
    <t>He-Hr</t>
  </si>
  <si>
    <t>Reserva Otun Quimbaya, zona amortiguadora del Parque Los Nevados.</t>
  </si>
  <si>
    <t>Sanín D. et al., 2478</t>
  </si>
  <si>
    <t>Colombia, Risaralda, Santa Rosa de Cabal, Reserva Central Hidroelectrica de Caldas, Zona Amortiguadora del Parque los Nevados.</t>
  </si>
  <si>
    <t>2106</t>
  </si>
  <si>
    <t>04°49.149" N</t>
  </si>
  <si>
    <t>75°32.713" W</t>
  </si>
  <si>
    <t>04°49.149" N, 75°32.713" W</t>
  </si>
  <si>
    <t>Reserva Central Hidroelectrica de Caldas, Zona Amortiguadora del Parque los Nevados.</t>
  </si>
  <si>
    <t>Sanín D. et al., 3007</t>
  </si>
  <si>
    <t>Colombia, Risaralda, Santa Rosa de Cabal, Reserva Central Hidroelectrica de Caldas, Zona Amortiguadora del Parque los Nevado.</t>
  </si>
  <si>
    <t>2122-2612</t>
  </si>
  <si>
    <t>04°48.805" N</t>
  </si>
  <si>
    <t>75°31.963" W</t>
  </si>
  <si>
    <t>04°48.805" N, 75°31.963" W</t>
  </si>
  <si>
    <t>Reserva Central Hidroelectrica de Caldas, Zona Amortiguadora del Parque los Nevado.</t>
  </si>
  <si>
    <t>Sanín D. et al., 2499</t>
  </si>
  <si>
    <t>Colombia, Risaralda, Santa Rosa de Cabal, Reserva Central Hidroelectrica de Caldas-CHEC, zona amortiguadora del Parque Los Nevados.</t>
  </si>
  <si>
    <t>N 04°48.805"</t>
  </si>
  <si>
    <t>W 75°31.963"</t>
  </si>
  <si>
    <t>Reserva Central Hidroelectrica de Caldas-CHEC, zona amortiguadora del Parque Los Nevados.</t>
  </si>
  <si>
    <t>Sanín D. et al., 4236</t>
  </si>
  <si>
    <t>COL xxx</t>
  </si>
  <si>
    <t>Colombia, Risaralda, Santuario, Parque Nacional Natural Tatamá, Monte Sancudo.</t>
  </si>
  <si>
    <t>5.1244244 N</t>
  </si>
  <si>
    <t>76.0416654 W</t>
  </si>
  <si>
    <t>5.1244244 N, 76.0416654 W</t>
  </si>
  <si>
    <t>Parque Nacional Natural Tatamá, Monte Sancudo.</t>
  </si>
  <si>
    <t>Sanín D &amp; V. Torrez 5122</t>
  </si>
  <si>
    <t>Colombia, Risaralda, Pereira, Santuario de Fauna y Flora Otun Quimbaya, senderos al interior del Santuario.</t>
  </si>
  <si>
    <t>N 04°46'18.32"</t>
  </si>
  <si>
    <t>04°46'18.32" N</t>
  </si>
  <si>
    <t>W 75°37'45.74"</t>
  </si>
  <si>
    <t>75°37'45.74" W</t>
  </si>
  <si>
    <t>04°46'18.32" N, 75°37'45.74" W</t>
  </si>
  <si>
    <t>4.7717556</t>
  </si>
  <si>
    <t>-75.6293722</t>
  </si>
  <si>
    <t>4.7717556,-75.6293722</t>
  </si>
  <si>
    <t>Santuario de Fauna y Flora Otun Quimbaya, senderos al interior del Santuario.</t>
  </si>
  <si>
    <t>Sanín D. &amp; V. Torrez 5123</t>
  </si>
  <si>
    <t>Sanín D. et al., 4307</t>
  </si>
  <si>
    <t>Colombia, Risaralda, Santuario, Parque Nacional Natural Tatamá, descenso Valle de las Mirlas.</t>
  </si>
  <si>
    <t>3500-3000</t>
  </si>
  <si>
    <t>Parque Nacional Natural Tatamá, descenso Valle de las Mirlas.</t>
  </si>
  <si>
    <t>Sanín D. et al., 4312</t>
  </si>
  <si>
    <t>Colombia, Risaralda, Santuario, Parque Nacional Natural Tatamá, descenso Monte Mosquito.</t>
  </si>
  <si>
    <t>3000-2560</t>
  </si>
  <si>
    <t>5.1225913 N</t>
  </si>
  <si>
    <t>76.0459684 W</t>
  </si>
  <si>
    <t>5.1225913 N, 76.0459684 W</t>
  </si>
  <si>
    <t>Parque Nacional Natural Tatamá, descenso Monte Mosquito.</t>
  </si>
  <si>
    <t>Haught O. 1950</t>
  </si>
  <si>
    <t>COL 000335981</t>
  </si>
  <si>
    <t>Colombia, Santander, Cerro Armas.</t>
  </si>
  <si>
    <t>COL000335981</t>
  </si>
  <si>
    <t>Cerro Armas.</t>
  </si>
  <si>
    <t>Fernández- Alonso J.L. et al., 6245</t>
  </si>
  <si>
    <t>COL 000336063</t>
  </si>
  <si>
    <t>Colombia, Santander, Virolin.</t>
  </si>
  <si>
    <t>COL000336063</t>
  </si>
  <si>
    <t>Virolin.</t>
  </si>
  <si>
    <t>Orozco C.I. et al., 1571</t>
  </si>
  <si>
    <t>COL 000335766</t>
  </si>
  <si>
    <t>Colombia, Santander, Charta, carretera hacia El Roble.</t>
  </si>
  <si>
    <t>COL000335766</t>
  </si>
  <si>
    <t>Charta</t>
  </si>
  <si>
    <t>carretera hacia El Roble.</t>
  </si>
  <si>
    <t>Cadena-M.J.J. et al., 33</t>
  </si>
  <si>
    <t>COL 000336067</t>
  </si>
  <si>
    <t>Colombia, Santander, Charalá, vereda Santa Helena, predio La Sierra, margen Izquierdo de aguas abajo del río La Rusia, Santuario de Fauna y Flora Guantená, Alto Río Fonce.</t>
  </si>
  <si>
    <t>2400-2550</t>
  </si>
  <si>
    <t>N 06°01'</t>
  </si>
  <si>
    <t>06°01' N</t>
  </si>
  <si>
    <t>W 73°09'</t>
  </si>
  <si>
    <t>73°09' W</t>
  </si>
  <si>
    <t>06°01' N, 73°09' W</t>
  </si>
  <si>
    <t>6.0166667</t>
  </si>
  <si>
    <t>-73.15</t>
  </si>
  <si>
    <t>6.0166667,-73.15</t>
  </si>
  <si>
    <t>Charalá</t>
  </si>
  <si>
    <t>vereda Santa Helena, predio La Sierra, margen Izquierdo de aguas abajo del río La Rusia, Santuario de Fauna y Flora Guantená, Alto Río Fonce.</t>
  </si>
  <si>
    <t>J.M. Idrobo et al., 10324</t>
  </si>
  <si>
    <t>COL 218228</t>
  </si>
  <si>
    <t>Tolima, Santa Isabel, Vereda La Yuca, cerca de la Bodega, Finca Buenavista, Alto La Esperanza</t>
  </si>
  <si>
    <t>COL218228</t>
  </si>
  <si>
    <t>Vereda La Yuca, cerca de la Bodega, Finca Buenavista, Alto La Esperanza</t>
  </si>
  <si>
    <t>J.M. Idrobo &amp; J. Aguirre 10355</t>
  </si>
  <si>
    <t>COL 300156</t>
  </si>
  <si>
    <t>Tolima, Santa Isabel, Vereda Purima, Cerro Purima.</t>
  </si>
  <si>
    <t>COL219379</t>
  </si>
  <si>
    <t>Vereda Purima, Cerro Purima.</t>
  </si>
  <si>
    <t>J.M. Idrobo et al., 10448</t>
  </si>
  <si>
    <t>COL 219379</t>
  </si>
  <si>
    <t>Tolima, Santa Isabel, Vereda Purima, Finca El Prado, Cordillera Central, Vertiente Oriental</t>
  </si>
  <si>
    <t>Vereda Purima, Finca El Prado, Cordillera Central, Vertiente Oriental</t>
  </si>
  <si>
    <t>Correa E. 42</t>
  </si>
  <si>
    <t>FAUC 4806</t>
  </si>
  <si>
    <t>Tolima, Murillo, El Tambo, Escuela El Tambo</t>
  </si>
  <si>
    <t>FAUC4806</t>
  </si>
  <si>
    <t>El Tambo, Escuela El Tambo</t>
  </si>
  <si>
    <t>Sanín D. et al., 3176</t>
  </si>
  <si>
    <t>Colombia, Tolima, Ibague, corregimiento de Juntas, vía La Escuela El Salto.</t>
  </si>
  <si>
    <t>N 04°37' 45.3"</t>
  </si>
  <si>
    <t>04°37' 45.3" N</t>
  </si>
  <si>
    <t>W 75° 16' 9.31"</t>
  </si>
  <si>
    <t>04°37' 45.3" N, 75° 16' 9.31" W</t>
  </si>
  <si>
    <t>corregimiento de Juntas, vía La Escuela El Salto.</t>
  </si>
  <si>
    <t>Sanín D. et al., 3173</t>
  </si>
  <si>
    <t>E.P. Killip &amp; H. Garcia 33717</t>
  </si>
  <si>
    <t>COL 17999</t>
  </si>
  <si>
    <t>Valle, Monte Frio, Yanaconas</t>
  </si>
  <si>
    <t>1700-1850</t>
  </si>
  <si>
    <t>COL17999</t>
  </si>
  <si>
    <t>Valle</t>
  </si>
  <si>
    <t>Monte Frio</t>
  </si>
  <si>
    <t>Yanaconas</t>
  </si>
  <si>
    <t>A. Juncosa 2036</t>
  </si>
  <si>
    <t>CUVC 17448</t>
  </si>
  <si>
    <t>Valle, Vía El Danubio, cerca al Campamento de la CVC "Yatacue", Alto Anchicaya.</t>
  </si>
  <si>
    <t>03°30' N</t>
  </si>
  <si>
    <t>76°52' W</t>
  </si>
  <si>
    <t>03°30' N, 76°52' W</t>
  </si>
  <si>
    <t>3.5</t>
  </si>
  <si>
    <t>-76.8666667</t>
  </si>
  <si>
    <t>3.5,-76.8666667</t>
  </si>
  <si>
    <t>Vía El Danubio</t>
  </si>
  <si>
    <t>cerca al Campamento de la CVC "Yatacue", Alto Anchicaya.</t>
  </si>
  <si>
    <t xml:space="preserve"> Duque-Jaramillo J.M. 1862</t>
  </si>
  <si>
    <t>COL 43934</t>
  </si>
  <si>
    <t>Valle del Cauca, Hoya del Río Calí, El Recuerdo.</t>
  </si>
  <si>
    <t>COL43934</t>
  </si>
  <si>
    <t>Hoya del Río Calí</t>
  </si>
  <si>
    <t>El Recuerdo.</t>
  </si>
  <si>
    <t>de la Sota E. &amp; M.T. Murillo 6311</t>
  </si>
  <si>
    <t>COL 000336065</t>
  </si>
  <si>
    <t xml:space="preserve">Colombia, Valle del Cauca, carretera vieja Calí-Buenaventura, Km 91 ca, Sabaleta. </t>
  </si>
  <si>
    <t>COL000336065</t>
  </si>
  <si>
    <t>carretera vieja Calí-Buenaventura</t>
  </si>
  <si>
    <t>Km 91 ca, Sabaleta.</t>
  </si>
  <si>
    <t>Benalcazar C. &amp; F. Silva 229</t>
  </si>
  <si>
    <t>COL 000336045</t>
  </si>
  <si>
    <t>Colombia, Valle del Cauca, Peñas Blancas, Cuenca del Río Pichindé.</t>
  </si>
  <si>
    <t>COL000336045</t>
  </si>
  <si>
    <t>Peñas Blancas</t>
  </si>
  <si>
    <t>Cuenca del Río Pichindé.</t>
  </si>
  <si>
    <t>Ruiz R. &amp; Beltrán A. 754</t>
  </si>
  <si>
    <t>PSO 39273</t>
  </si>
  <si>
    <t>Colombia, Valle del Cauca, Palmira, I.P. Tenjo, quebrada Los Cuervos.</t>
  </si>
  <si>
    <t>PSO39273</t>
  </si>
  <si>
    <t>Palmira</t>
  </si>
  <si>
    <t>I.P. Tenjo, quebrada Los Cuervos.</t>
  </si>
  <si>
    <t>Sanín D. &amp; E. Sanín 2701</t>
  </si>
  <si>
    <t>Colombia, Valle del Cauca, Cali, Parque Nacional Natural Farallones de Cali, Vereda Pance, Reserva Amor y Paz, via a Balcones, Pico Pance.</t>
  </si>
  <si>
    <t>D_Sanín2701</t>
  </si>
  <si>
    <t>Cali</t>
  </si>
  <si>
    <t>Parque Nacional Natural Farallones de Cali, Vereda Pance, Reserva Amor y Paz, via a Balcones, Pico Pance.</t>
  </si>
  <si>
    <t>Sanín D. &amp; E. Sanín 2705</t>
  </si>
  <si>
    <t>Colombia, Valle del Cauca, Calí, Parque Nacional Natural Farallones de Calí, vereda Pance, Reserva Amor y Paz, vía a Balcones, Pico Pance.</t>
  </si>
  <si>
    <t>Calí</t>
  </si>
  <si>
    <t>Parque Nacional Natural Farallones de Calí, vereda Pance, Reserva Amor y Paz, vía a Balcones, Pico Pance.</t>
  </si>
  <si>
    <t>S. funckii (Meet.) A. R. Sm.</t>
  </si>
  <si>
    <t>Serpocaulon funckii</t>
  </si>
  <si>
    <t>A. L. Arbelaez et al., 113</t>
  </si>
  <si>
    <t>HUA 47285</t>
  </si>
  <si>
    <t>Antioquia, Sonsón, Páramo de Sonsón</t>
  </si>
  <si>
    <t>05° 41' N</t>
  </si>
  <si>
    <t>75° 14' W</t>
  </si>
  <si>
    <t>05° 41' N, 75° 14' W</t>
  </si>
  <si>
    <t>Sonsón</t>
  </si>
  <si>
    <t>Páramo de Sonsón</t>
  </si>
  <si>
    <t>W. Rodriguez et al., 4008</t>
  </si>
  <si>
    <t>HUA 141989</t>
  </si>
  <si>
    <t>Antioquia, Anorí, Reserva la Forzosa</t>
  </si>
  <si>
    <t>06° 59'15.6" N</t>
  </si>
  <si>
    <t>75° 08'35.6" W</t>
  </si>
  <si>
    <t>06° 59'15.6" N, 75° 08'35.6" W</t>
  </si>
  <si>
    <t>6.9876667</t>
  </si>
  <si>
    <t>-75.1432222</t>
  </si>
  <si>
    <t>6.9876667,-75.1432222</t>
  </si>
  <si>
    <t>Reserva la Forzosa</t>
  </si>
  <si>
    <t>S. funckii (Meet.) A.R. Sm.</t>
  </si>
  <si>
    <t>Hno. Daniel 559</t>
  </si>
  <si>
    <t>Col 1000</t>
  </si>
  <si>
    <t>Colombia, Antioquia, San Pedro.</t>
  </si>
  <si>
    <t>N 06°27'46"</t>
  </si>
  <si>
    <t>06°27'46" N</t>
  </si>
  <si>
    <t>W 75°33'23"</t>
  </si>
  <si>
    <t>75°33'23" W</t>
  </si>
  <si>
    <t>06°27'46" N, 75°33'23" W</t>
  </si>
  <si>
    <t>6.4627778</t>
  </si>
  <si>
    <t>-75.5563889</t>
  </si>
  <si>
    <t>6.4627778,-75.5563889</t>
  </si>
  <si>
    <t>San Pedro.</t>
  </si>
  <si>
    <t>Contreras N &amp; D. L.Echeverri 112</t>
  </si>
  <si>
    <t>HUA 66492</t>
  </si>
  <si>
    <t>Colombia, Antioquia, Guatapé, vereda Santa Rita, Finca Montepinar. Bosque Pluvial.</t>
  </si>
  <si>
    <t>vereda Santa Rita, Finca Montepinar. Bosque Pluvial.</t>
  </si>
  <si>
    <t>Atheortúa L.  &amp; R.Callejas 290</t>
  </si>
  <si>
    <t>HUA 4982</t>
  </si>
  <si>
    <t>Colombia, Antioquia, Entre Granada y San Carlos.</t>
  </si>
  <si>
    <t>N 06°08'49.20"</t>
  </si>
  <si>
    <t>06°08'49.20" N</t>
  </si>
  <si>
    <t>W 75°11'16.80"</t>
  </si>
  <si>
    <t>75°11'16.80" W</t>
  </si>
  <si>
    <t>06°08'49.20" N, 75°11'16.80" W</t>
  </si>
  <si>
    <t>6.147</t>
  </si>
  <si>
    <t>-75.188</t>
  </si>
  <si>
    <t>6.147,-75.188</t>
  </si>
  <si>
    <t>Entre Granada y San Carlos.</t>
  </si>
  <si>
    <t>JAUM 037</t>
  </si>
  <si>
    <t>Acosta Arteaga C.E. 1098</t>
  </si>
  <si>
    <t>COL 000336114</t>
  </si>
  <si>
    <t>Colombia, Boyacá, Samacá, inmediaciones de la Represa Teatinos.</t>
  </si>
  <si>
    <t>COL000336114</t>
  </si>
  <si>
    <t>Samacá</t>
  </si>
  <si>
    <t>inmediaciones de la Represa Teatinos.</t>
  </si>
  <si>
    <t>Callejas R. et al., 364</t>
  </si>
  <si>
    <t>HUA 5357</t>
  </si>
  <si>
    <t>Colombia, Antioquia, Ríonegro (Santa Elena), Sajonia km 21</t>
  </si>
  <si>
    <t>N 06°09'18.00"</t>
  </si>
  <si>
    <t>06°09'18.00" N</t>
  </si>
  <si>
    <t>W 75°23'20"</t>
  </si>
  <si>
    <t>06°09'18.00" N, 75°23'20" W</t>
  </si>
  <si>
    <t>Ríonegro (Santa Elena)</t>
  </si>
  <si>
    <t>Sajonia km 21</t>
  </si>
  <si>
    <t>Atheortúa L. et al., 387</t>
  </si>
  <si>
    <t>HUA 5130</t>
  </si>
  <si>
    <t>Jaramillo Mejia R. et al., 7062</t>
  </si>
  <si>
    <t>COL 000336105</t>
  </si>
  <si>
    <t>Colombia, Cundinamarca, Cordillera Oriental, Municipio de San Bernardo, vereda Santa Rita, Alto de Buenos Aires.</t>
  </si>
  <si>
    <t>COL000336105</t>
  </si>
  <si>
    <t>Municipio de San Bernardo, vereda Santa Rita, Alto de Buenos Aires.</t>
  </si>
  <si>
    <t>Albert de Escobar L.A. 2385</t>
  </si>
  <si>
    <t>HUA 16558</t>
  </si>
  <si>
    <t>Colombia, Antioquia, Guatapé, borde con Mpio. San Rafael, Finca Montepinar.</t>
  </si>
  <si>
    <t>N 06°15'07.55"</t>
  </si>
  <si>
    <t>06°15'07.55" N</t>
  </si>
  <si>
    <t>W 75°05'49.28"</t>
  </si>
  <si>
    <t>75°05'49.28" W</t>
  </si>
  <si>
    <t>06°15'07.55" N, 75°05'49.28" W</t>
  </si>
  <si>
    <t>6.2520972</t>
  </si>
  <si>
    <t>-75.0970222</t>
  </si>
  <si>
    <t>6.2520972,-75.0970222</t>
  </si>
  <si>
    <t>borde con Mpio. San Rafael, Finca Montepinar.</t>
  </si>
  <si>
    <t>Albert de Escobar L.A. 4976</t>
  </si>
  <si>
    <t>HUA 23706</t>
  </si>
  <si>
    <t xml:space="preserve">Colombia, Antioquia, Guatape, vereda Santa Rita. Bosque Húmedo </t>
  </si>
  <si>
    <t>N 06°14'02.01"</t>
  </si>
  <si>
    <t>06°14'02.01" N</t>
  </si>
  <si>
    <t>W 75°09'43.89"</t>
  </si>
  <si>
    <t>75°09'43.89" W</t>
  </si>
  <si>
    <t>06°14'02.01" N, 75°09'43.89" W</t>
  </si>
  <si>
    <t>6.2338917</t>
  </si>
  <si>
    <t>-75.1621917</t>
  </si>
  <si>
    <t>6.2338917,-75.1621917</t>
  </si>
  <si>
    <t>vereda Santa Rita. Bosque Húmedo</t>
  </si>
  <si>
    <t>Albert de Escobar L.A. et al., 6550</t>
  </si>
  <si>
    <t>HUA 28625</t>
  </si>
  <si>
    <t>Colombia, Antioquia, Guatapé, bosque Húmedo.</t>
  </si>
  <si>
    <t>bosque Húmedo.</t>
  </si>
  <si>
    <t>Orozco C.I. et al., 1721A</t>
  </si>
  <si>
    <t>COL 000336083</t>
  </si>
  <si>
    <t>Colombia, Norte de Santander, Herrán, Parque Nacional Natural Tamá, Sector Orocue.</t>
  </si>
  <si>
    <t>COL000336083</t>
  </si>
  <si>
    <t>Herrán</t>
  </si>
  <si>
    <t>Parque Nacional Natural Tamá, Sector Orocue.</t>
  </si>
  <si>
    <t>Fonnegra R et al., 2235</t>
  </si>
  <si>
    <t>HUA 37516</t>
  </si>
  <si>
    <t>Colombia, Antioquia, Medellín-Guarne, Granja Forestal Universidad Nacional, antigua vía Medellín-Guarne.</t>
  </si>
  <si>
    <t>06°15' N, 75°29' W</t>
  </si>
  <si>
    <t>Granja Forestal Universidad Nacional, antigua vía Medellín-Guarne.</t>
  </si>
  <si>
    <t>Arbeláez A.L. et al., 49</t>
  </si>
  <si>
    <t>MEDEL 25776</t>
  </si>
  <si>
    <t>Colombia, Antioqiua, La Unión, carretera de la Unión a San Miguel.</t>
  </si>
  <si>
    <t>N 05°56'</t>
  </si>
  <si>
    <t>05°56' N</t>
  </si>
  <si>
    <t>W 75°17'</t>
  </si>
  <si>
    <t>75°17' W</t>
  </si>
  <si>
    <t>05°56' N, 75°17' W</t>
  </si>
  <si>
    <t>Antioqiua</t>
  </si>
  <si>
    <t>carretera de la Unión a San Miguel.</t>
  </si>
  <si>
    <t>HUA 46146</t>
  </si>
  <si>
    <t>HUA 55265</t>
  </si>
  <si>
    <t>Ruíz P.M. 22</t>
  </si>
  <si>
    <t>COL 327723</t>
  </si>
  <si>
    <t xml:space="preserve"> Colombia, Risaralda, Pueblo Rico, quebrada San José, km 21 carretera Pueblo Rico-Villa claret, bosque primaio residual.</t>
  </si>
  <si>
    <t>N 05°13'39.74"</t>
  </si>
  <si>
    <t>05°13'39.74" N</t>
  </si>
  <si>
    <t>W 76°01'49.71"</t>
  </si>
  <si>
    <t>76°01'49.71" W</t>
  </si>
  <si>
    <t>05°13'39.74" N, 76°01'49.71" W</t>
  </si>
  <si>
    <t>5.2277056</t>
  </si>
  <si>
    <t>-76.030475</t>
  </si>
  <si>
    <t>5.2277056,-76.030475</t>
  </si>
  <si>
    <t>Pueblo Rico</t>
  </si>
  <si>
    <t>quebrada San José, km 21 carretera Pueblo Rico-Villa claret, bosque primaio residual.</t>
  </si>
  <si>
    <t>MacDougal J.M. et al., 3996</t>
  </si>
  <si>
    <t>HUA 62718</t>
  </si>
  <si>
    <t>Colombia, Antioquia, Amalfi, road between Amalfi and Fraguas, near Salazar, 17,5-19,8 km from centro of Amafi, bosque humedo premontano. Trated with etanol.</t>
  </si>
  <si>
    <t>1480-1560</t>
  </si>
  <si>
    <t>N 06°55'</t>
  </si>
  <si>
    <t>06°55' N</t>
  </si>
  <si>
    <t>W 75°05'</t>
  </si>
  <si>
    <t>75°05' W</t>
  </si>
  <si>
    <t>06°55' N, 75°05' W</t>
  </si>
  <si>
    <t>6.9166667</t>
  </si>
  <si>
    <t>-75.0833333</t>
  </si>
  <si>
    <t>6.9166667,-75.0833333</t>
  </si>
  <si>
    <t>Amalfi</t>
  </si>
  <si>
    <t>road between Amalfi and Fraguas, near Salazar, 17, 5-19, 8 km from centro of Amafi, bosque humedo premontano. Trated with etanol.</t>
  </si>
  <si>
    <t>Betancurt J.et al., 928</t>
  </si>
  <si>
    <t>HUA 55760</t>
  </si>
  <si>
    <t xml:space="preserve">Colombia, Antioquia, Amalfi, vereda El Oso, 13-16 km de Amalfi a Medellín, Cordillera Central. </t>
  </si>
  <si>
    <t>N 06°54'35"</t>
  </si>
  <si>
    <t>06°54'35" N</t>
  </si>
  <si>
    <t>W 75°8.07'</t>
  </si>
  <si>
    <t>75°8.07' W</t>
  </si>
  <si>
    <t>06°54'35" N, 75°8.07' W</t>
  </si>
  <si>
    <t>6.9097222</t>
  </si>
  <si>
    <t>-75.1345</t>
  </si>
  <si>
    <t>6.9097222,-75.1345</t>
  </si>
  <si>
    <t>vereda El Oso, 13-16 km de Amalfi a Medellín, Cordillera Central.</t>
  </si>
  <si>
    <t>McPerson G. 12972</t>
  </si>
  <si>
    <t>HUA 58903</t>
  </si>
  <si>
    <t xml:space="preserve">Colombia, Antioquia, Frontino, area called Murrí, in western central part department; ca 22 road-km from Nutibara; forest at roadside. </t>
  </si>
  <si>
    <t xml:space="preserve">N05°30' </t>
  </si>
  <si>
    <t>5°30' N</t>
  </si>
  <si>
    <t>W 75°50'</t>
  </si>
  <si>
    <t>75°50' W</t>
  </si>
  <si>
    <t>5°30' N, 75°50' W</t>
  </si>
  <si>
    <t>area called Murrí, in western central part department; ca 22 road-km from Nutibara; forest at roadside.</t>
  </si>
  <si>
    <t>Contreras N &amp; D. L.Echeverri 58</t>
  </si>
  <si>
    <t>HUA 66138</t>
  </si>
  <si>
    <t>Echeverri D.L.  &amp; N. Contreras 99</t>
  </si>
  <si>
    <t>HUA 66279</t>
  </si>
  <si>
    <t>Colombia, Antioquia, Guatapé, Vda. Santa Rita, Finca Montepinar, bosque pluvial.</t>
  </si>
  <si>
    <t>Vda. Santa Rita, Finca Montepinar, bosque pluvial.</t>
  </si>
  <si>
    <t>Contreras N. &amp; D.L. Echeverri 99</t>
  </si>
  <si>
    <t>HUA 66275</t>
  </si>
  <si>
    <t>Contreras N. &amp; D.L. Echeverri 67</t>
  </si>
  <si>
    <t>HUA 66159</t>
  </si>
  <si>
    <t>Echeverri D.L.  &amp; N. Contreras 200</t>
  </si>
  <si>
    <t>HUA 66508</t>
  </si>
  <si>
    <t>Colombia, Antioquia, Guatapé, Vda. Santa Rita, Finca Montepinar</t>
  </si>
  <si>
    <t>Vda. Santa Rita, Finca Montepinar</t>
  </si>
  <si>
    <t>Contreras N &amp; D. L.Echeverri 213</t>
  </si>
  <si>
    <t>HUA 67341</t>
  </si>
  <si>
    <t xml:space="preserve">Colombia, Antioquia, Guatape, vereda Santa Rita, finca Montepinar. Bosque Pluvial. </t>
  </si>
  <si>
    <t>vereda Santa Rita, finca Montepinar. Bosque Pluvial.</t>
  </si>
  <si>
    <t>Contreras N. &amp; D.L. Echeverri 211</t>
  </si>
  <si>
    <t>HUA 67340</t>
  </si>
  <si>
    <t>Echeverri D.L.  &amp; N. Contreras 258</t>
  </si>
  <si>
    <t>HUA 69503</t>
  </si>
  <si>
    <t>Contreras N. &amp; D.L. Echeverri 249</t>
  </si>
  <si>
    <t>HUA 67882</t>
  </si>
  <si>
    <t>Contreras N. &amp; D.L. Echeverri 318</t>
  </si>
  <si>
    <t>HUA 69650</t>
  </si>
  <si>
    <t>Contreras N &amp; D. L.Echeverri 347</t>
  </si>
  <si>
    <t>HUA 70968</t>
  </si>
  <si>
    <t>Callejas R. &amp; F.J. Roldan 9643</t>
  </si>
  <si>
    <t>HUA 85754</t>
  </si>
  <si>
    <t>Colombia, Antioquia, Rio Negro, vereda Yarumales.</t>
  </si>
  <si>
    <t>2140-2410</t>
  </si>
  <si>
    <t xml:space="preserve">N 6° 15'  </t>
  </si>
  <si>
    <t>6° 15' N</t>
  </si>
  <si>
    <t>W 75°28'</t>
  </si>
  <si>
    <t>75°28' W</t>
  </si>
  <si>
    <t>6° 15' N, 75°28' W</t>
  </si>
  <si>
    <t>-75.4666667</t>
  </si>
  <si>
    <t>6.25,-75.4666667</t>
  </si>
  <si>
    <t>HUA85754</t>
  </si>
  <si>
    <t>Rio Negro</t>
  </si>
  <si>
    <t>vereda Yarumales.</t>
  </si>
  <si>
    <t>Giraldo L.F. &amp; G. Murillo 888</t>
  </si>
  <si>
    <t>HUA 111196</t>
  </si>
  <si>
    <t>Colombia, Antioquia, Medellín, corregimiento de Alta Vista, vereda Manzanares, cabecera de la Quebrada La Coástica (La Peña) y la Perla.</t>
  </si>
  <si>
    <t>N 06°14'09.33"</t>
  </si>
  <si>
    <t>06°14'09.33" N</t>
  </si>
  <si>
    <t>W 75°34'30.49"</t>
  </si>
  <si>
    <t>75°34'30.49" W</t>
  </si>
  <si>
    <t>06°14'09.33" N, 75°34'30.49" W</t>
  </si>
  <si>
    <t>6.235925</t>
  </si>
  <si>
    <t>-75.5751361</t>
  </si>
  <si>
    <t>6.235925,-75.5751361</t>
  </si>
  <si>
    <t>corregimiento de Alta Vista, vereda Manzanares, cabecera de la Quebrada La Coástica (La Peña) y la Perla.</t>
  </si>
  <si>
    <t>JAUM 27680</t>
  </si>
  <si>
    <t>Casañas Suárez O.L. 171</t>
  </si>
  <si>
    <t>CAUP 7082</t>
  </si>
  <si>
    <t>Colombia, El Tambo, Reserva Natural Tambito.</t>
  </si>
  <si>
    <t>N 02°30'32"</t>
  </si>
  <si>
    <t>02°30'32" N</t>
  </si>
  <si>
    <t>W 77°05'</t>
  </si>
  <si>
    <t>77°05' W</t>
  </si>
  <si>
    <t>02°30'32" N, 77°05' W</t>
  </si>
  <si>
    <t>2.5088889</t>
  </si>
  <si>
    <t>-77.0833333</t>
  </si>
  <si>
    <t>2.5088889,-77.0833333</t>
  </si>
  <si>
    <t>Velásquez et al., 1651</t>
  </si>
  <si>
    <t>HUA 159538</t>
  </si>
  <si>
    <t>Colombia, Barbosa, vereda Monte Loro, Cuchilla de Monte Loro, Bosque Guayabal.</t>
  </si>
  <si>
    <t>N 06°27'22.7"</t>
  </si>
  <si>
    <t>06°27'22.7" N</t>
  </si>
  <si>
    <t>W 75°16'05.2"</t>
  </si>
  <si>
    <t>75°16'05.2" W</t>
  </si>
  <si>
    <t>06°27'22.7" N, 75°16'05.2" W</t>
  </si>
  <si>
    <t>6.4563056</t>
  </si>
  <si>
    <t>-75.2681111</t>
  </si>
  <si>
    <t>6.4563056,-75.2681111</t>
  </si>
  <si>
    <t>Barbosa</t>
  </si>
  <si>
    <t>vereda Monte Loro</t>
  </si>
  <si>
    <t>Cuchilla de Monte Loro, Bosque Guayabal.</t>
  </si>
  <si>
    <t>Rodriguez W. &amp; M. Correa M. 3149</t>
  </si>
  <si>
    <t>HUA 132179</t>
  </si>
  <si>
    <t>Colombia, Antioquia, Copacabana, vereda Carrizal, sector Alto de Asturias.</t>
  </si>
  <si>
    <t>N 06°18'20"</t>
  </si>
  <si>
    <t>06°18'20" N</t>
  </si>
  <si>
    <t>W 75°30'54.6"</t>
  </si>
  <si>
    <t>75°30'54.6" W</t>
  </si>
  <si>
    <t>06°18'20" N, 75°30'54.6" W</t>
  </si>
  <si>
    <t>6.3055556</t>
  </si>
  <si>
    <t>-75.5151667</t>
  </si>
  <si>
    <t>6.3055556,-75.5151667</t>
  </si>
  <si>
    <t>Copacabana</t>
  </si>
  <si>
    <t>vereda Carrizal, sector Alto de Asturias.</t>
  </si>
  <si>
    <t>COL 458815</t>
  </si>
  <si>
    <t>JAUM 37510</t>
  </si>
  <si>
    <t>Rodríguez W. et al. 3682</t>
  </si>
  <si>
    <t>COL 484068</t>
  </si>
  <si>
    <t>Colombia, Antioquia, Sopetran, corregimiento Horizontes, parte alta del acueducto, cerca del alto La Virgen.</t>
  </si>
  <si>
    <t>N 06°34'50.9"</t>
  </si>
  <si>
    <t>06°34'50.9" N</t>
  </si>
  <si>
    <t>W 75°41'41"</t>
  </si>
  <si>
    <t>75°41'41" W</t>
  </si>
  <si>
    <t>06°34'50.9" N, 75°41'41" W</t>
  </si>
  <si>
    <t>corregimiento Horizontes, parte alta del acueducto, cerca del alto La Virgen.</t>
  </si>
  <si>
    <t>JAUM 38639</t>
  </si>
  <si>
    <t>HUA 137357</t>
  </si>
  <si>
    <t xml:space="preserve">Rodríguez W. et al. 4133 </t>
  </si>
  <si>
    <t>HUA 142005</t>
  </si>
  <si>
    <t>Colombia, Antioquia, Anorí, vereda Santa Gertrudis, finca la Estrella, quebrada que surte de agua la casa.</t>
  </si>
  <si>
    <t>N 07°07'58.8"</t>
  </si>
  <si>
    <t>07°07'58.8" N</t>
  </si>
  <si>
    <t>W 75°09'34.9"</t>
  </si>
  <si>
    <t>75°09'34.9" W</t>
  </si>
  <si>
    <t>07°07'58.8" N, 75°09'34.9" W</t>
  </si>
  <si>
    <t>7.133</t>
  </si>
  <si>
    <t>-75.1596944</t>
  </si>
  <si>
    <t>7.133,-75.1596944</t>
  </si>
  <si>
    <t>vereda Santa Gertrudis, finca la Estrella, quebrada que surte de agua la casa.</t>
  </si>
  <si>
    <t>Rodriguez W. et al., 4840</t>
  </si>
  <si>
    <t>HUA 153785</t>
  </si>
  <si>
    <t xml:space="preserve">Colombia, Antioquia, Fredonia, vereda Erbe, Microcuenca la Chaparrala, bh-MB. bosque secundario. </t>
  </si>
  <si>
    <t>N 05°59'01"</t>
  </si>
  <si>
    <t>05°59'01" N</t>
  </si>
  <si>
    <t>W 75°38'28.3"</t>
  </si>
  <si>
    <t>75°38'28.3" W</t>
  </si>
  <si>
    <t>05°59'01" N, 75°38'28.3" W</t>
  </si>
  <si>
    <t>vereda Erbe, Microcuenca la Chaparrala, bh-MB. bosque secundario.</t>
  </si>
  <si>
    <t>Muñoz E.L. et al., 1918</t>
  </si>
  <si>
    <t>CAUP 18829</t>
  </si>
  <si>
    <t>HUA 158394</t>
  </si>
  <si>
    <t>Colombia, Antioquia, Medellín, corregimiento de San Antonio de Prado, vereda La Verde, sector Montes del Encanto.</t>
  </si>
  <si>
    <t>N 06°12'39.7"</t>
  </si>
  <si>
    <t>06°12'39.7" N</t>
  </si>
  <si>
    <t>W 75°39'18.5"</t>
  </si>
  <si>
    <t>75°39'18.5" W</t>
  </si>
  <si>
    <t>06°12'39.7" N, 75°39'18.5" W</t>
  </si>
  <si>
    <t>corregimiento de San Antonio de Prado, vereda La Verde, sector Montes del Encanto.</t>
  </si>
  <si>
    <t>Sanín D.et al., 5127</t>
  </si>
  <si>
    <t>NY, COL</t>
  </si>
  <si>
    <t>Colombia, Antioquia, Urrao, La Encarnación, vereda Calles Abajo, Parque Nacional Natural Las Orquideas, vegetación al borde del camino entre la cabaña de Calles y La Raya, limite entre Urrao y Frontino.</t>
  </si>
  <si>
    <t>1000-1280</t>
  </si>
  <si>
    <t>N 06°30'45.2"</t>
  </si>
  <si>
    <t>06°30'45.2" N</t>
  </si>
  <si>
    <t>W 76° 15'41.4"</t>
  </si>
  <si>
    <t>76° 15'41.4" W</t>
  </si>
  <si>
    <t>06°30'45.2" N, 76° 15'41.4" W</t>
  </si>
  <si>
    <t>6.5125556</t>
  </si>
  <si>
    <t>-76.2615</t>
  </si>
  <si>
    <t>6.5125556,-76.2615</t>
  </si>
  <si>
    <t>La Encarnación, vereda Calles Abajo, Parque Nacional Natural Las Orquideas, vegetación al borde del camino entre la cabaña de Calles y La Raya, limite entre Urrao y Frontino.</t>
  </si>
  <si>
    <t>Sanín D.et al., 5133</t>
  </si>
  <si>
    <t>Colombia, Antioquia, Urrao, corregimiento La Encarnación, vereda Calles Abajo, Parque Nacional Natural Las Orquideas, vegetación al borde, camino entre la cabaña de Calles y La Raya, limite entre Urrao y Frontino.</t>
  </si>
  <si>
    <t>W 76° 15' 41.4"</t>
  </si>
  <si>
    <t>76° 15' 41.4" W</t>
  </si>
  <si>
    <t>06°30'45.2" N, 76° 15' 41.4" W</t>
  </si>
  <si>
    <t>corregimiento La Encarnación, vereda Calles Abajo, Parque Nacional Natural Las Orquideas, vegetación al borde, camino entre la cabaña de Calles y La Raya, limite entre Urrao y Frontino.</t>
  </si>
  <si>
    <t>Sanín D.et al., 5196</t>
  </si>
  <si>
    <t>Colombia, Antioquia, Frontino,  Parque Nacional Natural Las Orquideas, vereda Venados Abajo, despues de la Finca Vista Hermosa, divisorias de aguas entre el río Venados y Quebrada La Selva.</t>
  </si>
  <si>
    <t>1240-1280</t>
  </si>
  <si>
    <t>N 06°33'1.3"</t>
  </si>
  <si>
    <t>06°33'1.3" N</t>
  </si>
  <si>
    <t>W 76° 18' 54.3"</t>
  </si>
  <si>
    <t>76° 18' 54.3" W</t>
  </si>
  <si>
    <t>06°33'1.3" N, 76° 18' 54.3" W</t>
  </si>
  <si>
    <t>6.5503611</t>
  </si>
  <si>
    <t>-76.3150833</t>
  </si>
  <si>
    <t>6.5503611,-76.3150833</t>
  </si>
  <si>
    <t>Parque Nacional Natural Las Orquideas, vereda Venados Abajo, despues de la Finca Vista Hermosa, divisorias de aguas entre el río Venados y Quebrada La Selva.</t>
  </si>
  <si>
    <t>Rodríguez W. et al. 3199</t>
  </si>
  <si>
    <t>JAUM 37566</t>
  </si>
  <si>
    <t>Colombia, Antioquia, corregimiento de Santa Elena, vereda Las Brisas, sector de Cerro Verde, alrededor de las Antenas de Telecomunicaciones.</t>
  </si>
  <si>
    <t>N 06°12'12.6"</t>
  </si>
  <si>
    <t>06°12'12.6" N</t>
  </si>
  <si>
    <t>W 75°29'14.1"</t>
  </si>
  <si>
    <t>75°29'14.1" W</t>
  </si>
  <si>
    <t>06°12'12.6" N, 75°29'14.1" W</t>
  </si>
  <si>
    <t>6.2035</t>
  </si>
  <si>
    <t>-75.48725</t>
  </si>
  <si>
    <t>6.2035,-75.48725</t>
  </si>
  <si>
    <t>corregimiento de Santa Elena</t>
  </si>
  <si>
    <t>vereda Las Brisas, sector de Cerro Verde, alrededor de las Antenas de Telecomunicaciones.</t>
  </si>
  <si>
    <t>Diaz P. S. 3568</t>
  </si>
  <si>
    <t>COL 000336107</t>
  </si>
  <si>
    <t>Colombia, Chocó, San José del Palmar, vereda Portachuelo, Finca Barro Blanco.</t>
  </si>
  <si>
    <t>COL000336107</t>
  </si>
  <si>
    <t>vereda Portachuelo, Finca Barro Blanco.</t>
  </si>
  <si>
    <t>Sanín D 1964</t>
  </si>
  <si>
    <t>Colombia, Antioquia, Medellín, Parque Arví, corregimiento de Santa Helena, vereda Piedras Blancas, bosque rodeado por primeras regeneraciones a 30 min de las represa Piedras Blancas.</t>
  </si>
  <si>
    <t>W74°51'34.5"</t>
  </si>
  <si>
    <t>4°51'34.5" W</t>
  </si>
  <si>
    <t>05°53'50.2" N, 4°51'34.5" W</t>
  </si>
  <si>
    <t>-4.8595833</t>
  </si>
  <si>
    <t>5.8972778,-4.8595833</t>
  </si>
  <si>
    <t>Parque Arví, corregimiento de Santa Helena, vereda Piedras Blancas, bosque rodeado por primeras regeneraciones a 30 min de las represa Piedras Blancas.</t>
  </si>
  <si>
    <t>S. funckii (Meet.) A.R.Sm.</t>
  </si>
  <si>
    <t>M. Nee &amp; S. Mori 3833</t>
  </si>
  <si>
    <t>COL 171392</t>
  </si>
  <si>
    <t>Antioquia, Piedras Blancas, 2,5 Km de la vía Medellín-Guarne</t>
  </si>
  <si>
    <t>2200-2600</t>
  </si>
  <si>
    <t>6° 17' N</t>
  </si>
  <si>
    <t>75° 30' W</t>
  </si>
  <si>
    <t>6° 17' N, 75° 30' W</t>
  </si>
  <si>
    <t>6.2833333,-75.5</t>
  </si>
  <si>
    <t>Piedras Blancas</t>
  </si>
  <si>
    <t>2, 5 Km de la vía Medellín-Guarne</t>
  </si>
  <si>
    <t>S. funckii (Meet.)A.R. Sm.</t>
  </si>
  <si>
    <t>N. Contreras &amp; D. L. Echeverri 95</t>
  </si>
  <si>
    <t>Antioquia, Guatapé, Vda. Santa Rita, Finca Montepinar</t>
  </si>
  <si>
    <t>6°15'N, 75°10' W</t>
  </si>
  <si>
    <t>S. funckii (Meet.)A.R.Sm.</t>
  </si>
  <si>
    <t>N. Contreras &amp; N. Contreras 318</t>
  </si>
  <si>
    <t>Antioquia, Guatapé</t>
  </si>
  <si>
    <t>6° 15 N</t>
  </si>
  <si>
    <t>75°10 W</t>
  </si>
  <si>
    <t>6° 15 N, 75°10 W</t>
  </si>
  <si>
    <t>S. lasiopus (Klotzsch) A.R. Sm.</t>
  </si>
  <si>
    <t>Serpocaulon lasiopus</t>
  </si>
  <si>
    <t xml:space="preserve">Rodríguez W. et al., 3268 </t>
  </si>
  <si>
    <t>JAUM 37655</t>
  </si>
  <si>
    <t>Colombia, Antioquia, Guarne, vereda La Quiebra, sitio La Embajada.</t>
  </si>
  <si>
    <t>N 06°12'02.8"</t>
  </si>
  <si>
    <t>06°12'02.8" N</t>
  </si>
  <si>
    <t>W 75°27'58.4"</t>
  </si>
  <si>
    <t>75°27'58.4" W</t>
  </si>
  <si>
    <t>06°12'02.8" N, 75°27'58.4" W</t>
  </si>
  <si>
    <t>6.2007778</t>
  </si>
  <si>
    <t>-75.4662222</t>
  </si>
  <si>
    <t>6.2007778,-75.4662222</t>
  </si>
  <si>
    <t>vereda La Quiebra, sitio La Embajada.</t>
  </si>
  <si>
    <t>MEDEL 43818</t>
  </si>
  <si>
    <t>HUA 132163</t>
  </si>
  <si>
    <t>Muñoz E.L. &amp; D. Macias P. 636</t>
  </si>
  <si>
    <t>CAUP 17518</t>
  </si>
  <si>
    <t>Colombia, Cajibio, vereda El Cofre, orillas del Río Cofre.</t>
  </si>
  <si>
    <t>N 02°38'</t>
  </si>
  <si>
    <t>02°38' N</t>
  </si>
  <si>
    <t>02°38' N, 76°38' W</t>
  </si>
  <si>
    <t>2.6333333</t>
  </si>
  <si>
    <t>2.6333333,-76.6333333</t>
  </si>
  <si>
    <t>6315,763</t>
  </si>
  <si>
    <t>CAUP_17518</t>
  </si>
  <si>
    <t>Cajibio</t>
  </si>
  <si>
    <t>vereda El Cofre</t>
  </si>
  <si>
    <t>orillas del Río Cofre.</t>
  </si>
  <si>
    <t>Espinal S. &amp; J.E. Ramos 3592</t>
  </si>
  <si>
    <t>CUVC 4248</t>
  </si>
  <si>
    <t>Colombia, Cauca, Popayán.</t>
  </si>
  <si>
    <t>N 02°30'</t>
  </si>
  <si>
    <t>02°30' N</t>
  </si>
  <si>
    <t>W 76°35'</t>
  </si>
  <si>
    <t>76°35' W</t>
  </si>
  <si>
    <t>02°30' N, 76°35' W</t>
  </si>
  <si>
    <t>2.5</t>
  </si>
  <si>
    <t>-76.5833333</t>
  </si>
  <si>
    <t>2.5,-76.5833333</t>
  </si>
  <si>
    <t>Popayán.</t>
  </si>
  <si>
    <t>CUVC 4247</t>
  </si>
  <si>
    <t>CUVC 4245</t>
  </si>
  <si>
    <t>COL 117656</t>
  </si>
  <si>
    <t>Ramírez-P. B.R. 12768</t>
  </si>
  <si>
    <t>CAUP 14645</t>
  </si>
  <si>
    <t>Colombia, Cauca, Popayán, camino enre la vía Totoró y la Vereda Clarete.</t>
  </si>
  <si>
    <t>W 76°29'</t>
  </si>
  <si>
    <t>76°29' W</t>
  </si>
  <si>
    <t>02°27' N, 76°29' W</t>
  </si>
  <si>
    <t>-76.4833333</t>
  </si>
  <si>
    <t>2.45,-76.4833333</t>
  </si>
  <si>
    <t>camino enre la vía Totoró y la Vereda Clarete.</t>
  </si>
  <si>
    <t>Ramírez-P. B.R. 13653</t>
  </si>
  <si>
    <t>COL 481715</t>
  </si>
  <si>
    <t>Colombia, Cauca, Popayán, km 2 vía al Huila, cruce por la Cabaña de don Luis. Quebrada Quitacalzón.</t>
  </si>
  <si>
    <t>N 02°26'39"</t>
  </si>
  <si>
    <t>02°26'39" N</t>
  </si>
  <si>
    <t>W 76°35'25"</t>
  </si>
  <si>
    <t>76°35'25" W</t>
  </si>
  <si>
    <t>02°26'39" N, 76°35'25" W</t>
  </si>
  <si>
    <t>2.4441667</t>
  </si>
  <si>
    <t>-76.5902778</t>
  </si>
  <si>
    <t>2.4441667,-76.5902778</t>
  </si>
  <si>
    <t>km 2 vía al Huila, cruce por la Cabaña de don Luis. Quebrada Quitacalzón.</t>
  </si>
  <si>
    <t>Ramírez-P. B.R. 13719</t>
  </si>
  <si>
    <t>COL 481686</t>
  </si>
  <si>
    <t>Colombia, Cauca, Popayán, Río Palacé, km 25 víaTotoró.</t>
  </si>
  <si>
    <t>Río Palacé, km 25 víaTotoró.</t>
  </si>
  <si>
    <t>Alcázar Caicedo A. &amp; S.L. Díaz 297</t>
  </si>
  <si>
    <t>CAUP 7919</t>
  </si>
  <si>
    <t>Colombia, Cauca, Popayán, vereda las Guacas, carretera que conduce a la vereda El Cabuyo, fragmento de Bosque ubicado frente a la Finca Las Guacas.</t>
  </si>
  <si>
    <t>1024,653</t>
  </si>
  <si>
    <t>vereda las Guacas, carretera que conduce a la vereda El Cabuyo, fragmento de Bosque ubicado frente a la Finca Las Guacas.</t>
  </si>
  <si>
    <t>Otálora N. 119</t>
  </si>
  <si>
    <t>CAUP 20560</t>
  </si>
  <si>
    <t>Colombia, Cauca, Cajibío, Raíces de Vida.</t>
  </si>
  <si>
    <t>Cajibío</t>
  </si>
  <si>
    <t>Raíces de Vida.</t>
  </si>
  <si>
    <t>Foster M.B. &amp; R. Foster 1810</t>
  </si>
  <si>
    <t>COL 000336123</t>
  </si>
  <si>
    <t>Colombia, Cundinamarca, Suesca, Hacienda Susatá.</t>
  </si>
  <si>
    <t>8600 ft</t>
  </si>
  <si>
    <t>1294,344</t>
  </si>
  <si>
    <t>COL000336123</t>
  </si>
  <si>
    <t>Suesca</t>
  </si>
  <si>
    <t>Hacienda Susatá.</t>
  </si>
  <si>
    <t>Acosta-Arteaga C.E. 405</t>
  </si>
  <si>
    <t>COL 000336124</t>
  </si>
  <si>
    <t>Colombia, Cundinamarca, Cachetá, en el cementerio.</t>
  </si>
  <si>
    <t>COL000336124</t>
  </si>
  <si>
    <t>Cachetá</t>
  </si>
  <si>
    <t>en el cementerio.</t>
  </si>
  <si>
    <t>Acosta-Arteaga C.E. 423</t>
  </si>
  <si>
    <t>MEDEL 26133</t>
  </si>
  <si>
    <t>Colombia, Cundinamarca, Suesca, en la parte inferior de las rocas.</t>
  </si>
  <si>
    <t>MEDEL26133</t>
  </si>
  <si>
    <t>en la parte inferior de las rocas.</t>
  </si>
  <si>
    <t>Acosta-Arteaga C.E. 595</t>
  </si>
  <si>
    <t>COL 000336144</t>
  </si>
  <si>
    <t>Colombia, Cundinamarca, Laguna de Ubaque.</t>
  </si>
  <si>
    <t>COL000336144</t>
  </si>
  <si>
    <t>Laguna de Ubaque.</t>
  </si>
  <si>
    <t>Chaparro de Becerra A. &amp; E. Barrera 89</t>
  </si>
  <si>
    <t>COL 000335867</t>
  </si>
  <si>
    <t>Colombia, Cundinamarca, San Cayetano, vía Villa Gomez, vereda Chingatubi</t>
  </si>
  <si>
    <t>251,921</t>
  </si>
  <si>
    <t>COL000335867</t>
  </si>
  <si>
    <t>San Cayetano</t>
  </si>
  <si>
    <t>vía Villa Gomez, vereda Chingatubi</t>
  </si>
  <si>
    <t>Groenendijk J. P. &amp; N. Rietman 1317</t>
  </si>
  <si>
    <t>COL 000336136</t>
  </si>
  <si>
    <t>Garcia-Barriga H. 10919</t>
  </si>
  <si>
    <t>COL 000336128</t>
  </si>
  <si>
    <t>Colombia, Cundinamarca, Mosquera, Laguna La Herrera.</t>
  </si>
  <si>
    <t>COL000336128</t>
  </si>
  <si>
    <t>Mosquera</t>
  </si>
  <si>
    <t>Laguna La Herrera.</t>
  </si>
  <si>
    <t>Acosta-Arteaga C.E. Et al., 2244</t>
  </si>
  <si>
    <t>COL 000335862</t>
  </si>
  <si>
    <t>Colombia, Cundinamarca, La Mesa, Laguna de Pedro Palo.</t>
  </si>
  <si>
    <t>Laguna de Pedro Palo.</t>
  </si>
  <si>
    <t>S. latissimum (Kunze) A.R. Sm.</t>
  </si>
  <si>
    <t>Serpocaulon latissimum</t>
  </si>
  <si>
    <t>Schultes R.E. &amp; I. Cabrera 16501</t>
  </si>
  <si>
    <t>COL 000335839</t>
  </si>
  <si>
    <t>Colombia, Amazonas, río Miriparaná, Cerro de la Gente Chiquita in headwaters of Quebrada Guacayá.</t>
  </si>
  <si>
    <t>COL335839</t>
  </si>
  <si>
    <t>Amazonas</t>
  </si>
  <si>
    <t>río Miriparaná</t>
  </si>
  <si>
    <t>Cerro de la Gente Chiquita in headwaters of Quebrada Guacayá.</t>
  </si>
  <si>
    <t>Soejarto D.D. 2638</t>
  </si>
  <si>
    <t>HUA 4134</t>
  </si>
  <si>
    <t xml:space="preserve">Colombia, Antioquia, Zaragoza, corregimiento de Providencia, along Río Anorí, vic. Of the hydroelectric plant. </t>
  </si>
  <si>
    <t>N 07°48'47.67"</t>
  </si>
  <si>
    <t>07°48'47.67" N</t>
  </si>
  <si>
    <t>W 75°12'06.27"</t>
  </si>
  <si>
    <t>75°12'06.27" W</t>
  </si>
  <si>
    <t>07°48'47.67" N, 75°12'06.27" W</t>
  </si>
  <si>
    <t>7.8132417</t>
  </si>
  <si>
    <t>-75.2017417</t>
  </si>
  <si>
    <t>7.8132417,-75.2017417</t>
  </si>
  <si>
    <t>El corregimiento Providencia se encuentra en Anorí</t>
  </si>
  <si>
    <t>HUA20406</t>
  </si>
  <si>
    <t>Zaragoza</t>
  </si>
  <si>
    <t>corregimiento de Providencia, along Río Anorí, vic. Of the hydroelectric plant.</t>
  </si>
  <si>
    <t>COL 151771</t>
  </si>
  <si>
    <t>Soejarto D.D. 2854</t>
  </si>
  <si>
    <t>HUA 26405</t>
  </si>
  <si>
    <t>Colombia, Antioquia, Anorí, corregimiento de Providencia.</t>
  </si>
  <si>
    <t>400-700</t>
  </si>
  <si>
    <t>corregimiento de Providencia.</t>
  </si>
  <si>
    <t>COL 153818</t>
  </si>
  <si>
    <t>Fonnegra R. et al.,  375</t>
  </si>
  <si>
    <t>HUA 4182</t>
  </si>
  <si>
    <t xml:space="preserve">Colombia, Antioquia, Anorí, corregimiento de Providencia, Planta de Providencia, Valle del Río Anorí, Entre dos Bocas y Anorí.  </t>
  </si>
  <si>
    <t>corregimiento de Providencia, Planta de Providencia, Valle del Río Anorí, Entre dos Bocas y Anorí.</t>
  </si>
  <si>
    <t>HUA 4181</t>
  </si>
  <si>
    <t>Shepherd J.D. 301</t>
  </si>
  <si>
    <t>HUA 5834</t>
  </si>
  <si>
    <t>N 07°13'</t>
  </si>
  <si>
    <t>07°13' N</t>
  </si>
  <si>
    <t>07°13' N, 75°03' W</t>
  </si>
  <si>
    <t>7.2166667</t>
  </si>
  <si>
    <t>7.2166667,-75.05</t>
  </si>
  <si>
    <t>COL 186832</t>
  </si>
  <si>
    <t>Callejas R. 246</t>
  </si>
  <si>
    <t>HUA 6116</t>
  </si>
  <si>
    <t>Colombia, Antioquia, Cáceres, cabecera municipal El Doce, Bajo cauca, zona entre las quegradas Puri y Corrales.</t>
  </si>
  <si>
    <t>200-400</t>
  </si>
  <si>
    <t>N 07°34'42.20"</t>
  </si>
  <si>
    <t>07°34'42.20" N</t>
  </si>
  <si>
    <t>W 75°20'54.62"</t>
  </si>
  <si>
    <t>75°20'54.62" W</t>
  </si>
  <si>
    <t>07°34'42.20" N, 75°20'54.62" W</t>
  </si>
  <si>
    <t>7.5783889</t>
  </si>
  <si>
    <t>-75.3485056</t>
  </si>
  <si>
    <t>7.5783889,-75.3485056</t>
  </si>
  <si>
    <t>Cáceres</t>
  </si>
  <si>
    <t>cabecera municipal El Doce, Bajo cauca, zona entre las quegradas Puri y Corrales.</t>
  </si>
  <si>
    <t>Marulanda O. et al., 189</t>
  </si>
  <si>
    <t>HUA 34692</t>
  </si>
  <si>
    <t>Colombia, Antioquia, Jardín, vereda Las Margaritas, finca La Margarita, bosque al borde del Río Docató.</t>
  </si>
  <si>
    <t>N 05°35'59.40"</t>
  </si>
  <si>
    <t>05°35'59.40" N</t>
  </si>
  <si>
    <t>W 75°49'11.40"</t>
  </si>
  <si>
    <t>75°49'11.40" W</t>
  </si>
  <si>
    <t>05°35'59.40" N, 75°49'11.40" W</t>
  </si>
  <si>
    <t>5.5998333</t>
  </si>
  <si>
    <t>-75.8198333</t>
  </si>
  <si>
    <t>5.5998333,-75.8198333</t>
  </si>
  <si>
    <t>vereda Las Margaritas, finca La Margarita, bosque al borde del Río Docató.</t>
  </si>
  <si>
    <t>Arbeláez A.L. et al., 190</t>
  </si>
  <si>
    <t>MEDEL 25777</t>
  </si>
  <si>
    <t>Colombia, Antioquia, Cáceres, 7 km noreste de Cáceres, sobre troncal de la Paz.</t>
  </si>
  <si>
    <t>110-130</t>
  </si>
  <si>
    <t>7 km noreste de Cáceres, sobre troncal de la Paz.</t>
  </si>
  <si>
    <t>Arbeláez A.L. et al., 292</t>
  </si>
  <si>
    <t>HUA 44796</t>
  </si>
  <si>
    <t>Colombia, Antioquia, Jardín, vereda el Salado, bosque al margen del río Docató.</t>
  </si>
  <si>
    <t>vereda el Salado, bosque al margen del río Docató.</t>
  </si>
  <si>
    <t>Fonnegra R. et al., 3030</t>
  </si>
  <si>
    <t>HUA 61780</t>
  </si>
  <si>
    <t>Colombia, Antioquia, San Carlos, corregimiento Alto de Samaná, vereda Miraflores, al interior de Bosque.</t>
  </si>
  <si>
    <t>820-900</t>
  </si>
  <si>
    <t>N 06°06'24.17"</t>
  </si>
  <si>
    <t>06°06'24.17" N</t>
  </si>
  <si>
    <t>W 74°57'39.07"</t>
  </si>
  <si>
    <t>74°57'39.07" W</t>
  </si>
  <si>
    <t>06°06'24.17" N, 74°57'39.07" W</t>
  </si>
  <si>
    <t>6.1067139</t>
  </si>
  <si>
    <t>-74.9608528</t>
  </si>
  <si>
    <t>6.1067139,-74.9608528</t>
  </si>
  <si>
    <t>San Carlos</t>
  </si>
  <si>
    <t>corregimiento Alto de Samaná, vereda Miraflores, al interior de Bosque.</t>
  </si>
  <si>
    <t>Callejas R. et al., 8797</t>
  </si>
  <si>
    <t>HUA 68453</t>
  </si>
  <si>
    <t>Colombia, Antioquia, Anorí, vereda El Carmen, kms 18-20,5 N de Anorí, en la vía a Dos Bocas.</t>
  </si>
  <si>
    <t>820-910</t>
  </si>
  <si>
    <t>N 07°15'</t>
  </si>
  <si>
    <t>07°15' N</t>
  </si>
  <si>
    <t>W 75°12'</t>
  </si>
  <si>
    <t>75°12' W</t>
  </si>
  <si>
    <t>07°15' N, 75°12' W</t>
  </si>
  <si>
    <t>7.25</t>
  </si>
  <si>
    <t>-75.2</t>
  </si>
  <si>
    <t>7.25,-75.2</t>
  </si>
  <si>
    <t>vereda El Carmen, kms 18-20, 5 N de Anorí, en la vía a Dos Bocas.</t>
  </si>
  <si>
    <t>Rodriguez et al., 4221</t>
  </si>
  <si>
    <t>COL 500687</t>
  </si>
  <si>
    <t>Colombia, Antioquia, Anorí, vereda San Antonio, finca El Cielo.</t>
  </si>
  <si>
    <t>N 07°16'00.5"</t>
  </si>
  <si>
    <t>07°16'00.5" N</t>
  </si>
  <si>
    <t>W 75°03'51.9"</t>
  </si>
  <si>
    <t>75°03'51.9" W</t>
  </si>
  <si>
    <t>07°16'00.5" N, 75°03'51.9" W</t>
  </si>
  <si>
    <t>7.2668056</t>
  </si>
  <si>
    <t>-75.0644167</t>
  </si>
  <si>
    <t>7.2668056,-75.0644167</t>
  </si>
  <si>
    <t>vereda San Antonio, finca El Cielo.</t>
  </si>
  <si>
    <t>HUA 142021</t>
  </si>
  <si>
    <t>MEDEL 47568</t>
  </si>
  <si>
    <t>Rodriguez et al., 4322</t>
  </si>
  <si>
    <t>HUA 142044</t>
  </si>
  <si>
    <t>COL 500688</t>
  </si>
  <si>
    <t>Rodriguez et al., 4460</t>
  </si>
  <si>
    <t>MEDEL 47569</t>
  </si>
  <si>
    <t>Colombia, Antioquia, Anorí, vereda Puntiadero, o la Concha abajo, quebradas El Salto y El Claro, sector La Concha Abajo.</t>
  </si>
  <si>
    <t>N 07°17'01.2"</t>
  </si>
  <si>
    <t>07°17'01.2" N</t>
  </si>
  <si>
    <t>W 75°05'17.1"</t>
  </si>
  <si>
    <t>75°05'17.1" W</t>
  </si>
  <si>
    <t>07°17'01.2" N, 75°05'17.1" W</t>
  </si>
  <si>
    <t>7.2836667</t>
  </si>
  <si>
    <t>-75.0880833</t>
  </si>
  <si>
    <t>7.2836667,-75.0880833</t>
  </si>
  <si>
    <t>vereda Puntiadero, o la Concha abajo, quebradas El Salto y El Claro, sector La Concha Abajo.</t>
  </si>
  <si>
    <t>COL 500689</t>
  </si>
  <si>
    <t>Rodriguez et al., 4508</t>
  </si>
  <si>
    <t>HUA 142064</t>
  </si>
  <si>
    <t>Colombia, Antioquia, Anorí, vereda Madre Seca, quebrada Espiritu Santo.</t>
  </si>
  <si>
    <t>vereda Madre Seca, quebrada Espiritu Santo.</t>
  </si>
  <si>
    <t>Fonnegra R. et al., 375</t>
  </si>
  <si>
    <t>HUA 54664</t>
  </si>
  <si>
    <t xml:space="preserve">Colombia, Antioquia, Anorí, corregimiento de Providencia, Valle del Río Anorí, Entre dos Bocas y Anorí.  </t>
  </si>
  <si>
    <t>corregimiento de Providencia, Valle del Río Anorí, Entre dos Bocas y Anorí.</t>
  </si>
  <si>
    <t>S. latissimum (R.C. Moran &amp; B. Ollg.) A. R. Sm.</t>
  </si>
  <si>
    <t>Sanín D. et al., 5151</t>
  </si>
  <si>
    <t>Colombia, Antioquia, Frontino, Parque Natural Nacional Las Orquideas, sector Venados, vereda Venados Abajo, finca de Gabriel Montoya, a la margen derecha del Río Venados; bosque al borde del camino.</t>
  </si>
  <si>
    <t>N06° 32' 23.5"</t>
  </si>
  <si>
    <t>6° 32' 23.5" N</t>
  </si>
  <si>
    <t>W 76° 19'9.7"</t>
  </si>
  <si>
    <t>76° 19'9.7" W</t>
  </si>
  <si>
    <t>6° 32' 23.5" N, 76° 19'9.7" W</t>
  </si>
  <si>
    <t>-76.3193611</t>
  </si>
  <si>
    <t>6.5398611,-76.3193611</t>
  </si>
  <si>
    <t>Parque Natural Nacional Las Orquideas, sector Venados, vereda Venados Abajo, finca de Gabriel Montoya, a la margen derecha del Río Venados; bosque al borde del camino.</t>
  </si>
  <si>
    <t>Sanín D. et al., 5157</t>
  </si>
  <si>
    <t>Sanín D. et al., 5109</t>
  </si>
  <si>
    <t>Colombia, Antioquia, Frontino, Parque Natural Nacional Las Orquideas, sector Venados, vereda Venados Abajo, sitio La Esperanza, cuenca de la Quebrada Arenales.</t>
  </si>
  <si>
    <t>880-920</t>
  </si>
  <si>
    <t>N06° 32' 6.8"</t>
  </si>
  <si>
    <t>6° 32' 6.8" N</t>
  </si>
  <si>
    <t>W 76° 18'46.3"</t>
  </si>
  <si>
    <t>76° 18'46.3" W</t>
  </si>
  <si>
    <t>6° 32' 6.8" N, 76° 18'46.3" W</t>
  </si>
  <si>
    <t>6.5352222</t>
  </si>
  <si>
    <t>-76.3128611</t>
  </si>
  <si>
    <t>6.5352222,-76.3128611</t>
  </si>
  <si>
    <t>Parque Natural Nacional Las Orquideas, sector Venados, vereda Venados Abajo, sitio La Esperanza, cuenca de la Quebrada Arenales.</t>
  </si>
  <si>
    <t>Cabrera I. &amp; E. Escallón 3869</t>
  </si>
  <si>
    <t>CUVC6522</t>
  </si>
  <si>
    <t>Colombia, Cauca, delta del río Guapi, Isla de los Obregones.</t>
  </si>
  <si>
    <t>delta del río Guapi</t>
  </si>
  <si>
    <t>Isla de los Obregones.</t>
  </si>
  <si>
    <t>Lellinger D.B. &amp; E.R. de la Sota 58</t>
  </si>
  <si>
    <t>COL 000336457</t>
  </si>
  <si>
    <t>Colombia, Chocó, río Miniquía, E of Puerto Mutis (Bahia Solano).</t>
  </si>
  <si>
    <t>0-20</t>
  </si>
  <si>
    <t>COL000336457</t>
  </si>
  <si>
    <t>río Miniquía</t>
  </si>
  <si>
    <t>E of Puerto Mutis (Bahia Solano).</t>
  </si>
  <si>
    <t>Forero E. et al., 1381</t>
  </si>
  <si>
    <t>COL 000336465</t>
  </si>
  <si>
    <t>Colombia, Chocó, río Serrano, afluente del río Atrato, 4-6 km arriba de Guayabal</t>
  </si>
  <si>
    <t>COL000336465</t>
  </si>
  <si>
    <t>río Serrano</t>
  </si>
  <si>
    <t>afluente del río Atrato, 4-6 km arriba de Guayabal</t>
  </si>
  <si>
    <t>Forero E. et al., 4055</t>
  </si>
  <si>
    <t>COL 000336464</t>
  </si>
  <si>
    <t>Colombia, Chocó, Hoya del río San Juan, alrededores de Palestina.</t>
  </si>
  <si>
    <t>N04° 10'</t>
  </si>
  <si>
    <t>4° 10' N</t>
  </si>
  <si>
    <t>W 77° 10'</t>
  </si>
  <si>
    <t>77° 10' W</t>
  </si>
  <si>
    <t>4° 10' N, 77° 10' W</t>
  </si>
  <si>
    <t>alrededores de Palestina.</t>
  </si>
  <si>
    <t>Forero E. et al., 4881</t>
  </si>
  <si>
    <t>COL 000336408</t>
  </si>
  <si>
    <t>Colombia, Chocó, Hoya del río San Juan, río Tamaná, afluente del San Juan, entre Primavera y Santa Rosa.</t>
  </si>
  <si>
    <t>N 05° 00'</t>
  </si>
  <si>
    <t>05° 00' N</t>
  </si>
  <si>
    <t>W 76°44'</t>
  </si>
  <si>
    <t>76°44' W</t>
  </si>
  <si>
    <t>05° 00' N, 76°44' W</t>
  </si>
  <si>
    <t>5</t>
  </si>
  <si>
    <t>-76.7333333</t>
  </si>
  <si>
    <t>5,-76.7333333</t>
  </si>
  <si>
    <t>río Tamaná, afluente del San Juan, entre Primavera y Santa Rosa.</t>
  </si>
  <si>
    <t>Forero E. et al., 5209</t>
  </si>
  <si>
    <t>CHOCO 1536</t>
  </si>
  <si>
    <t>Colombia, Chocó, Hoya del río San Juan, Andagoya, alrededores del campamento de la Cia. Mineros del Chocó.</t>
  </si>
  <si>
    <t>N 05°06'</t>
  </si>
  <si>
    <t>05°06' N</t>
  </si>
  <si>
    <t>W76°42'</t>
  </si>
  <si>
    <t>76°42' W</t>
  </si>
  <si>
    <t>05°06' N, 76°42' W</t>
  </si>
  <si>
    <t>5.1</t>
  </si>
  <si>
    <t>5.1,-76.7</t>
  </si>
  <si>
    <t>Andagoya, alrededores del campamento de la Cia. Mineros del Chocó.</t>
  </si>
  <si>
    <t>Zuluaga R. S 1331</t>
  </si>
  <si>
    <t>COL 000335762</t>
  </si>
  <si>
    <t>Colombia, Chocó, Parque Nacional Natural Los Katíos, Alto el Limón.</t>
  </si>
  <si>
    <t>COL000335762</t>
  </si>
  <si>
    <t>Parque Nacional Natural Los Katíos</t>
  </si>
  <si>
    <t>Alto el Limón.</t>
  </si>
  <si>
    <t>Espina J. et al., 3567</t>
  </si>
  <si>
    <t>CHOCO 7840</t>
  </si>
  <si>
    <t>Colombia, Chocó, Bahía Solano, Parque Natural Utría, margen Izquierda de la Ensenada de Utría.</t>
  </si>
  <si>
    <t>CHOCO7840</t>
  </si>
  <si>
    <t>Bahía Solano</t>
  </si>
  <si>
    <t>Parque Natural Utría, margen Izquierda de la Ensenada de Utría.</t>
  </si>
  <si>
    <t>Sanín D. et al., 2977</t>
  </si>
  <si>
    <t>Colombia, Chocó, San Jose del Palmar, vereda Damasco, escuela Santa Lucia.</t>
  </si>
  <si>
    <t>W 76°15' 2.33"</t>
  </si>
  <si>
    <t>76°15' 2.33" W</t>
  </si>
  <si>
    <t>04° 52' 9.38" N, 76°15' 2.33" W</t>
  </si>
  <si>
    <t>vereda Damasco, escuela Santa Lucia.</t>
  </si>
  <si>
    <t>Sanín D. et al., 2900</t>
  </si>
  <si>
    <t>Sanín D. et al., 2862</t>
  </si>
  <si>
    <t>Ledezma E. Pino N. &amp; G. Ramírez 351</t>
  </si>
  <si>
    <t>CHOCO 13186</t>
  </si>
  <si>
    <t>Colombia, Chocó, Unión Panamericana, corregimiento de Raspadura.</t>
  </si>
  <si>
    <t>N 05° 13' 4.01"</t>
  </si>
  <si>
    <t>05° 13' 4.01" N</t>
  </si>
  <si>
    <t>W 76° 38' 5.52"</t>
  </si>
  <si>
    <t>76° 38' 5.52" W</t>
  </si>
  <si>
    <t>05° 13' 4.01" N, 76° 38' 5.52" W</t>
  </si>
  <si>
    <t>5.2177806</t>
  </si>
  <si>
    <t>-76.6348667</t>
  </si>
  <si>
    <t>5.2177806,-76.6348667</t>
  </si>
  <si>
    <t>Unión Panamericana</t>
  </si>
  <si>
    <t>corregimiento de Raspadura.</t>
  </si>
  <si>
    <t>Fernandez-Alonso J.L. et al., 8450</t>
  </si>
  <si>
    <t>CHOCO 9277</t>
  </si>
  <si>
    <t>Colombia, Chocó, Istmina, carretera panamericana entre La Victoria y Puerto Perver.</t>
  </si>
  <si>
    <t>Puerto Pervel es una localidad del municipio El Cantón del San Pablo, segregado del municipio Istmina</t>
  </si>
  <si>
    <t>CHOCO9277</t>
  </si>
  <si>
    <t>Istmina</t>
  </si>
  <si>
    <t>carretera panamericana entre La Victoria y Puerto Perver.</t>
  </si>
  <si>
    <t>Sanín D. &amp; E. Sanín 3275</t>
  </si>
  <si>
    <t>Colombia, Huila, San Agustín, vereda Planares, relicto arriba de la Escuela Platanares.</t>
  </si>
  <si>
    <t>N 01°59'59.5"</t>
  </si>
  <si>
    <t>01°59'59.5" N</t>
  </si>
  <si>
    <t>W 76°17'78.1"</t>
  </si>
  <si>
    <t>76°17'78.1" W</t>
  </si>
  <si>
    <t>01°59'59.5" N, 76°17'78.1" W</t>
  </si>
  <si>
    <t>vereda Planares, relicto arriba de la Escuela Platanares.</t>
  </si>
  <si>
    <t>O.S. de Benavides 3099</t>
  </si>
  <si>
    <t>PSO 10676</t>
  </si>
  <si>
    <t>Colombia, Nariño, corregimiento de Altaquer-La Ensillada.</t>
  </si>
  <si>
    <t>N 01°15'</t>
  </si>
  <si>
    <t>01°15' N</t>
  </si>
  <si>
    <t>W 78°07'</t>
  </si>
  <si>
    <t>78°07' W</t>
  </si>
  <si>
    <t>01°15' N, 78°07' W</t>
  </si>
  <si>
    <t>1.25</t>
  </si>
  <si>
    <t>-78.1166667</t>
  </si>
  <si>
    <t>1.25,-78.1166667</t>
  </si>
  <si>
    <t>corregimiento de Altaquer-La Ensillada.</t>
  </si>
  <si>
    <t>Ramírez P. B. R. 12199</t>
  </si>
  <si>
    <t>CAUP 10727</t>
  </si>
  <si>
    <t>Colombia, Nariño, Tumaco, Llorente, vereda El Pinde, km 71 Tumaco-Pasto, finca La Cabaña.</t>
  </si>
  <si>
    <t>CAUP10727</t>
  </si>
  <si>
    <t>Tumaco</t>
  </si>
  <si>
    <t>Llorente, vereda El Pinde, km 71 Tumaco-Pasto, finca La Cabaña.</t>
  </si>
  <si>
    <t>PSO 36475</t>
  </si>
  <si>
    <t>Cuatrecasas J. 10673</t>
  </si>
  <si>
    <t>COL 000335837</t>
  </si>
  <si>
    <t xml:space="preserve">Colombia, Putumayo, Puerto Porvenir, arriba de Puerto Ospina hacia la Loma, selva higrofila del río Putumayo. </t>
  </si>
  <si>
    <t>COL000335837</t>
  </si>
  <si>
    <t>Puerto Porvenir</t>
  </si>
  <si>
    <t>arriba de Puerto Ospina hacia la Loma, selva higrofila del río Putumayo.</t>
  </si>
  <si>
    <t>Hagemann &amp; Leist 2033</t>
  </si>
  <si>
    <t>PSO 14733</t>
  </si>
  <si>
    <t>Colombia, Putumayo, trayecto Puerto Asís a Orito.</t>
  </si>
  <si>
    <t>N 0°39'28.62"</t>
  </si>
  <si>
    <t>0°39'28.62" N</t>
  </si>
  <si>
    <t>W 76°41'34.75"</t>
  </si>
  <si>
    <t>76°41'34.75" W</t>
  </si>
  <si>
    <t>0°39'28.62" N, 76°41'34.75" W</t>
  </si>
  <si>
    <t>0.65795</t>
  </si>
  <si>
    <t>-76.6929861</t>
  </si>
  <si>
    <t>0.65795,-76.6929861</t>
  </si>
  <si>
    <t>trayecto Puerto Asís a Orito.</t>
  </si>
  <si>
    <t>Croat T.B. 51751</t>
  </si>
  <si>
    <t>COL 000336466</t>
  </si>
  <si>
    <t>Colombia, Putumayo, Mocoa, along S bank of río Mocoa</t>
  </si>
  <si>
    <t>W 76° 33'</t>
  </si>
  <si>
    <t>76° 33' W</t>
  </si>
  <si>
    <t>01°10' N, 76° 33' W</t>
  </si>
  <si>
    <t>-76.55</t>
  </si>
  <si>
    <t>1.1666667,-76.55</t>
  </si>
  <si>
    <t>Mocoa</t>
  </si>
  <si>
    <t>along S bank of río Mocoa</t>
  </si>
  <si>
    <t>Haught O. 1811</t>
  </si>
  <si>
    <t>COL 000335840</t>
  </si>
  <si>
    <t>Colombia, Santander, Puerto Berrio, betwen Carare and Magdalena rivers.</t>
  </si>
  <si>
    <t>100-700</t>
  </si>
  <si>
    <t>COL000335840</t>
  </si>
  <si>
    <t>Puerto Berrio</t>
  </si>
  <si>
    <t>betwen Carare and Magdalena rivers.</t>
  </si>
  <si>
    <t>Wolfgang Hagemann 461</t>
  </si>
  <si>
    <t>COL 338934</t>
  </si>
  <si>
    <t>Colombia, Valle-El Calima</t>
  </si>
  <si>
    <t>COL98316</t>
  </si>
  <si>
    <t>Valle-El Calima</t>
  </si>
  <si>
    <t>S. levigatum (Cav.) A.R.Sm.</t>
  </si>
  <si>
    <t>Serpocaulon levigatum</t>
  </si>
  <si>
    <t>Arbeláez A.L. et al., 513</t>
  </si>
  <si>
    <t>HUA 76395</t>
  </si>
  <si>
    <t>Colombia, Antioqiua, Belmira, vereda El Yerbal, sitio Los Patos, margen izquierda del río Chico, Alto de Sabanazos, subparamos.</t>
  </si>
  <si>
    <t>N 06°35'</t>
  </si>
  <si>
    <t>06°35' N</t>
  </si>
  <si>
    <t>W 75°32'</t>
  </si>
  <si>
    <t>06°35' N, 75°32' W</t>
  </si>
  <si>
    <t>6.5833333</t>
  </si>
  <si>
    <t>6.5833333,-75.5333333</t>
  </si>
  <si>
    <t>HUA76395</t>
  </si>
  <si>
    <t>vereda El Yerbal, sitio Los Patos, margen izquierda del río Chico, Alto de Sabanazos, subparamos.</t>
  </si>
  <si>
    <t>Vasco A. &amp; A. M. Benavides 570</t>
  </si>
  <si>
    <t>HUA 177556</t>
  </si>
  <si>
    <t xml:space="preserve">Colombia, Antioquai, Belmira, vereda Los Patos, camino hacia el páramo de Santa Inés. </t>
  </si>
  <si>
    <t>N 06°37'07"</t>
  </si>
  <si>
    <t>06°37'07" N</t>
  </si>
  <si>
    <t>W 75°40'43.8"</t>
  </si>
  <si>
    <t>75°40'43.8" W</t>
  </si>
  <si>
    <t>06°37'07" N, 75°40'43.8" W</t>
  </si>
  <si>
    <t>6.6186111</t>
  </si>
  <si>
    <t>-75.6788333</t>
  </si>
  <si>
    <t>6.6186111,-75.6788333</t>
  </si>
  <si>
    <t>Antioquai</t>
  </si>
  <si>
    <t>vereda Los Patos, camino hacia el páramo de Santa Inés.</t>
  </si>
  <si>
    <t>Solano, F. et al., 104</t>
  </si>
  <si>
    <t>CUCV 2753</t>
  </si>
  <si>
    <t>Colombia, Antioquia, a un lado de la carretera que conduce al cerro Los Baldios.</t>
  </si>
  <si>
    <t>a un lado de la carretera que conduce al cerro Los Baldios.</t>
  </si>
  <si>
    <t>Atehortua L. 337</t>
  </si>
  <si>
    <t>HUA 7987</t>
  </si>
  <si>
    <t>Colombia, Antioquia, Fredonia, Cerro Bravo.</t>
  </si>
  <si>
    <t>N 05°55'40.87"</t>
  </si>
  <si>
    <t>05°55'40.87" N</t>
  </si>
  <si>
    <t>W 75°40'18.19"</t>
  </si>
  <si>
    <t>75°40'18.19" W</t>
  </si>
  <si>
    <t>05°55'40.87" N, 75°40'18.19" W</t>
  </si>
  <si>
    <t>5.9280194</t>
  </si>
  <si>
    <t>-75.6717194</t>
  </si>
  <si>
    <t>5.9280194,-75.6717194</t>
  </si>
  <si>
    <t>Cerro Bravo.</t>
  </si>
  <si>
    <t>Atehortua L. 351</t>
  </si>
  <si>
    <t>HUA 986</t>
  </si>
  <si>
    <t>Colombia, Antioquia, El Retiro</t>
  </si>
  <si>
    <t>N 06°03'26"</t>
  </si>
  <si>
    <t>06°03'26" N</t>
  </si>
  <si>
    <t>W 75°30'09"</t>
  </si>
  <si>
    <t>75°30'09" W</t>
  </si>
  <si>
    <t>06°03'26" N, 75°30'09" W</t>
  </si>
  <si>
    <t>6.0572222</t>
  </si>
  <si>
    <t>-75.5025</t>
  </si>
  <si>
    <t>6.0572222,-75.5025</t>
  </si>
  <si>
    <t>El Retiro</t>
  </si>
  <si>
    <t>Pérez V. 59</t>
  </si>
  <si>
    <t>HUA 15261</t>
  </si>
  <si>
    <t xml:space="preserve">Colombia, Antioquia, Medellín, vereda Matasanos, bosque secundario. </t>
  </si>
  <si>
    <t>sa.</t>
  </si>
  <si>
    <t>N 06°18'</t>
  </si>
  <si>
    <t>06°18' N</t>
  </si>
  <si>
    <t>W 75°41'</t>
  </si>
  <si>
    <t>75°41' W</t>
  </si>
  <si>
    <t>06°18' N, 75°41' W</t>
  </si>
  <si>
    <t>-75.6833333</t>
  </si>
  <si>
    <t>6.3,-75.6833333</t>
  </si>
  <si>
    <t>vereda Matasanos, bosque secundario.</t>
  </si>
  <si>
    <t>Callejas R. et al., 823</t>
  </si>
  <si>
    <t>COL 210654</t>
  </si>
  <si>
    <t>Colombia, Antioquia, Alto de Boqueron, carretera que se dirigje a las antenas receptoras de Telecom.</t>
  </si>
  <si>
    <t>2100-3150</t>
  </si>
  <si>
    <t>COL210654</t>
  </si>
  <si>
    <t>Alto de Boqueron</t>
  </si>
  <si>
    <t>carretera que se dirigje a las antenas receptoras de Telecom.</t>
  </si>
  <si>
    <t>Hoyos S. et al., 29</t>
  </si>
  <si>
    <t>HUA 19835</t>
  </si>
  <si>
    <t>Colombia, Antioquia, Yarumal, carretera entre Yarumal y El Alto de Ventanas</t>
  </si>
  <si>
    <t>N 06°57'42.06"</t>
  </si>
  <si>
    <t>06°57'42.06" N</t>
  </si>
  <si>
    <t>W 75°25'36.57"</t>
  </si>
  <si>
    <t>75°25'36.57" W</t>
  </si>
  <si>
    <t>06°57'42.06" N, 75°25'36.57" W</t>
  </si>
  <si>
    <t>6.9616833</t>
  </si>
  <si>
    <t>-75.426825</t>
  </si>
  <si>
    <t>6.9616833,-75.426825</t>
  </si>
  <si>
    <t>Yarumal</t>
  </si>
  <si>
    <t>carretera entre Yarumal y El Alto de Ventanas</t>
  </si>
  <si>
    <t>JAUM 2281</t>
  </si>
  <si>
    <t>Bolaños B. et al., 7</t>
  </si>
  <si>
    <t>JAUM 2244</t>
  </si>
  <si>
    <t>Colombia, Antioquia, Yarumal.</t>
  </si>
  <si>
    <t>Yarumal.</t>
  </si>
  <si>
    <t>Hernandez J., et al., 532</t>
  </si>
  <si>
    <t>HUA 16883</t>
  </si>
  <si>
    <t>Colombia, Antioquia, San Cristobal, paraje Boquerón, por la carretera al mar.</t>
  </si>
  <si>
    <t>2200-2700</t>
  </si>
  <si>
    <t>N 06°17'</t>
  </si>
  <si>
    <t>06°17' N</t>
  </si>
  <si>
    <t>W 75°38'</t>
  </si>
  <si>
    <t>75°38' W</t>
  </si>
  <si>
    <t>06°17' N, 75°38' W</t>
  </si>
  <si>
    <t>6.2833333,-75.6333333</t>
  </si>
  <si>
    <t>San Cristobal</t>
  </si>
  <si>
    <t>paraje Boquerón, por la carretera al mar.</t>
  </si>
  <si>
    <t>Roldan F.J. et al., 41</t>
  </si>
  <si>
    <t>HUA 24114</t>
  </si>
  <si>
    <t>Colombia, Antioquia, Guarne, vereda Piedras Blancas cerca de la represa bmh-MB</t>
  </si>
  <si>
    <t>vereda Piedras Blancas cerca de la represa bmh-MB</t>
  </si>
  <si>
    <t>Roldán F.J. et al., 64</t>
  </si>
  <si>
    <t>HUA 24091</t>
  </si>
  <si>
    <t>Albert de Escobar L. et al., 4517</t>
  </si>
  <si>
    <t>HUA 21998</t>
  </si>
  <si>
    <t>Colombia, Antioquia, Caldas, vereda la Corrala, bosque húmedo, finca La Zarza.</t>
  </si>
  <si>
    <t>vereda la Corrala, bosque húmedo, finca La Zarza.</t>
  </si>
  <si>
    <t>Albert de Escobar L. et al., 4531</t>
  </si>
  <si>
    <t>HUA 22012</t>
  </si>
  <si>
    <t>Albert de Escobar L. &amp; J.R. Giraldo J. 5172a</t>
  </si>
  <si>
    <t>HUA 23898</t>
  </si>
  <si>
    <t>Albert de Escobar L. et al., 5241</t>
  </si>
  <si>
    <t>HUA 25028</t>
  </si>
  <si>
    <t>Albert de Escobar L. et al., 5870</t>
  </si>
  <si>
    <t>HUA 26197</t>
  </si>
  <si>
    <t>Albert de Escobar L. et al., 6005</t>
  </si>
  <si>
    <t>HUA 27147</t>
  </si>
  <si>
    <t>Albert de Escobar L. &amp; J.R. Giraldo J. 6712</t>
  </si>
  <si>
    <t>HUA 28674</t>
  </si>
  <si>
    <t>Acevedo P. et al., 1405</t>
  </si>
  <si>
    <t>HUA 40436</t>
  </si>
  <si>
    <t>Colombia, Antioquia, Yarumal, Llanos de Cuivá, vegetación Páramuna.</t>
  </si>
  <si>
    <t>Llanos de Cuivá, vegetación Páramuna.</t>
  </si>
  <si>
    <t>Albert de Escobar L. et al., 6982b</t>
  </si>
  <si>
    <t>HUA 30660</t>
  </si>
  <si>
    <t>Colombia, Antioquia, Yarumal, carretera entre Yarumal y Santa Rosa.</t>
  </si>
  <si>
    <t>carretera entre Yarumal y Santa Rosa.</t>
  </si>
  <si>
    <t>Zarucchi J.L. et al., 4357</t>
  </si>
  <si>
    <t>HUA 34423</t>
  </si>
  <si>
    <t>Colombia, Antioquia, Yarumal, ca 5 km WSW of Yarumal, just W of El Peñol, margin of diturbed forest.</t>
  </si>
  <si>
    <t>N 06°57'</t>
  </si>
  <si>
    <t>06°57' N</t>
  </si>
  <si>
    <t>06°57' N, 75°28' W</t>
  </si>
  <si>
    <t>6.95</t>
  </si>
  <si>
    <t>6.95,-75.4666667</t>
  </si>
  <si>
    <t>ca 5 km WSW of Yarumal, just W of El Peñol, margin of diturbed forest.</t>
  </si>
  <si>
    <t>Zarucchi J.L. et al., 4633</t>
  </si>
  <si>
    <t>HUA 39990</t>
  </si>
  <si>
    <t>Colombia, Antioquia, Medellín, Cerro del Padre Amaya, 6,9 km from Medellín-Santa Fé de Antioquia, highway on road to summit.</t>
  </si>
  <si>
    <t>Cerro del Padre Amaya, 6, 9 km from Medellín-Santa Fé de Antioquia, highway on road to summit.</t>
  </si>
  <si>
    <t>Colombia, Antioquia, Medellín, cerro del Padre Amaya, 6,9 km from Medellín-Santa Fé de Antioquia, higway on road to summit.</t>
  </si>
  <si>
    <t>cerro del Padre Amaya, 6, 9 km from Medellín-Santa Fé de Antioquia, higway on road to summit.</t>
  </si>
  <si>
    <t>Escobar L.A. &amp; J.S. Zuluaga 76</t>
  </si>
  <si>
    <t>HUA 36915</t>
  </si>
  <si>
    <t>Colombia, Antioquia, Unión, vereda Pantalión, finca Sta. Teresita.</t>
  </si>
  <si>
    <t>N 05°58'25"</t>
  </si>
  <si>
    <t>05°58'25" N</t>
  </si>
  <si>
    <t>W 75°21'40.98"</t>
  </si>
  <si>
    <t>75°21'40.98" W</t>
  </si>
  <si>
    <t>05°58'25" N, 75°21'40.98" W</t>
  </si>
  <si>
    <t>5.9736111</t>
  </si>
  <si>
    <t>-75.3613833</t>
  </si>
  <si>
    <t>5.9736111,-75.3613833</t>
  </si>
  <si>
    <t>Unión</t>
  </si>
  <si>
    <t>vereda Pantalión, finca Sta. Teresita.</t>
  </si>
  <si>
    <t>Fonnegra R. et al., 2231</t>
  </si>
  <si>
    <t>HUA 37534</t>
  </si>
  <si>
    <t>Colombia, Antioquia, Granja Forestal Universidad Nacional, antigua carretera Medellín-Guarne.</t>
  </si>
  <si>
    <t>N 06°16'48.4"</t>
  </si>
  <si>
    <t>06°16'48.4" N</t>
  </si>
  <si>
    <t>06°16'48.4" N, 75°26'33.84" W</t>
  </si>
  <si>
    <t>6.2801111</t>
  </si>
  <si>
    <t>6.2801111,-75.4427333</t>
  </si>
  <si>
    <t>Granja Forestal Universidad Nacional</t>
  </si>
  <si>
    <t>antigua carretera Medellín-Guarne.</t>
  </si>
  <si>
    <t>Fonnegra R. et al., 2233</t>
  </si>
  <si>
    <t>HUA 37514</t>
  </si>
  <si>
    <t>Colombia, Antioquia, Granja Forestal de la Universidad Nacional, antigua carretera Medellín-Guarne.</t>
  </si>
  <si>
    <t>W 75°35'</t>
  </si>
  <si>
    <t>Granja Forestal de la Universidad Nacional</t>
  </si>
  <si>
    <t>Callejas R. et al., 3741</t>
  </si>
  <si>
    <t>HUA 42739</t>
  </si>
  <si>
    <t>Colombia, Antioquia, Jardín-Río Sucio, bosque humedo premontano, 7 km de Jardín, a orilla de riachuelo.</t>
  </si>
  <si>
    <t>05°30' N, 75°50' W</t>
  </si>
  <si>
    <t>Jardín-Río Sucio</t>
  </si>
  <si>
    <t>bosque humedo premontano, 7 km de Jardín, a orilla de riachuelo.</t>
  </si>
  <si>
    <t>Arbeláez A.L. et al., 111</t>
  </si>
  <si>
    <t>HUA 47284</t>
  </si>
  <si>
    <t>Colombia, Antioquia, Sonsón, Páramo de Sonsón.</t>
  </si>
  <si>
    <t>N 05°41'</t>
  </si>
  <si>
    <t>W 75°14'</t>
  </si>
  <si>
    <t>Páramo de Sonsón.</t>
  </si>
  <si>
    <t>Arbeláez A.L. et al., 115</t>
  </si>
  <si>
    <t>HUA 47290</t>
  </si>
  <si>
    <t>Colombia, Antioquia, Sonsón, carretera Sonsón-Los Medios, bosque al lado del río.</t>
  </si>
  <si>
    <t>W 75°21'</t>
  </si>
  <si>
    <t>75°21' W</t>
  </si>
  <si>
    <t>05°41' N, 75°21' W</t>
  </si>
  <si>
    <t>-75.35</t>
  </si>
  <si>
    <t>5.6833333,-75.35</t>
  </si>
  <si>
    <t>carretera Sonsón-Los Medios, bosque al lado del río.</t>
  </si>
  <si>
    <t>Zarucchi J.L. et al., 5592</t>
  </si>
  <si>
    <t>COL 477102</t>
  </si>
  <si>
    <t>Colombia, Antioquia, Frontino, km 15,5 of road Nutibara-Murri, disturbet wet/very wed montane vegetation, roadside.</t>
  </si>
  <si>
    <t>N 06°45'</t>
  </si>
  <si>
    <t>06°45' N</t>
  </si>
  <si>
    <t>W 76°23'</t>
  </si>
  <si>
    <t>76°23' W</t>
  </si>
  <si>
    <t>06°45' N, 76°23' W</t>
  </si>
  <si>
    <t>6.75</t>
  </si>
  <si>
    <t>-76.3833333</t>
  </si>
  <si>
    <t>6.75,-76.3833333</t>
  </si>
  <si>
    <t>km 15, 5 of road Nutibara-Murri, disturbet wet/very wed montane vegetation, roadside.</t>
  </si>
  <si>
    <t>Arbeláez A.L. et al., 245</t>
  </si>
  <si>
    <t>HUA 44782</t>
  </si>
  <si>
    <t>Colombia, Antioquia, Briceño, vereda San Fermín, 2 km despues de Troncal de La Paz sobre desviación a Briseño.</t>
  </si>
  <si>
    <t>2100-2300</t>
  </si>
  <si>
    <t>N 07°06'49"</t>
  </si>
  <si>
    <t>07°06'49" N</t>
  </si>
  <si>
    <t>W 75°33'</t>
  </si>
  <si>
    <t>75°33' W</t>
  </si>
  <si>
    <t>07°06'49" N, 75°33' W</t>
  </si>
  <si>
    <t>7.1136111</t>
  </si>
  <si>
    <t>-75.55</t>
  </si>
  <si>
    <t>7.1136111,-75.55</t>
  </si>
  <si>
    <t>Briceño</t>
  </si>
  <si>
    <t>vereda San Fermín, 2 km despues de Troncal de La Paz sobre desviación a Briseño.</t>
  </si>
  <si>
    <t>Arbeláez A.L. et al., 293</t>
  </si>
  <si>
    <t>HUA 54292</t>
  </si>
  <si>
    <t>Colombia, Antioquia, Valdivia, vereda San Fermín, finca San Fermín, bp-MB.</t>
  </si>
  <si>
    <t>N 07°05'</t>
  </si>
  <si>
    <t>07°05' N</t>
  </si>
  <si>
    <t>07°05' N, 75°30' W</t>
  </si>
  <si>
    <t>7.0833333,-75.5</t>
  </si>
  <si>
    <t>HUA54292</t>
  </si>
  <si>
    <t>Valdivia</t>
  </si>
  <si>
    <t>vereda San Fermín, finca San Fermín, bp-MB.</t>
  </si>
  <si>
    <t>Arbeláez A.L. et al., 321</t>
  </si>
  <si>
    <t>HUA 54306</t>
  </si>
  <si>
    <t>Colombia, Antioquia, Yarumal, vereda El Cedro, sobre la vía Ventanas (Mu. Yarumal)-El Cedro, km 1.9.</t>
  </si>
  <si>
    <t>1710-1900</t>
  </si>
  <si>
    <t>N 07°02'</t>
  </si>
  <si>
    <t>07°02' N</t>
  </si>
  <si>
    <t>W 75°24'</t>
  </si>
  <si>
    <t>75°24' W</t>
  </si>
  <si>
    <t>07°02' N, 75°24' W</t>
  </si>
  <si>
    <t>7.0333333</t>
  </si>
  <si>
    <t>-75.4</t>
  </si>
  <si>
    <t>7.0333333,-75.4</t>
  </si>
  <si>
    <t>vereda El Cedro, sobre la vía Ventanas (Mu. Yarumal)-El Cedro, km 1.9.</t>
  </si>
  <si>
    <t>Callejas R. et al., 6375</t>
  </si>
  <si>
    <t>HUA 51421</t>
  </si>
  <si>
    <t>Colombia, Antioquia, Sonsón, vía Sonsón-La Soleda, 1,1 km de la troncal principal, vereda Manzanares.</t>
  </si>
  <si>
    <t>N 05°42'35"</t>
  </si>
  <si>
    <t>05°42'35" N</t>
  </si>
  <si>
    <t>W 75°18'39"</t>
  </si>
  <si>
    <t>75°18'39" W</t>
  </si>
  <si>
    <t>05°42'35" N, 75°18'39" W</t>
  </si>
  <si>
    <t>5.7097222</t>
  </si>
  <si>
    <t>-75.3108333</t>
  </si>
  <si>
    <t>5.7097222,-75.3108333</t>
  </si>
  <si>
    <t>vía Sonsón-La Soleda, 1, 1 km de la troncal principal, vereda Manzanares.</t>
  </si>
  <si>
    <t>Zarucchi J.L. et al., 6816</t>
  </si>
  <si>
    <t>HUA 56671</t>
  </si>
  <si>
    <t>Colombia, Antioquia, Medellín, cerro del Padre Amaya, 6,9 km from Medellín-Santa Fé</t>
  </si>
  <si>
    <t>cerro del Padre Amaya, 6, 9 km from Medellín-Santa Fé</t>
  </si>
  <si>
    <t>Zarucchi J.L. et al., 6846</t>
  </si>
  <si>
    <t>HUA 56847</t>
  </si>
  <si>
    <t>Colombia, Antioquia, Medellín, along road Cerro del Padre Amaya, 2,3 km from main Medellín-Santa Fé de Antioquia road. Disturbet montane forest vegetation.</t>
  </si>
  <si>
    <t>N 06°19'</t>
  </si>
  <si>
    <t>06°19' N</t>
  </si>
  <si>
    <t>06°19' N, 75°41' W</t>
  </si>
  <si>
    <t>along road Cerro del Padre Amaya, 2, 3 km from main Medellín-Santa Fé de Antioquia road. Disturbet montane forest vegetation.</t>
  </si>
  <si>
    <t>COL 399038</t>
  </si>
  <si>
    <t>Colombia, Antioquia, Medellín, cerro del Padre Amaya, 6,9 km from Medellín-Santa Fé, higt way on road to summit, disturbed montane forest.</t>
  </si>
  <si>
    <t>cerro del Padre Amaya, 6, 9 km from Medellín-Santa Fé, higt way on road to summit, disturbed montane forest.</t>
  </si>
  <si>
    <t>Zarucchi J.L. et al., 7011</t>
  </si>
  <si>
    <t>HUA 59807</t>
  </si>
  <si>
    <t>Colombia, Antioquia, Jardín, vereda Morro Amarillo, Alto de las Flores, ca 5 km of Jardín.</t>
  </si>
  <si>
    <t>N 05°37'</t>
  </si>
  <si>
    <t>05°37' N</t>
  </si>
  <si>
    <t>05°37' N, 75°50' W</t>
  </si>
  <si>
    <t>vereda Morro Amarillo, Alto de las Flores, ca 5 km of Jardín.</t>
  </si>
  <si>
    <t>Londoño R. et all., 139</t>
  </si>
  <si>
    <t>HUA 22750</t>
  </si>
  <si>
    <t>Colombia, Antioquia, Urrao, Páramo de frontino, El Río.</t>
  </si>
  <si>
    <t>2050-2170</t>
  </si>
  <si>
    <t>N 06°46'52.50"</t>
  </si>
  <si>
    <t>06°46'52.50" N</t>
  </si>
  <si>
    <t>W 76°07'30.22"</t>
  </si>
  <si>
    <t>76°07'30.22" W</t>
  </si>
  <si>
    <t>06°46'52.50" N, 76°07'30.22" W</t>
  </si>
  <si>
    <t>6.78125</t>
  </si>
  <si>
    <t>-76.1250611</t>
  </si>
  <si>
    <t>6.78125,-76.1250611</t>
  </si>
  <si>
    <t>Páramo de frontino, El Río.</t>
  </si>
  <si>
    <t>MacDougal &amp; F.J. Roldán 3589</t>
  </si>
  <si>
    <t>HUA 63507</t>
  </si>
  <si>
    <t>Colombia, Antioquia, Jardín-Río Sucio, ca 9 km from Jardín, bosque primario o poco perturbado, múy húmedo, y a orillaz del bosque.</t>
  </si>
  <si>
    <t>N 05°33'</t>
  </si>
  <si>
    <t>05°33' N</t>
  </si>
  <si>
    <t>W79°49'</t>
  </si>
  <si>
    <t>9°49' W</t>
  </si>
  <si>
    <t>05°33' N, 9°49' W</t>
  </si>
  <si>
    <t>5.55</t>
  </si>
  <si>
    <t>-9.8166667</t>
  </si>
  <si>
    <t>5.55,-9.8166667</t>
  </si>
  <si>
    <t>ca 9 km from Jardín, bosque primario o poco perturbado, múy húmedo, y a orillaz del bosque.</t>
  </si>
  <si>
    <t>Luteyn J.L. &amp; O. Escobar 13266</t>
  </si>
  <si>
    <t>COL 362250</t>
  </si>
  <si>
    <t>Colombia, Antioquia, Yarumal, 1-5 km along road to San Fermín de Briceño, ca 25 kmof Yarumal.</t>
  </si>
  <si>
    <t>1830-1900</t>
  </si>
  <si>
    <t>N 07°01'</t>
  </si>
  <si>
    <t>07°01' N</t>
  </si>
  <si>
    <t>07°01' N, 75°35' W</t>
  </si>
  <si>
    <t>7.0166667</t>
  </si>
  <si>
    <t>7.0166667,-75.5833333</t>
  </si>
  <si>
    <t>1-5 km along road to San Fermín de Briceño, ca 25 kmof Yarumal.</t>
  </si>
  <si>
    <t>HUA 64936</t>
  </si>
  <si>
    <t>Echeverri D.L. et al., 457</t>
  </si>
  <si>
    <t>HUA 75409</t>
  </si>
  <si>
    <t>Colombia, Antioquia, Belmira, vereda El Yerbal, sitio los Patos, margen izquierda del río Chico, alto de Sabanazos, subpáramo.</t>
  </si>
  <si>
    <t>vereda El Yerbal, sitio los Patos, margen izquierda del río Chico, alto de Sabanazos, subpáramo.</t>
  </si>
  <si>
    <t xml:space="preserve">Calle C., D. &amp; S. Muriel R. 99 </t>
  </si>
  <si>
    <t>HUA 80684</t>
  </si>
  <si>
    <t>Colombia, Antioquia, Medellín, corregimeinto de Santa Elena, vereda Périco.</t>
  </si>
  <si>
    <t>corregimeinto de Santa Elena, vereda Périco.</t>
  </si>
  <si>
    <t>Tuberquia et al., 55</t>
  </si>
  <si>
    <t>HUA 85063</t>
  </si>
  <si>
    <t>Colombia, Antioquia, Medellín, vereda San Cristobal, sector Boquerón, Laguna La Selva.</t>
  </si>
  <si>
    <t>vereda San Cristobal, sector Boquerón, Laguna La Selva.</t>
  </si>
  <si>
    <t>Callejas R. &amp; F.J. Roldán 10493</t>
  </si>
  <si>
    <t>HUA 86461</t>
  </si>
  <si>
    <t>Colombia, Antioquia, Sonsón, vereda Chaverras, quebrada El Padre Sanchéz, 4 km SE. De Sonsón, en la vía al municipio de Nariño.</t>
  </si>
  <si>
    <t>N 05°39'</t>
  </si>
  <si>
    <t>05°39' N</t>
  </si>
  <si>
    <t>W 75°18'</t>
  </si>
  <si>
    <t>75°18' W</t>
  </si>
  <si>
    <t>05°39' N, 75°18' W</t>
  </si>
  <si>
    <t>5.65</t>
  </si>
  <si>
    <t>-75.3</t>
  </si>
  <si>
    <t>5.65,-75.3</t>
  </si>
  <si>
    <t>vereda Chaverras, quebrada El Padre Sanchéz, 4 km SE. De Sonsón, en la vía al municipio de Nariño.</t>
  </si>
  <si>
    <t>Callejas R. &amp; F.J. Roldán 10506</t>
  </si>
  <si>
    <t>HUA 83157</t>
  </si>
  <si>
    <t>Callejas R. &amp; F.J. Roldán 10671</t>
  </si>
  <si>
    <t>HUA 83197</t>
  </si>
  <si>
    <t>Colombia, Antioquia, Sonson, vereda Manzanares abajo, 10 km NE de Sonsón, en la vía que conduce a "La Soledad", sitio de colección cerca de la escuela Rural Integrada "Gregorio Gutierrez Gonzalez", bosques perturbados.</t>
  </si>
  <si>
    <t>2420-2510</t>
  </si>
  <si>
    <t>N 05°43'</t>
  </si>
  <si>
    <t>05°43' N</t>
  </si>
  <si>
    <t>05°43' N, 75°12' W</t>
  </si>
  <si>
    <t>5.7166667</t>
  </si>
  <si>
    <t>5.7166667,-75.2</t>
  </si>
  <si>
    <t>HUA83197</t>
  </si>
  <si>
    <t>vereda Manzanares abajo, 10 km NE de Sonsón, en la vía que conduce a "La Soledad", sitio de colección cerca de la escuela Rural Integrada "Gregorio Gutierrez Gonzalez", bosques perturbados.</t>
  </si>
  <si>
    <t>Fonnegra R. et al., 5274</t>
  </si>
  <si>
    <t>HUA 95037</t>
  </si>
  <si>
    <t xml:space="preserve">Colombia, Antioquia, Medellín- Guarne: Parque Ecológico Piedras Blancas, sector Lajas. </t>
  </si>
  <si>
    <t>06°18' N, 74°29' W</t>
  </si>
  <si>
    <t>Medellín- Guarne: Parque Ecológico Piedras Blancas</t>
  </si>
  <si>
    <t>sector Lajas.</t>
  </si>
  <si>
    <t>Callejas R. &amp; A. Echeverri 11512</t>
  </si>
  <si>
    <t>HUA 105328</t>
  </si>
  <si>
    <t>Colombia, Antioquia, Medellín, corregimiento de Santa Elena, vereda del Plan - Piedras Blancas, finca El Naranjal, 18 km SE de Medellín en la via a Santa Elena.</t>
  </si>
  <si>
    <t>N 06°16'</t>
  </si>
  <si>
    <t>06°16' N</t>
  </si>
  <si>
    <t>W 75°34'</t>
  </si>
  <si>
    <t>75°34' W</t>
  </si>
  <si>
    <t>06°16' N, 75°34' W</t>
  </si>
  <si>
    <t>6.2666667</t>
  </si>
  <si>
    <t>-75.5666667</t>
  </si>
  <si>
    <t>6.2666667,-75.5666667</t>
  </si>
  <si>
    <t>corregimiento de Santa Elena, vereda del Plan - Piedras Blancas, finca El Naranjal, 18 km SE de Medellín en la via a Santa Elena.</t>
  </si>
  <si>
    <t>Callejas R &amp; A. Echeverri 11567</t>
  </si>
  <si>
    <t>HUA 104720</t>
  </si>
  <si>
    <t>Colombia, Antioquia, Medellín, corregimeinto de Santa Elena, vereda El Tambo, antigua vía a cultivos de pino en la ruta a Laguna de Guarne.</t>
  </si>
  <si>
    <t>W 74°29'</t>
  </si>
  <si>
    <t>74°29' W</t>
  </si>
  <si>
    <t>-74.4833333</t>
  </si>
  <si>
    <t>6.3,-74.4833333</t>
  </si>
  <si>
    <t>HUA104720</t>
  </si>
  <si>
    <t>corregimeinto de Santa Elena, vereda El Tambo, antigua vía a cultivos de pino en la ruta a Laguna de Guarne.</t>
  </si>
  <si>
    <t>Gil A. et al., 59</t>
  </si>
  <si>
    <t>HUA 132498</t>
  </si>
  <si>
    <t>Colombia, Antioquia, Carmen de Vivoral, corregimiento La Madera, entre torres.</t>
  </si>
  <si>
    <t>N 06°01'44.3"</t>
  </si>
  <si>
    <t>06°01'44.3" N</t>
  </si>
  <si>
    <t>W 75°19'34.6"</t>
  </si>
  <si>
    <t>75°19'34.6" W</t>
  </si>
  <si>
    <t>06°01'44.3" N, 75°19'34.6" W</t>
  </si>
  <si>
    <t>6.0289722</t>
  </si>
  <si>
    <t>-75.3262778</t>
  </si>
  <si>
    <t>6.0289722,-75.3262778</t>
  </si>
  <si>
    <t>Carmen de Vivoral</t>
  </si>
  <si>
    <t>corregimiento La Madera, entre torres.</t>
  </si>
  <si>
    <t>Correa M. et al., 461</t>
  </si>
  <si>
    <t>JAUM 30366</t>
  </si>
  <si>
    <t>Colombia, Antioquia, Envigado, vertiente occidental, margen izquierda de la Miel, Fuente de Higerón.</t>
  </si>
  <si>
    <t>N06°10'19"</t>
  </si>
  <si>
    <t>6°10'19" N</t>
  </si>
  <si>
    <t>W 75°35'09"</t>
  </si>
  <si>
    <t>6°10'19" N, 75°35'09" W</t>
  </si>
  <si>
    <t>vertiente occidental, margen izquierda de la Miel, Fuente de Higerón.</t>
  </si>
  <si>
    <t>Posada J.A. et al., 315</t>
  </si>
  <si>
    <t>HUA 107365</t>
  </si>
  <si>
    <t>Colombia, Antioquia, Medellín- Guarne: Parque Ecológico Piedras Blancas, Quebrada El Molino.</t>
  </si>
  <si>
    <t>06°18' N, 75°29' W</t>
  </si>
  <si>
    <t>Quebrada El Molino.</t>
  </si>
  <si>
    <t xml:space="preserve">Cardona F. et al., 544 </t>
  </si>
  <si>
    <t>HUA 110600</t>
  </si>
  <si>
    <t>Colombia, Antioquia, Medellín, corregimeinto de Santa Elena.</t>
  </si>
  <si>
    <t>N 06°10'</t>
  </si>
  <si>
    <t>06°10' N</t>
  </si>
  <si>
    <t>06°10' N, 75°32' W</t>
  </si>
  <si>
    <t>6.1666667</t>
  </si>
  <si>
    <t>6.1666667,-75.5333333</t>
  </si>
  <si>
    <t>HUA110600</t>
  </si>
  <si>
    <t>corregimeinto de Santa Elena.</t>
  </si>
  <si>
    <t>Alzate F. &amp; F. Cardona 492</t>
  </si>
  <si>
    <t>HUA 123169</t>
  </si>
  <si>
    <t>Colombia, Antioquia, Medellín, corregimiento de Santa Elena, sector Piedras Blancas.</t>
  </si>
  <si>
    <t>corregimiento de Santa Elena, sector Piedras Blancas.</t>
  </si>
  <si>
    <t>Muñoz M. sn.</t>
  </si>
  <si>
    <t>HUA 116482</t>
  </si>
  <si>
    <t>Colombia, Antioquia, Medellín, corregimiento de Santa Elena, sitio Los Naranjos.</t>
  </si>
  <si>
    <t>corregimiento de Santa Elena, sitio Los Naranjos.</t>
  </si>
  <si>
    <t>Rodríguez  W. 3100</t>
  </si>
  <si>
    <t>JAUM 37452</t>
  </si>
  <si>
    <t>Colombia, Antioquia, Medellín, corregimeinto de Santa Elena, vereda Mazo, Estación Biodiversidad-CORANTIOQUIA, bocatoma que conduce al pozo de los patos.</t>
  </si>
  <si>
    <t>N 06°15'42"</t>
  </si>
  <si>
    <t>W 75°30'32.3"</t>
  </si>
  <si>
    <t>75°30'32.3" W</t>
  </si>
  <si>
    <t>06°15'42" N, 75°30'32.3" W</t>
  </si>
  <si>
    <t>-75.5089722</t>
  </si>
  <si>
    <t>6.2616667,-75.5089722</t>
  </si>
  <si>
    <t>corregimeinto de Santa Elena, vereda Mazo, Estación Biodiversidad-CORANTIOQUIA, bocatoma que conduce al pozo de los patos.</t>
  </si>
  <si>
    <t>COL 458813</t>
  </si>
  <si>
    <t>HUA 132174</t>
  </si>
  <si>
    <t>Rodríguez W., et al., 3387</t>
  </si>
  <si>
    <t>HUA 137329</t>
  </si>
  <si>
    <t>Colombia, Antioquia, Belmira, vereda El Golfo, quebrada El Mogote.</t>
  </si>
  <si>
    <t>N 06°36'39.2"</t>
  </si>
  <si>
    <t>06°36'39.2" N</t>
  </si>
  <si>
    <t>W 75°39'58.1"</t>
  </si>
  <si>
    <t>75°39'58.1" W</t>
  </si>
  <si>
    <t>06°36'39.2" N, 75°39'58.1" W</t>
  </si>
  <si>
    <t>6.6108889</t>
  </si>
  <si>
    <t>-75.6661389</t>
  </si>
  <si>
    <t>6.6108889,-75.6661389</t>
  </si>
  <si>
    <t>vereda El Golfo, quebrada El Mogote.</t>
  </si>
  <si>
    <t>JAUM 38641</t>
  </si>
  <si>
    <t>Rodriguez W. &amp; M.Arboleda 3452</t>
  </si>
  <si>
    <t>HUA 137335</t>
  </si>
  <si>
    <t>Colombia, Antioquia, Belmira, vereda La Salazar (parte baja), quebrada El Diablo.</t>
  </si>
  <si>
    <t>N 06°35'45.3"</t>
  </si>
  <si>
    <t>W 75°39'13"</t>
  </si>
  <si>
    <t>vereda La Salazar (parte baja), quebrada El Diablo.</t>
  </si>
  <si>
    <t>COL 484019</t>
  </si>
  <si>
    <t>Rodríguez W. et al., 3387</t>
  </si>
  <si>
    <t>MEDEL 46599</t>
  </si>
  <si>
    <t>Rodríguez W., et al., 3651</t>
  </si>
  <si>
    <t>COL 484018</t>
  </si>
  <si>
    <t>Colombia, Antioquia, Liborina, vereda Barrio Nuevo, margén izquierda de la quebrada La Honda, nacimientos, bh-MB, interior de rastrojo alto.</t>
  </si>
  <si>
    <t>vereda Barrio Nuevo, margén izquierda de la quebrada La Honda, nacimientos, bh-MB, interior de rastrojo alto.</t>
  </si>
  <si>
    <t>David H. &amp; J. Idarraga 486</t>
  </si>
  <si>
    <t>HUA 145195</t>
  </si>
  <si>
    <t>Colombia, Antioquia, Medellín, corregimeinto de Santa Elena, Reserva Natural Montevico, sector Casapalo.</t>
  </si>
  <si>
    <t>N 06°12'48"</t>
  </si>
  <si>
    <t>W 75°29'32.2"</t>
  </si>
  <si>
    <t>corregimeinto de Santa Elena, Reserva Natural Montevico, sector Casapalo.</t>
  </si>
  <si>
    <t>Fonnegra R. et al., 8211</t>
  </si>
  <si>
    <t>HUA 140466</t>
  </si>
  <si>
    <t>Colombia, Antioquia, Santa Rosa de Osos, vereda Chaquiro, sitio San Andrés de Cuérquia.</t>
  </si>
  <si>
    <t>N 06°14'12.6"</t>
  </si>
  <si>
    <t>06°14'12.6" N</t>
  </si>
  <si>
    <t>W 75°18'07.8"</t>
  </si>
  <si>
    <t>75°18'07.8" W</t>
  </si>
  <si>
    <t>06°14'12.6" N, 75°18'07.8" W</t>
  </si>
  <si>
    <t>6.2368333</t>
  </si>
  <si>
    <t>-75.3021667</t>
  </si>
  <si>
    <t>6.2368333,-75.3021667</t>
  </si>
  <si>
    <t>HUA140466</t>
  </si>
  <si>
    <t>vereda Chaquiro, sitio San Andrés de Cuérquia.</t>
  </si>
  <si>
    <t>Rodríguez W., et al., 4878</t>
  </si>
  <si>
    <t>HUA 153787</t>
  </si>
  <si>
    <t>Colombia, Antioquia, Fredonia, vereda Erbe, microcuenca La Chaparrala.</t>
  </si>
  <si>
    <t>N 05°59'08.5"</t>
  </si>
  <si>
    <t>05°59'08.5" N</t>
  </si>
  <si>
    <t>W 75°38'06.8"</t>
  </si>
  <si>
    <t>75°38'06.8" W</t>
  </si>
  <si>
    <t>05°59'08.5" N, 75°38'06.8" W</t>
  </si>
  <si>
    <t>5.9856944</t>
  </si>
  <si>
    <t>5.9856944,-75.6352222</t>
  </si>
  <si>
    <t>vereda Erbe, microcuenca La Chaparrala.</t>
  </si>
  <si>
    <t>Rodríguez W., et al., 5011</t>
  </si>
  <si>
    <t>HUA 153791</t>
  </si>
  <si>
    <t>Colombia, Antioquia, Jardín, vereda Quebrada Bonita, sector Alto de Ventanas, limites entre Antioquia y Caldas.</t>
  </si>
  <si>
    <t>N 05°32'30.4"</t>
  </si>
  <si>
    <t>05°32'30.4" N</t>
  </si>
  <si>
    <t>W 75°48'27.1"</t>
  </si>
  <si>
    <t>75°48'27.1" W</t>
  </si>
  <si>
    <t>05°32'30.4" N, 75°48'27.1" W</t>
  </si>
  <si>
    <t>5.5417778</t>
  </si>
  <si>
    <t>-75.8075278</t>
  </si>
  <si>
    <t>5.5417778,-75.8075278</t>
  </si>
  <si>
    <t>vereda Quebrada Bonita, sector Alto de Ventanas, limites entre Antioquia y Caldas.</t>
  </si>
  <si>
    <t>Rodríguez W., et al., 5475</t>
  </si>
  <si>
    <t>HUA 154680</t>
  </si>
  <si>
    <t>Colombia, Antioquia, Bello, corregimiento de San Félix, alto de Las Baldias, sector Antenas de El Colombiano.</t>
  </si>
  <si>
    <t>2950-3050</t>
  </si>
  <si>
    <t>N 06°20'30"</t>
  </si>
  <si>
    <t>06°20'30" N</t>
  </si>
  <si>
    <t>W 75°38'50"</t>
  </si>
  <si>
    <t>75°38'50" W</t>
  </si>
  <si>
    <t>06°20'30" N, 75°38'50" W</t>
  </si>
  <si>
    <t>6.3416667</t>
  </si>
  <si>
    <t>-75.6472222</t>
  </si>
  <si>
    <t>6.3416667,-75.6472222</t>
  </si>
  <si>
    <t>corregimiento de San Félix, alto de Las Baldias, sector Antenas de El Colombiano.</t>
  </si>
  <si>
    <t>Rodríguez W., et al., 5556</t>
  </si>
  <si>
    <t>HUA 154692</t>
  </si>
  <si>
    <t xml:space="preserve">Colombia, Antioquia, Angelopolis, vereda Romeral, sector Bocatoma, acueducto multiveredal, quebrada Las Animas. </t>
  </si>
  <si>
    <t>N 06°09'29"</t>
  </si>
  <si>
    <t>06°09'29" N</t>
  </si>
  <si>
    <t>W 75°42'05"</t>
  </si>
  <si>
    <t>75°42'05" W</t>
  </si>
  <si>
    <t>06°09'29" N, 75°42'05" W</t>
  </si>
  <si>
    <t>Angelopolis</t>
  </si>
  <si>
    <t>vereda Romeral, sector Bocatoma, acueducto multiveredal, quebrada Las Animas.</t>
  </si>
  <si>
    <t>Rodríguez W., et al., 5881</t>
  </si>
  <si>
    <t>HUA 158373</t>
  </si>
  <si>
    <t>Colombia, Antioquia, Medellín, vereda Yarumalito, divisoria de aguas con el municipio de Heliconia, cerca al relleno sanitario "El Guacal".</t>
  </si>
  <si>
    <t>N 06°15'18.52"</t>
  </si>
  <si>
    <t>06°15'18.52" N</t>
  </si>
  <si>
    <t>W 75°42'40.64"</t>
  </si>
  <si>
    <t>75°42'40.64" W</t>
  </si>
  <si>
    <t>06°15'18.52" N, 75°42'40.64" W</t>
  </si>
  <si>
    <t>6.2551444</t>
  </si>
  <si>
    <t>-75.7112889</t>
  </si>
  <si>
    <t>6.2551444,-75.7112889</t>
  </si>
  <si>
    <t>vereda Yarumalito, divisoria de aguas con el municipio de Heliconia, cerca al relleno sanitario "El Guacal".</t>
  </si>
  <si>
    <t>Benavides A.M. &amp; D. Jimenez 4078</t>
  </si>
  <si>
    <t>HUA 159299</t>
  </si>
  <si>
    <t>Colombia, Antioquia, Medellín, Parque Regional Arví, bosque Silletero.</t>
  </si>
  <si>
    <t>HUA159299</t>
  </si>
  <si>
    <t>Parque Regional Arví, bosque Silletero.</t>
  </si>
  <si>
    <t>Sanín D. et al., 5124</t>
  </si>
  <si>
    <t>Colombia, Antioquia, Urrao, corregimiento de La Encarnación, camino entra el páramo El Almorzadero y poco antes de la cabaña de Calles.</t>
  </si>
  <si>
    <t>D_Sanín5124</t>
  </si>
  <si>
    <t>corregimiento de La Encarnación, camino entra el páramo El Almorzadero y poco antes de la cabaña de Calles.</t>
  </si>
  <si>
    <t>Jaramillo-Mejía R. &amp; T. van der Hammen 4149</t>
  </si>
  <si>
    <t>COL 000336186</t>
  </si>
  <si>
    <t>Colombia, Boyacá, camino al Alto de Onzaga a Soatá.</t>
  </si>
  <si>
    <t>COL000336186</t>
  </si>
  <si>
    <t>camino al Alto de Onzaga a Soatá.</t>
  </si>
  <si>
    <t>Jaramillo-Mejía R. &amp; T. van der Hammen 4248</t>
  </si>
  <si>
    <t>COL 000336187</t>
  </si>
  <si>
    <t>Colombia, Boyacá, carretera entre Uvita y Cusagui, Alto de las Borregas.</t>
  </si>
  <si>
    <t>COL000336187</t>
  </si>
  <si>
    <t>carretera entre Uvita y Cusagui</t>
  </si>
  <si>
    <t>Alto de las Borregas.</t>
  </si>
  <si>
    <t>Mendoza H 1938</t>
  </si>
  <si>
    <t>COL 000336222</t>
  </si>
  <si>
    <t>Colombia, Boyacá, Villa de Leyva, vereda La Capilla, cerca de la Antena de radioaficionados.</t>
  </si>
  <si>
    <t>N 05°41'14"</t>
  </si>
  <si>
    <t>05°41'14" N</t>
  </si>
  <si>
    <t>W 73°29'35"</t>
  </si>
  <si>
    <t>73°29'35" W</t>
  </si>
  <si>
    <t>05°41'14" N, 73°29'35" W</t>
  </si>
  <si>
    <t>5.6872222</t>
  </si>
  <si>
    <t>-73.4930556</t>
  </si>
  <si>
    <t>5.6872222,-73.4930556</t>
  </si>
  <si>
    <t>vereda La Capilla, cerca de la Antena de radioaficionados.</t>
  </si>
  <si>
    <t>Albert de Escobar L. &amp; J. Brand 2098</t>
  </si>
  <si>
    <t>HUA 15293</t>
  </si>
  <si>
    <t>Colombia, Caldas, Pensilvania, vereda Líbano.</t>
  </si>
  <si>
    <t>vereda Líbano.</t>
  </si>
  <si>
    <t>Albert de Escobar L. &amp; J. Brand 2118</t>
  </si>
  <si>
    <t>HUA 15321</t>
  </si>
  <si>
    <t>Colombia, Caldas, Pensilvania, vereda Líbano, crece al borde de la Quebrada Negra, entre potrero.</t>
  </si>
  <si>
    <t>vereda Líbano, crece al borde de la Quebrada Negra, entre potrero.</t>
  </si>
  <si>
    <t>de Fraume M. et al., 598</t>
  </si>
  <si>
    <t>COL 305171</t>
  </si>
  <si>
    <t>Colombia, Caldas, Manizales, cordillera Central, Monteleón.</t>
  </si>
  <si>
    <t>cordillera Central, Monteleón.</t>
  </si>
  <si>
    <t>FAUC 2155</t>
  </si>
  <si>
    <t>HUA 62084</t>
  </si>
  <si>
    <t>Alvear-P. M. &amp; F. Sánchez 628</t>
  </si>
  <si>
    <t>COL 462744</t>
  </si>
  <si>
    <t>Colombia, Caldas, Manizales, vereda La Esperanza, Reserva Torre IV, cerca de la quebrada El Diamante, debajo de la carretera hacia Bogotá, parche de bosque ralo, en el borde de quebrada.</t>
  </si>
  <si>
    <t>2700-2750</t>
  </si>
  <si>
    <t>N 05°1'46"</t>
  </si>
  <si>
    <t>05°1'46" N</t>
  </si>
  <si>
    <t>W 75°23'26"</t>
  </si>
  <si>
    <t>75°23'26" W</t>
  </si>
  <si>
    <t>05°1'46" N, 75°23'26" W</t>
  </si>
  <si>
    <t>5.0294444</t>
  </si>
  <si>
    <t>-75.3905556</t>
  </si>
  <si>
    <t>5.0294444,-75.3905556</t>
  </si>
  <si>
    <t>vereda La Esperanza, Reserva Torre IV, cerca de la quebrada El Diamante, debajo de la carretera hacia Bogotá, parche de bosque ralo, en el borde de quebrada.</t>
  </si>
  <si>
    <t>Sanín D. 104</t>
  </si>
  <si>
    <t>HUQ 29530</t>
  </si>
  <si>
    <t>Colombia, Caldas, Manizales, Reserva Río Blanco.</t>
  </si>
  <si>
    <t>N 05°04'55.58"</t>
  </si>
  <si>
    <t>05°04'55.58" N</t>
  </si>
  <si>
    <t>W 75°27'48.17"</t>
  </si>
  <si>
    <t>75°27'48.17" W</t>
  </si>
  <si>
    <t>05°04'55.58" N, 75°27'48.17" W</t>
  </si>
  <si>
    <t>5.0821056</t>
  </si>
  <si>
    <t>-75.4633806</t>
  </si>
  <si>
    <t>5.0821056,-75.4633806</t>
  </si>
  <si>
    <t>Reserva Río Blanco.</t>
  </si>
  <si>
    <t>Sanín D. 768</t>
  </si>
  <si>
    <t>FAUC 15161</t>
  </si>
  <si>
    <t>Colombia, Caldas, Neira, vereda Manga Bonita, finca San Juan</t>
  </si>
  <si>
    <t>N 05°9'58.2"</t>
  </si>
  <si>
    <t>05°9'58.2" N</t>
  </si>
  <si>
    <t>W 75°24'40.7"</t>
  </si>
  <si>
    <t>75°24'40.7" W</t>
  </si>
  <si>
    <t>05°9'58.2" N, 75°24'40.7" W</t>
  </si>
  <si>
    <t>-75.4113056</t>
  </si>
  <si>
    <t>5.1661667,-75.4113056</t>
  </si>
  <si>
    <t>vereda Manga Bonita, finca San Juan</t>
  </si>
  <si>
    <t>Sanín D. 2805</t>
  </si>
  <si>
    <t>HUA XX</t>
  </si>
  <si>
    <t>Colombia, Caldas, Riosucio, vereda El Claren, corregimiento de Bonafon, Finca El Mirador.</t>
  </si>
  <si>
    <t>Sanín D. et al., 2199</t>
  </si>
  <si>
    <t>Colombia, Caldas, Villamaría, vereda Alto del Castillo, Finca La Palma.</t>
  </si>
  <si>
    <t>2500-2800</t>
  </si>
  <si>
    <t>N 05°00'</t>
  </si>
  <si>
    <t>05°00' N</t>
  </si>
  <si>
    <t>05°00' N, 75°30' W</t>
  </si>
  <si>
    <t>5,-75.5</t>
  </si>
  <si>
    <t>vereda Alto del Castillo, Finca La Palma.</t>
  </si>
  <si>
    <t>Coca L.F. &amp; C.A. Duque-Buitrago 66</t>
  </si>
  <si>
    <t>Colombia, Caldas, Aránzazu, vereda El Diamante, finca El Porvenir.</t>
  </si>
  <si>
    <t>N 05°15'37.1"</t>
  </si>
  <si>
    <t>05°15'37.1" N</t>
  </si>
  <si>
    <t>W 75°25'31.4"</t>
  </si>
  <si>
    <t>75°25'31.4" W</t>
  </si>
  <si>
    <t>05°15'37.1" N, 75°25'31.4" W</t>
  </si>
  <si>
    <t>5.2603056</t>
  </si>
  <si>
    <t>-75.4253889</t>
  </si>
  <si>
    <t>5.2603056,-75.4253889</t>
  </si>
  <si>
    <t>Aránzazu</t>
  </si>
  <si>
    <t>vereda El Diamante, finca El Porvenir.</t>
  </si>
  <si>
    <t>Sanín D. et al., 3315</t>
  </si>
  <si>
    <t>Colombia, Caldas, Manizales, Villamaría, vereda Montaño, finca San Antonio, relicto nor-oriente de la casa.</t>
  </si>
  <si>
    <t>N 04°59'5.57"</t>
  </si>
  <si>
    <t>W 75°27'4.10"</t>
  </si>
  <si>
    <t>Villamaría, vereda Montaño, finca San Antonio, relicto nor-oriente de la casa.</t>
  </si>
  <si>
    <t>Sanín D. et al., 5700</t>
  </si>
  <si>
    <t>Colombia, Caldas, Manizales, Cerro San Cancio, base izquierda de la vía, regeneración avanzada.</t>
  </si>
  <si>
    <t>N 05°02'36.09"</t>
  </si>
  <si>
    <t>05°02'36.09" N</t>
  </si>
  <si>
    <t>W 75°29'0.79"</t>
  </si>
  <si>
    <t>75°29'0.79" W</t>
  </si>
  <si>
    <t>05°02'36.09" N, 75°29'0.79" W</t>
  </si>
  <si>
    <t>5.0433583</t>
  </si>
  <si>
    <t>-75.4835528</t>
  </si>
  <si>
    <t>5.0433583,-75.4835528</t>
  </si>
  <si>
    <t>Cerro San Cancio, base izquierda de la vía, regeneración avanzada.</t>
  </si>
  <si>
    <t>Killip E.P. 38464</t>
  </si>
  <si>
    <t>COL 24855</t>
  </si>
  <si>
    <t>Colombia, Cauca, La Capilla, 25 km al norte de Popayán.</t>
  </si>
  <si>
    <t>COL24855</t>
  </si>
  <si>
    <t>La Capilla</t>
  </si>
  <si>
    <t>25 km al norte de Popayán.</t>
  </si>
  <si>
    <t>Grant M.L. 10658</t>
  </si>
  <si>
    <t>COL 000336212</t>
  </si>
  <si>
    <t>Colombia, Cauca, 5 km east of Timbío.</t>
  </si>
  <si>
    <t>COL000336212</t>
  </si>
  <si>
    <t>5 km east of Timbío.</t>
  </si>
  <si>
    <t>Espinal S &amp; J.E. Ramos 3200</t>
  </si>
  <si>
    <t>CUVC 3672</t>
  </si>
  <si>
    <t>Colombia, Cauca, Munchique.</t>
  </si>
  <si>
    <t>N 02°45'52.62"</t>
  </si>
  <si>
    <t>02°45'52.62" N</t>
  </si>
  <si>
    <t>W 76°45'51.20"</t>
  </si>
  <si>
    <t>76°45'51.20" W</t>
  </si>
  <si>
    <t>02°45'52.62" N, 76°45'51.20" W</t>
  </si>
  <si>
    <t>2.7646167</t>
  </si>
  <si>
    <t>-76.7642222</t>
  </si>
  <si>
    <t>2.7646167,-76.7642222</t>
  </si>
  <si>
    <t>CUVC3672</t>
  </si>
  <si>
    <t>Munchique.</t>
  </si>
  <si>
    <t>Prado M. &amp; N. Pinilla 67</t>
  </si>
  <si>
    <t>CAUP 5876</t>
  </si>
  <si>
    <t>Colombia, Cauca, Tambo, cuenca alta del río Sucio-Patía, vereda Munchique, camino hacia Carpinterías.</t>
  </si>
  <si>
    <t>Tambo</t>
  </si>
  <si>
    <t>cuenca alta del río Sucio-Patía, vereda Munchique, camino hacia Carpinterías.</t>
  </si>
  <si>
    <t>Becking M.L. et al., 1542</t>
  </si>
  <si>
    <t>COL 365202</t>
  </si>
  <si>
    <t>Colombia, Cauca, Argelia, cuch. Naranjal, cuenca Guitara (Micay), robledal Andino.</t>
  </si>
  <si>
    <t>N 02°15'21.36"</t>
  </si>
  <si>
    <t>02°15'21.36" N</t>
  </si>
  <si>
    <t>W 77°14'54.30"</t>
  </si>
  <si>
    <t>77°14'54.30" W</t>
  </si>
  <si>
    <t>02°15'21.36" N, 77°14'54.30" W</t>
  </si>
  <si>
    <t>2.2559333</t>
  </si>
  <si>
    <t>-77.2484167</t>
  </si>
  <si>
    <t>2.2559333,-77.2484167</t>
  </si>
  <si>
    <t>cuch. Naranjal, cuenca Guitara (Micay), robledal Andino.</t>
  </si>
  <si>
    <t>Gonzalez C. 1027</t>
  </si>
  <si>
    <t>CAUP 5571</t>
  </si>
  <si>
    <t>Colombia, Cauca, Toribio.</t>
  </si>
  <si>
    <t>N 02°57'29"</t>
  </si>
  <si>
    <t>02°57'29" N</t>
  </si>
  <si>
    <t>W 76°16'17"</t>
  </si>
  <si>
    <t>76°16'17" W</t>
  </si>
  <si>
    <t>02°57'29" N, 76°16'17" W</t>
  </si>
  <si>
    <t>2.9580556</t>
  </si>
  <si>
    <t>-76.2713889</t>
  </si>
  <si>
    <t>2.9580556,-76.2713889</t>
  </si>
  <si>
    <t>Toribio.</t>
  </si>
  <si>
    <t>Ribera-Díaz O. et al., 970</t>
  </si>
  <si>
    <t>COL 000336247</t>
  </si>
  <si>
    <t>Colombia, Cauca, Inza, vereda El Carmen, entre la vía Popayán-Inza, en inmediaciones entre las torres 162 y 164.</t>
  </si>
  <si>
    <t>COL000336247</t>
  </si>
  <si>
    <t>Inza</t>
  </si>
  <si>
    <t>vereda El Carmen, entre la vía Popayán-Inza, en inmediaciones entre las torres 162 y 164.</t>
  </si>
  <si>
    <t>Diaz S.L. &amp; C. Alcázar 51</t>
  </si>
  <si>
    <t>CAUP 15243</t>
  </si>
  <si>
    <t>Colombia, Cauca, Puracé, vía Popayán-Puracé, orilla de la Carretera.</t>
  </si>
  <si>
    <t>N 02°23'72'</t>
  </si>
  <si>
    <t>02°23'72' N</t>
  </si>
  <si>
    <t>W 76°26'30"</t>
  </si>
  <si>
    <t>76°26'30" W</t>
  </si>
  <si>
    <t>02°23'72' N, 76°26'30" W</t>
  </si>
  <si>
    <t>2.3853333</t>
  </si>
  <si>
    <t>-76.4416667</t>
  </si>
  <si>
    <t>2.3853333,-76.4416667</t>
  </si>
  <si>
    <t>vía Popayán-Puracé, orilla de la Carretera.</t>
  </si>
  <si>
    <t>Casañas Súarez O.L. 563</t>
  </si>
  <si>
    <t>CAUP 7130</t>
  </si>
  <si>
    <t>Colombia, Cauca, Tambo, Parque Nacional Natural Munchique, La Romelia.</t>
  </si>
  <si>
    <t>Parque Nacional Natural Munchique, La Romelia.</t>
  </si>
  <si>
    <t>Muñoz E.L. 699</t>
  </si>
  <si>
    <t>CAUP 17557</t>
  </si>
  <si>
    <t>Colombia, Cauca, Popayán, Quintana, vereda San Pedro.</t>
  </si>
  <si>
    <t>N 02°26'14.6"</t>
  </si>
  <si>
    <t>02°26'14.6" N</t>
  </si>
  <si>
    <t>W 76°25'49.7"</t>
  </si>
  <si>
    <t>76°25'49.7" W</t>
  </si>
  <si>
    <t>02°26'14.6" N, 76°25'49.7" W</t>
  </si>
  <si>
    <t>2.4373889</t>
  </si>
  <si>
    <t>-76.4304722</t>
  </si>
  <si>
    <t>2.4373889,-76.4304722</t>
  </si>
  <si>
    <t>Quintana, vereda San Pedro.</t>
  </si>
  <si>
    <t>Sandoval C.L. et al., 159</t>
  </si>
  <si>
    <t>CAUP 16982</t>
  </si>
  <si>
    <t>Colombia, Cauca, Popayán, Quintana,Cerro Pusná.</t>
  </si>
  <si>
    <t>2650-3044</t>
  </si>
  <si>
    <t>Quintana, Cerro Pusná.</t>
  </si>
  <si>
    <t>Aguilar J.A. 723</t>
  </si>
  <si>
    <t>CAUP 15194</t>
  </si>
  <si>
    <t>Colombia, Cauca, Bolívar, corregimiento de Los Milagros, en limites con Nariño, ascenso al Páramo de Granadillos.</t>
  </si>
  <si>
    <t>corregimiento de Los Milagros, en limites con Nariño, ascenso al Páramo de Granadillos.</t>
  </si>
  <si>
    <t>Muñoz E.L. et al., 1739</t>
  </si>
  <si>
    <t>CAUP 18443</t>
  </si>
  <si>
    <t>Colombia, Cauca, Inza, vereda Río Sucio, Jardín Botánico Las Delicias.</t>
  </si>
  <si>
    <t>N 02°33'</t>
  </si>
  <si>
    <t>02°33' N</t>
  </si>
  <si>
    <t>W 76°04'</t>
  </si>
  <si>
    <t>76°04' W</t>
  </si>
  <si>
    <t>02°33' N, 76°04' W</t>
  </si>
  <si>
    <t>2.55</t>
  </si>
  <si>
    <t>-76.0666667</t>
  </si>
  <si>
    <t>2.55,-76.0666667</t>
  </si>
  <si>
    <t>vereda Río Sucio, Jardín Botánico Las Delicias.</t>
  </si>
  <si>
    <t>Forero E. 2256</t>
  </si>
  <si>
    <t>COL 000336364</t>
  </si>
  <si>
    <t>Colombia, Chocó, carretera Anserma Nuevo-San Jose del palmar, limite con el Valle del Cauca, Alto del Galapago.</t>
  </si>
  <si>
    <t>COL000336364</t>
  </si>
  <si>
    <t>carretera Anserma Nuevo-San Jose del palmar</t>
  </si>
  <si>
    <t>limite con el Valle del Cauca, Alto del Galapago.</t>
  </si>
  <si>
    <t>Díaz S. 3708</t>
  </si>
  <si>
    <t>COL 242759</t>
  </si>
  <si>
    <t>Colombia, Chocó, San José del Palmar, vereda Corcovados, La Esperanza.</t>
  </si>
  <si>
    <t>COL242759</t>
  </si>
  <si>
    <t>vereda Corcovados, La Esperanza.</t>
  </si>
  <si>
    <t>Huertas G. &amp; L. Camargo 5053</t>
  </si>
  <si>
    <t>COL 000336293</t>
  </si>
  <si>
    <t>Colombia, Cundinamarca, Cordillera Oriental, Facatativa, Los Alpes.</t>
  </si>
  <si>
    <t>La vereda Los Alpes pertenece al municipio de Albán</t>
  </si>
  <si>
    <t>COL000336293</t>
  </si>
  <si>
    <t>Facatativa, Los Alpes.</t>
  </si>
  <si>
    <t>Garcia-Barriga H. 20472</t>
  </si>
  <si>
    <t>COL 000336376</t>
  </si>
  <si>
    <t>Colombia, Cundinamarca, Sasaima, vereda de Guane, entre los ríos Gualibá y Guane.</t>
  </si>
  <si>
    <t>COL000336376</t>
  </si>
  <si>
    <t>vereda de Guane, entre los ríos Gualibá y Guane.</t>
  </si>
  <si>
    <t>Acosta-Arteaga C.E. et al., 106</t>
  </si>
  <si>
    <t>COL 0003336291</t>
  </si>
  <si>
    <t>Colombia, Cundinamarca, km 60 y 61, de la carretera Guasca.Gachetá.</t>
  </si>
  <si>
    <t>km 60 y 61</t>
  </si>
  <si>
    <t>de la carretera Guasca.Gachetá.</t>
  </si>
  <si>
    <t>Acosta-Arteaga C.E. et al., 449</t>
  </si>
  <si>
    <t>MEDEL 16199</t>
  </si>
  <si>
    <t>Colombia, Cundinamarca, Usaquén, camino de La Calera.</t>
  </si>
  <si>
    <t>MEDEL16199</t>
  </si>
  <si>
    <t>Usaquén</t>
  </si>
  <si>
    <t>camino de La Calera.</t>
  </si>
  <si>
    <t>Díaz S. 3145</t>
  </si>
  <si>
    <t>COL 000336262</t>
  </si>
  <si>
    <t>Colombia, Cundinamarca, San Bernardo, vereda Santa Rita.</t>
  </si>
  <si>
    <t>COL000336262</t>
  </si>
  <si>
    <t>San Bernardo</t>
  </si>
  <si>
    <t>vereda Santa Rita.</t>
  </si>
  <si>
    <t>Linares E. &amp; G. Morales 2266</t>
  </si>
  <si>
    <t>COL 0003362907</t>
  </si>
  <si>
    <t>Colombia, Cundinamarca, Cabrera, vereda San Isidro.</t>
  </si>
  <si>
    <t>COL0003362907</t>
  </si>
  <si>
    <t>Cabrera</t>
  </si>
  <si>
    <t>vereda San Isidro.</t>
  </si>
  <si>
    <t>Hernandes S. M. 362</t>
  </si>
  <si>
    <t>COL 000336281</t>
  </si>
  <si>
    <t>Colombia, Cundinamarca, Subachoque, vereda El Tobal, finca El Cerro.</t>
  </si>
  <si>
    <t>COL000336281</t>
  </si>
  <si>
    <t>Subachoque</t>
  </si>
  <si>
    <t>vereda El Tobal, finca El Cerro.</t>
  </si>
  <si>
    <t>Díaz-P. et al., 517</t>
  </si>
  <si>
    <t>COL 000336152</t>
  </si>
  <si>
    <t>Colombia, Huila, La Plata, vereda Agua Bonita, finca Merenberg.</t>
  </si>
  <si>
    <t>vereda Agua Bonita, finca Merenberg.</t>
  </si>
  <si>
    <t>Cabrera I. et al., 5081</t>
  </si>
  <si>
    <t>CUCV 7587</t>
  </si>
  <si>
    <t xml:space="preserve">Colombia, Huila, vía Popayán y La Plara, </t>
  </si>
  <si>
    <t>N 02°23'49.81"</t>
  </si>
  <si>
    <t>02°23'49.81" N</t>
  </si>
  <si>
    <t>W 75°53'35.45"</t>
  </si>
  <si>
    <t>75°53'35.45" W</t>
  </si>
  <si>
    <t>02°23'49.81" N, 75°53'35.45" W</t>
  </si>
  <si>
    <t>2.3971694</t>
  </si>
  <si>
    <t>-75.8931806</t>
  </si>
  <si>
    <t>2.3971694,-75.8931806</t>
  </si>
  <si>
    <t>vía Popayán y La Plara</t>
  </si>
  <si>
    <t>Osorio G. 156</t>
  </si>
  <si>
    <t>COL 000336176</t>
  </si>
  <si>
    <t>Colombia, Huila, Acevedo, carretera a San Adolfo-La Victoria.</t>
  </si>
  <si>
    <t>COL000336176</t>
  </si>
  <si>
    <t>carretera a San Adolfo-La Victoria.</t>
  </si>
  <si>
    <t>Lozano G. et al., 4236</t>
  </si>
  <si>
    <t>COL 000336164</t>
  </si>
  <si>
    <t>Colombia, Huila, La Argentina, arriba de la finca Palmira.</t>
  </si>
  <si>
    <t>2100-2320</t>
  </si>
  <si>
    <t>La finca Palmira está en la vereda El Progreso del municipio La Argentina</t>
  </si>
  <si>
    <t>COL000336496</t>
  </si>
  <si>
    <t>arriba de la finca Palmira.</t>
  </si>
  <si>
    <t>Lozano G. et al., 4314</t>
  </si>
  <si>
    <t>COL 000336306</t>
  </si>
  <si>
    <t>Ceballos C.E. &amp; V. Lasso 223</t>
  </si>
  <si>
    <t>CAUP 20316</t>
  </si>
  <si>
    <t>Colombia, Huila, San Agustín, Parque Arqueológico NAcional</t>
  </si>
  <si>
    <t>Parque Arqueológico NAcional</t>
  </si>
  <si>
    <t>Ótalora N. 239</t>
  </si>
  <si>
    <t>CAUP 20539</t>
  </si>
  <si>
    <t>Colombia, Huila, Nátaga, Serrania de las Nieves, vereda El Orozco, finca Miraflores.</t>
  </si>
  <si>
    <t>N 02°32'42.44"</t>
  </si>
  <si>
    <t>02°32'42.44" N</t>
  </si>
  <si>
    <t>W 75°48'30.10"</t>
  </si>
  <si>
    <t>75°48'30.10" W</t>
  </si>
  <si>
    <t>02°32'42.44" N, 75°48'30.10" W</t>
  </si>
  <si>
    <t>2.5451222</t>
  </si>
  <si>
    <t>-75.8083611</t>
  </si>
  <si>
    <t>2.5451222,-75.8083611</t>
  </si>
  <si>
    <t>Serrania de las Nieves, vereda El Orozco, finca Miraflores.</t>
  </si>
  <si>
    <t>Ótalora N. 262</t>
  </si>
  <si>
    <t>CAUP 20623</t>
  </si>
  <si>
    <t>Sanín D. &amp; E. Sanín 3262</t>
  </si>
  <si>
    <t>Colombia, Huila, San Agustín, vereda Planares, relicto arriba de la Escuela Planares.</t>
  </si>
  <si>
    <t>N 01°59'5.95"</t>
  </si>
  <si>
    <t>01°59'5.95" N</t>
  </si>
  <si>
    <t>W 76°17'7.81"</t>
  </si>
  <si>
    <t>76°17'7.81" W</t>
  </si>
  <si>
    <t>01°59'5.95" N, 76°17'7.81" W</t>
  </si>
  <si>
    <t>vereda Planares, relicto arriba de la Escuela Planares.</t>
  </si>
  <si>
    <t>Sanín D. &amp; E. Sanín 3218</t>
  </si>
  <si>
    <t>Colombia, Huila, Pitalito, vereda Charguayaco, reserva de la Comunidad El Arroyuelo.</t>
  </si>
  <si>
    <t>N 01°46'8.33"</t>
  </si>
  <si>
    <t>01°46'8.33" N</t>
  </si>
  <si>
    <t>W 76°1'7.44"</t>
  </si>
  <si>
    <t>76°1'7.44" W</t>
  </si>
  <si>
    <t>01°46'8.33" N, 76°1'7.44" W</t>
  </si>
  <si>
    <t>vereda Charguayaco, reserva de la Comunidad El Arroyuelo.</t>
  </si>
  <si>
    <t>Llanos F. &amp; W.F. Gerardino 2891</t>
  </si>
  <si>
    <t>COL 000336241</t>
  </si>
  <si>
    <t>Colombia, Huila, Neiva, vereda La Plata, río Las Ceibas, vegetacion que comunica al campamento principal.</t>
  </si>
  <si>
    <t>COL000336241</t>
  </si>
  <si>
    <t>Neiva</t>
  </si>
  <si>
    <t>vereda La Plata, río Las Ceibas, vegetacion que comunica al campamento principal.</t>
  </si>
  <si>
    <t>Llanos F. et al., 3369</t>
  </si>
  <si>
    <t>CUVC 31905</t>
  </si>
  <si>
    <t>Colombia, Hulia, Campoalegre, vereda Alto El Roble.</t>
  </si>
  <si>
    <t>N 02°41'25.73"</t>
  </si>
  <si>
    <t>02°41'25.73" N</t>
  </si>
  <si>
    <t>W 75°19'41.77"</t>
  </si>
  <si>
    <t>75°19'41.77" W</t>
  </si>
  <si>
    <t>02°41'25.73" N, 75°19'41.77" W</t>
  </si>
  <si>
    <t>2.6904806</t>
  </si>
  <si>
    <t>-75.3282694</t>
  </si>
  <si>
    <t>2.6904806,-75.3282694</t>
  </si>
  <si>
    <t>Hulia</t>
  </si>
  <si>
    <t>vereda Alto El Roble.</t>
  </si>
  <si>
    <t xml:space="preserve">Diaz-Ibarra S.L. 282 </t>
  </si>
  <si>
    <t>PSO 36179</t>
  </si>
  <si>
    <t>Colombia, La Cruz, corregimiento Alto Mayo, vereda Escandoy, Cerro Negro.</t>
  </si>
  <si>
    <t>2900-3100</t>
  </si>
  <si>
    <t>N 01°36'03.62"</t>
  </si>
  <si>
    <t>01°36'03.62" N</t>
  </si>
  <si>
    <t>W 76°58'17.43"</t>
  </si>
  <si>
    <t>76°58'17.43" W</t>
  </si>
  <si>
    <t>01°36'03.62" N, 76°58'17.43" W</t>
  </si>
  <si>
    <t>1.6010056</t>
  </si>
  <si>
    <t>-76.9715083</t>
  </si>
  <si>
    <t>1.6010056,-76.9715083</t>
  </si>
  <si>
    <t>La Cruz</t>
  </si>
  <si>
    <t>corregimiento Alto Mayo</t>
  </si>
  <si>
    <t>vereda Escandoy, Cerro Negro.</t>
  </si>
  <si>
    <t>Romero-Castañeda R. 7545</t>
  </si>
  <si>
    <t>COL 000336237</t>
  </si>
  <si>
    <t>Colombia, Magdalena, Cordillera Oriental, camino a Codazzi-Machiques, antes de la frontera.</t>
  </si>
  <si>
    <t>COL000336237</t>
  </si>
  <si>
    <t>camino a Codazzi-Machiques, antes de la frontera.</t>
  </si>
  <si>
    <t>Kirkbride J.H. &amp; E. Forero 1902</t>
  </si>
  <si>
    <t>COL 000336220</t>
  </si>
  <si>
    <t>Colombia, Magdalena, Sierra Nevada de Santa Marta, NE end of Serrania San Javier.</t>
  </si>
  <si>
    <t>N 10°53'</t>
  </si>
  <si>
    <t>10°53' N</t>
  </si>
  <si>
    <t>W 74°01'</t>
  </si>
  <si>
    <t>74°01' W</t>
  </si>
  <si>
    <t>10°53' N, 74°01' W</t>
  </si>
  <si>
    <t>10.8833333</t>
  </si>
  <si>
    <t>-74.0166667</t>
  </si>
  <si>
    <t>10.8833333,-74.0166667</t>
  </si>
  <si>
    <t>NE end of Serrania San Javier.</t>
  </si>
  <si>
    <t>Kirkbride J.H. 2036</t>
  </si>
  <si>
    <t>COL 000336201</t>
  </si>
  <si>
    <t>Colombia, Magdalena, Sierra Nevada de Santa Marta, on trail from finca Reflejo to finca Cecilia in quebrada E of Quebrada Indiana.</t>
  </si>
  <si>
    <t>N 10°59'</t>
  </si>
  <si>
    <t>10°59' N</t>
  </si>
  <si>
    <t>W 73°59'</t>
  </si>
  <si>
    <t>73°59' W</t>
  </si>
  <si>
    <t>10°59' N, 73°59' W</t>
  </si>
  <si>
    <t>10.9833333</t>
  </si>
  <si>
    <t>-73.9833333</t>
  </si>
  <si>
    <t>10.9833333,-73.9833333</t>
  </si>
  <si>
    <t>on trail from finca Reflejo to finca Cecilia in quebrada E of Quebrada Indiana.</t>
  </si>
  <si>
    <t>Jaramillo R. et al., 5284</t>
  </si>
  <si>
    <t>COL 000336202</t>
  </si>
  <si>
    <t>Colombia, Magdalena, Sierra Nevada de Santa Marta, transecto del Alto Río Buritaca.</t>
  </si>
  <si>
    <t>transecto del Alto Río Buritaca.</t>
  </si>
  <si>
    <t>Sanín D. et al., 1596</t>
  </si>
  <si>
    <t>Colombia, Manizales, Malteria, Granja Tesorito, Universidad de Caldas.</t>
  </si>
  <si>
    <t>N 05°1'4"</t>
  </si>
  <si>
    <t>05°1'4" N</t>
  </si>
  <si>
    <t>W 75°25'22"</t>
  </si>
  <si>
    <t>75°25'22" W</t>
  </si>
  <si>
    <t>05°1'4" N, 75°25'22" W</t>
  </si>
  <si>
    <t>5.0177778</t>
  </si>
  <si>
    <t>-75.4227778</t>
  </si>
  <si>
    <t>5.0177778,-75.4227778</t>
  </si>
  <si>
    <t>D_Sanín1596</t>
  </si>
  <si>
    <t>Malteria</t>
  </si>
  <si>
    <t>Granja Tesorito, Universidad de Caldas.</t>
  </si>
  <si>
    <t>Grant M. L. 9932</t>
  </si>
  <si>
    <t>COL 000336163</t>
  </si>
  <si>
    <t>Colombia, Meta, Villavicencio, Cordillera Oriental, ridge between Río Negro and Río Manzanarez, 20 km west of Villavicencio.</t>
  </si>
  <si>
    <t>Río Negro está ubicado en Villavicencio, mientras que Río Manzanares está en Acacías. Ubiqué el punto al occidente de V/cencio, en la mitad de ambos ríos, correspondiendo a Acacías.</t>
  </si>
  <si>
    <t>COL000336163</t>
  </si>
  <si>
    <t>Villavicencio</t>
  </si>
  <si>
    <t>Cordillera Oriental, ridge between Río Negro and Río Manzanarez, 20 km west of Villavicencio.</t>
  </si>
  <si>
    <t>Grant M.L. 9932</t>
  </si>
  <si>
    <t>COL 000336336</t>
  </si>
  <si>
    <t>Colombia, Meta, al w de Villavicencio, ridge betwen Río Negro and Río Manzanares, 20 km west of Villavicencio.</t>
  </si>
  <si>
    <t>al w de Villavicencio</t>
  </si>
  <si>
    <t>ridge betwen Río Negro and Río Manzanares, 20 km west of Villavicencio.</t>
  </si>
  <si>
    <t>Idrobo J.M. &amp; R.E. Schultes 1135</t>
  </si>
  <si>
    <t>COL 000336361</t>
  </si>
  <si>
    <t>Colombia, Meta, Cordillera La Macarena (extremo nordeste), macizo Rengifo, cumbre y alrededores.</t>
  </si>
  <si>
    <t>Cordillera La Macarena (extremo nordeste)</t>
  </si>
  <si>
    <t>macizo Rengifo, cumbre y alrededores.</t>
  </si>
  <si>
    <t>Jaramillo R. 7324</t>
  </si>
  <si>
    <t>COL 000336256</t>
  </si>
  <si>
    <t>Colombia, Meta, Acacías, Colonia Penal y Agrícola de Oriente, Cuchilla de la Meseta del Mirador, arriba del Campamento de la Argentina.</t>
  </si>
  <si>
    <t>COL000336256</t>
  </si>
  <si>
    <t>Colonia Penal y Agrícola de Oriente, Cuchilla de la Meseta del Mirador, arriba del Campamento de la Argentina.</t>
  </si>
  <si>
    <t>Jaramillo R. 7287</t>
  </si>
  <si>
    <t>COL 000336184</t>
  </si>
  <si>
    <t>Barclay H.G. 4673</t>
  </si>
  <si>
    <t>COL 95779</t>
  </si>
  <si>
    <t>Colombia, Nariño, road betwen Pasto and Río Bobo, bosque and pasture.</t>
  </si>
  <si>
    <t>road betwen Pasto and Río Bobo</t>
  </si>
  <si>
    <t>bosque and pasture.</t>
  </si>
  <si>
    <t>Hernández E., et al., 307</t>
  </si>
  <si>
    <t>PSO 4260</t>
  </si>
  <si>
    <t>Colombia, Nariño, Ipiales, carretera entre La Victoria y el río San Francisco.</t>
  </si>
  <si>
    <t>N 0°49'18.34"</t>
  </si>
  <si>
    <t>0°49'18.34" N</t>
  </si>
  <si>
    <t>W 77°38'30.04"</t>
  </si>
  <si>
    <t>77°38'30.04" W</t>
  </si>
  <si>
    <t>0°49'18.34" N, 77°38'30.04" W</t>
  </si>
  <si>
    <t>0.8217611</t>
  </si>
  <si>
    <t>-77.6416778</t>
  </si>
  <si>
    <t>0.8217611,-77.6416778</t>
  </si>
  <si>
    <t>carretera entre La Victoria y el río San Francisco.</t>
  </si>
  <si>
    <t>Hageman W. &amp; Leist 1872</t>
  </si>
  <si>
    <t>PSO 28207</t>
  </si>
  <si>
    <t>Colombia, Nariño, Ipiales, km 32 carretera La Victoria-Monopamba. El Motilón.</t>
  </si>
  <si>
    <t>km 32 carretera La Victoria-Monopamba. El Motilón.</t>
  </si>
  <si>
    <t>COL 000336151</t>
  </si>
  <si>
    <t>López-Jurado G. &amp; J. Riascos 582</t>
  </si>
  <si>
    <t>PSO 9282</t>
  </si>
  <si>
    <t>Colombia, Nariño, Pasto-El Encanto, Isla La Corota.</t>
  </si>
  <si>
    <t>PSO9381</t>
  </si>
  <si>
    <t>Pasto-El Encanto</t>
  </si>
  <si>
    <t>Isla La Corota.</t>
  </si>
  <si>
    <t>López-Jurado G. &amp; J. Riascos 575</t>
  </si>
  <si>
    <t>PSO 9278</t>
  </si>
  <si>
    <t>López-Jurado G. &amp; J. Riascos 565</t>
  </si>
  <si>
    <t>PSO 9281</t>
  </si>
  <si>
    <t>López-Jurado G. &amp; J. Riascos 604</t>
  </si>
  <si>
    <t>PSO 9284</t>
  </si>
  <si>
    <t>de Benavides O.S. 1952</t>
  </si>
  <si>
    <t>PSO 9381</t>
  </si>
  <si>
    <t>Colombia, Nariño, Pasto, Isla La Corota.</t>
  </si>
  <si>
    <t>de Benavides O.S. 2101</t>
  </si>
  <si>
    <t>Ramírez P. B.R. 3464</t>
  </si>
  <si>
    <t>PSO 26291</t>
  </si>
  <si>
    <t>Colombia, Nariño, La Unión, cerro La Jacoba.</t>
  </si>
  <si>
    <t>2000-2400</t>
  </si>
  <si>
    <t>N 01°36'18.56"</t>
  </si>
  <si>
    <t>01°36'18.56" N</t>
  </si>
  <si>
    <t>W 77°08'01.09"</t>
  </si>
  <si>
    <t>77°08'01.09" W</t>
  </si>
  <si>
    <t>01°36'18.56" N, 77°08'01.09" W</t>
  </si>
  <si>
    <t>1.6051556</t>
  </si>
  <si>
    <t>-77.1336361</t>
  </si>
  <si>
    <t>1.6051556,-77.1336361</t>
  </si>
  <si>
    <t>cerro La Jacoba.</t>
  </si>
  <si>
    <t>Ramírez P. B.R. &amp; J.A. Cuayal M. 3910</t>
  </si>
  <si>
    <t>PSO 27443</t>
  </si>
  <si>
    <t>Colombia, Nariño, Pasto, corregimiento de Chachagüi, Bosque El Común.-El Encanto, Isla La Corota.</t>
  </si>
  <si>
    <t>PSO27443</t>
  </si>
  <si>
    <t>corregimiento de Chachagüi, Bosque El Común.-El Encanto, Isla La Corota.</t>
  </si>
  <si>
    <t>Ramírez P. B.R. 4662</t>
  </si>
  <si>
    <t>PSO 28096</t>
  </si>
  <si>
    <t>Colombia, Nariño, Sandoná, orillas de la Quebrada Santa Rosa.</t>
  </si>
  <si>
    <t>N 01°17'10.60"</t>
  </si>
  <si>
    <t>01°17'10.60" N</t>
  </si>
  <si>
    <t>W 77°28'15.79"</t>
  </si>
  <si>
    <t>77°28'15.79" W</t>
  </si>
  <si>
    <t>01°17'10.60" N, 77°28'15.79" W</t>
  </si>
  <si>
    <t>1.2862778</t>
  </si>
  <si>
    <t>-77.4710528</t>
  </si>
  <si>
    <t>1.2862778,-77.4710528</t>
  </si>
  <si>
    <t>Sandoná</t>
  </si>
  <si>
    <t>orillas de la Quebrada Santa Rosa.</t>
  </si>
  <si>
    <t>Ramírez P. B.R. 6219</t>
  </si>
  <si>
    <t>PSO 30378</t>
  </si>
  <si>
    <t>N 01°21'41"</t>
  </si>
  <si>
    <t>01°21'41" N</t>
  </si>
  <si>
    <t>W 77°17'00.74"</t>
  </si>
  <si>
    <t>77°17'00.74" W</t>
  </si>
  <si>
    <t>01°21'41" N, 77°17'00.74" W</t>
  </si>
  <si>
    <t>1.3613889</t>
  </si>
  <si>
    <t>-77.2835389</t>
  </si>
  <si>
    <t>1.3613889,-77.2835389</t>
  </si>
  <si>
    <t>Bittner J. &amp; O. Guzman 2700</t>
  </si>
  <si>
    <t>PSO 35317</t>
  </si>
  <si>
    <t>Colombia, Nariño, Bosque de Daza, bosque secundario intervenido.</t>
  </si>
  <si>
    <t>N 01°17'21"</t>
  </si>
  <si>
    <t>01°17'21" N</t>
  </si>
  <si>
    <t>W 77°15'30"</t>
  </si>
  <si>
    <t>77°15'30" W</t>
  </si>
  <si>
    <t>01°17'21" N, 77°15'30" W</t>
  </si>
  <si>
    <t>1.2891667</t>
  </si>
  <si>
    <t>-77.2583333</t>
  </si>
  <si>
    <t>1.2891667,-77.2583333</t>
  </si>
  <si>
    <t>PSO35317</t>
  </si>
  <si>
    <t>Bosque de Daza</t>
  </si>
  <si>
    <t>bosque secundario intervenido.</t>
  </si>
  <si>
    <t>Díaz S.L. 282</t>
  </si>
  <si>
    <t>CAUP 2551</t>
  </si>
  <si>
    <t>Colombia, Nariño, La Cruz, corregimiento de Alto Mayo, vereda Escandoy, cerro Negro</t>
  </si>
  <si>
    <t>corregimiento de Alto Mayo, vereda Escandoy, cerro Negro</t>
  </si>
  <si>
    <t>Díaz-P. et al., 906</t>
  </si>
  <si>
    <t>COL 184437</t>
  </si>
  <si>
    <t>1990-2440</t>
  </si>
  <si>
    <t>31/07/1877</t>
  </si>
  <si>
    <t>Bischler H. 1943</t>
  </si>
  <si>
    <t>COL 000336197</t>
  </si>
  <si>
    <t>Colombia, Norte de Santander, Sarare, Santa Librada.</t>
  </si>
  <si>
    <t>1300-1600</t>
  </si>
  <si>
    <t>COL000336197</t>
  </si>
  <si>
    <t>Santa Librada.</t>
  </si>
  <si>
    <t>Mora L.E. 4564</t>
  </si>
  <si>
    <t>COL 119659</t>
  </si>
  <si>
    <t>Colombia, Norte de Santander, montes aledaños al río Chitagá.</t>
  </si>
  <si>
    <t>2000-2550</t>
  </si>
  <si>
    <t>COL119659</t>
  </si>
  <si>
    <t>montes aledaños al río Chitagá.</t>
  </si>
  <si>
    <t>Croat T.B. 56406</t>
  </si>
  <si>
    <t>COL 000336280</t>
  </si>
  <si>
    <t>Colombia, Norte de Santander, along road between Pamplona and Chorro Colorado, vía Chiquira, at km 128 marker.</t>
  </si>
  <si>
    <t>N 07°22'</t>
  </si>
  <si>
    <t>07°22' N</t>
  </si>
  <si>
    <t>W 72°38'</t>
  </si>
  <si>
    <t>72°38' W</t>
  </si>
  <si>
    <t>07°22' N, 72°38' W</t>
  </si>
  <si>
    <t>7.3666667</t>
  </si>
  <si>
    <t>-72.6333333</t>
  </si>
  <si>
    <t>7.3666667,-72.6333333</t>
  </si>
  <si>
    <t>along road between Pamplona and Chorro Colorado</t>
  </si>
  <si>
    <t>vía Chiquira, at km 128 marker.</t>
  </si>
  <si>
    <t>Galindo R. et al., 450</t>
  </si>
  <si>
    <t>COL 000336300</t>
  </si>
  <si>
    <t>Colombia, Norte de Santander, La Playa de Belén, Parque Nacional Natural los Estoraques. Bosques de Piritama.</t>
  </si>
  <si>
    <t>COL000336300</t>
  </si>
  <si>
    <t>La Playa de Belén</t>
  </si>
  <si>
    <t>Parque Nacional Natural los Estoraques. Bosques de Piritama.</t>
  </si>
  <si>
    <t>Cuatrecasas J. 11654</t>
  </si>
  <si>
    <t>COL 23210</t>
  </si>
  <si>
    <t>Colombia, Putumayo, Valle del Sibundoy, alta cuenca del río Putumayo, lado sur.</t>
  </si>
  <si>
    <t>COL23210</t>
  </si>
  <si>
    <t>Valle del Sibundoy</t>
  </si>
  <si>
    <t>alta cuenca del río Putumayo, lado sur.</t>
  </si>
  <si>
    <t>Foster M.B. &amp; R. Foster 1943</t>
  </si>
  <si>
    <t>COL 62967</t>
  </si>
  <si>
    <t>Colombia, Putumayo, Valle del Sibundoy.</t>
  </si>
  <si>
    <t>N 01°12'06.27"</t>
  </si>
  <si>
    <t>01°12'06.27" N</t>
  </si>
  <si>
    <t>W 76°54'55.18"</t>
  </si>
  <si>
    <t>76°54'55.18" W</t>
  </si>
  <si>
    <t>01°12'06.27" N, 76°54'55.18" W</t>
  </si>
  <si>
    <t>1.2017417</t>
  </si>
  <si>
    <t>-76.9153278</t>
  </si>
  <si>
    <t>1.2017417,-76.9153278</t>
  </si>
  <si>
    <t>Valle del Sibundoy.</t>
  </si>
  <si>
    <t>Bristol M.L. 404</t>
  </si>
  <si>
    <t>PSO 536</t>
  </si>
  <si>
    <t>COL 100305</t>
  </si>
  <si>
    <t>Bristol M.L. 427</t>
  </si>
  <si>
    <t>COL 100299</t>
  </si>
  <si>
    <t>PSO 4487</t>
  </si>
  <si>
    <t>Porter D.M. 1082</t>
  </si>
  <si>
    <t>COL 000336166</t>
  </si>
  <si>
    <t>Colombia, Putumayo, Valle del Sibundoy, Santiago.</t>
  </si>
  <si>
    <t>COL000336166</t>
  </si>
  <si>
    <t>Santiago.</t>
  </si>
  <si>
    <t>Hagemann W. &amp; Leist 1503</t>
  </si>
  <si>
    <t>COL 000336393</t>
  </si>
  <si>
    <t>Colombia, Putumayo, 50 km de El Pepino en dirección occidental.</t>
  </si>
  <si>
    <t>50 km de El Pepino en dirección occidental.</t>
  </si>
  <si>
    <t>PSO 9527</t>
  </si>
  <si>
    <t>Colombia, Putumayo, San Francisco-Páramo de San Francisco.</t>
  </si>
  <si>
    <t>N 01°11'54.36"</t>
  </si>
  <si>
    <t>01°11'54.36" N</t>
  </si>
  <si>
    <t>W 77°03'30.52"</t>
  </si>
  <si>
    <t>77°03'30.52" W</t>
  </si>
  <si>
    <t>01°11'54.36" N, 77°03'30.52" W</t>
  </si>
  <si>
    <t>1.1984333</t>
  </si>
  <si>
    <t>-77.0584778</t>
  </si>
  <si>
    <t>1.1984333,-77.0584778</t>
  </si>
  <si>
    <t>PSO9527</t>
  </si>
  <si>
    <t>San Francisco-Páramo de San Francisco.</t>
  </si>
  <si>
    <t>Arbeláez G. et al., 93</t>
  </si>
  <si>
    <t>HUQ 2933</t>
  </si>
  <si>
    <t>Colombia, Quindio, Calarca, parte alta de Peñas Blancas.</t>
  </si>
  <si>
    <t>HUQ2933</t>
  </si>
  <si>
    <t>parte alta de Peñas Blancas.</t>
  </si>
  <si>
    <t>Arbeláez G. et al., 1057</t>
  </si>
  <si>
    <t>HUQ 2955</t>
  </si>
  <si>
    <t>Colombia, Quindio, Filandia, carretera El Roble-Morro Azul.</t>
  </si>
  <si>
    <t>N 06°10'19"</t>
  </si>
  <si>
    <t>06°10'19" N, 75°38' W</t>
  </si>
  <si>
    <t>6.1719444,-75.6333333</t>
  </si>
  <si>
    <t>carretera El Roble-Morro Azul.</t>
  </si>
  <si>
    <t>HUA 6184055</t>
  </si>
  <si>
    <t>Arbeláez G. et al., 1256</t>
  </si>
  <si>
    <t>HUA 61909</t>
  </si>
  <si>
    <t>Colombia, Quindio, Salento, carretera Salento-La Ceja.</t>
  </si>
  <si>
    <t>carretera Salento-La Ceja.</t>
  </si>
  <si>
    <t>HUQ 2971</t>
  </si>
  <si>
    <t>Arbeláez S. G. et al., 1855</t>
  </si>
  <si>
    <t>HUQ 3998</t>
  </si>
  <si>
    <t>Arbeláez G. et al., 2081</t>
  </si>
  <si>
    <t>HUQ 3995</t>
  </si>
  <si>
    <t>Colombia, Quindio, Pijao, vereda Río Azul, finca El Espartillal, a 3 km de la casa, bosque a orilla de carretera nueva.</t>
  </si>
  <si>
    <t>N 04°22'37"</t>
  </si>
  <si>
    <t>04°22'37" N</t>
  </si>
  <si>
    <t>W 75°43'04.48"</t>
  </si>
  <si>
    <t>75°43'04.48" W</t>
  </si>
  <si>
    <t>04°22'37" N, 75°43'04.48" W</t>
  </si>
  <si>
    <t>4.3769444</t>
  </si>
  <si>
    <t>-75.7179111</t>
  </si>
  <si>
    <t>4.3769444,-75.7179111</t>
  </si>
  <si>
    <t>HUQ3995</t>
  </si>
  <si>
    <t>vereda Río Azul, finca El Espartillal, a 3 km de la casa, bosque a orilla de carretera nueva.</t>
  </si>
  <si>
    <t>Agudelo C.A. et al., 1586</t>
  </si>
  <si>
    <t>HUQ 10054</t>
  </si>
  <si>
    <t>Colombia, Quindio, Salento, Reserva Natural Alto Quindío, Acaime.</t>
  </si>
  <si>
    <t>Reserva Natural Alto Quindío, Acaime.</t>
  </si>
  <si>
    <t>Velez M.C. et al., 3425</t>
  </si>
  <si>
    <t>COL 12801</t>
  </si>
  <si>
    <t>Colombia, Quindio, Calarca, vereda Planadas.</t>
  </si>
  <si>
    <t>N 04°32'05.37"</t>
  </si>
  <si>
    <t>04°32'05.37" N</t>
  </si>
  <si>
    <t>W 75°37'53.48"</t>
  </si>
  <si>
    <t>75°37'53.48" W</t>
  </si>
  <si>
    <t>04°32'05.37" N, 75°37'53.48" W</t>
  </si>
  <si>
    <t>4.534825</t>
  </si>
  <si>
    <t>-75.6315222</t>
  </si>
  <si>
    <t>4.534825,-75.6315222</t>
  </si>
  <si>
    <t>vereda Planadas.</t>
  </si>
  <si>
    <t>Vélez C. et al., 3670</t>
  </si>
  <si>
    <t>HUQ 12860</t>
  </si>
  <si>
    <t>Colombia, Quindio, Cordoba, finca Palma Hermosa, vereda Las Auras, Bosque de Aliso perturbado.</t>
  </si>
  <si>
    <t>finca Palma Hermosa, vereda Las Auras, Bosque de Aliso perturbado.</t>
  </si>
  <si>
    <t>Vélez C. et al., 5028</t>
  </si>
  <si>
    <t>COL 409947</t>
  </si>
  <si>
    <t>Colombia, Quindio, Genova, vereda San Juan Alto, finca La Caucasia, bosque intervenido al borde de camino.</t>
  </si>
  <si>
    <t>N 04°20'22.94"</t>
  </si>
  <si>
    <t>04°20'22.94" N</t>
  </si>
  <si>
    <t>W 75°47'27.33"</t>
  </si>
  <si>
    <t>75°47'27.33" W</t>
  </si>
  <si>
    <t>04°20'22.94" N, 75°47'27.33" W</t>
  </si>
  <si>
    <t>4.3397056</t>
  </si>
  <si>
    <t>-75.790925</t>
  </si>
  <si>
    <t>4.3397056,-75.790925</t>
  </si>
  <si>
    <t>vereda San Juan Alto, finca La Caucasia, bosque intervenido al borde de camino.</t>
  </si>
  <si>
    <t>Vélez C. 5826</t>
  </si>
  <si>
    <t>COL 410030</t>
  </si>
  <si>
    <t>Colombia, Quindio, Genova, vereda Río Gris Alto, reserva Natural El Jardín.</t>
  </si>
  <si>
    <t>HUQ18667</t>
  </si>
  <si>
    <t>vereda Río Gris Alto, reserva Natural El Jardín.</t>
  </si>
  <si>
    <t>COL 410029</t>
  </si>
  <si>
    <t>Rivera N. et al., 83</t>
  </si>
  <si>
    <t>HUQ 18667</t>
  </si>
  <si>
    <t>Sanín D. et al., 3103</t>
  </si>
  <si>
    <t>HUQ XXX</t>
  </si>
  <si>
    <t>Colombia, Quindio, Salento, vereda Boquia, sector Pata Sonla, flanco sur-oriental del río Boquia, alfrente del departamento del Quindio y detrás la Reserva Natural Otún Quimbaya.</t>
  </si>
  <si>
    <t>N 04°38'32"</t>
  </si>
  <si>
    <t>04°38'32" N</t>
  </si>
  <si>
    <t>W 75°32'9.18"</t>
  </si>
  <si>
    <t>75°32'9.18" W</t>
  </si>
  <si>
    <t>04°38'32" N, 75°32'9.18" W</t>
  </si>
  <si>
    <t>4.6422222</t>
  </si>
  <si>
    <t>-75.5358833</t>
  </si>
  <si>
    <t>4.6422222,-75.5358833</t>
  </si>
  <si>
    <t>vereda Boquia, sector Pata Sonla, flanco sur-oriental del río Boquia, alfrente del departamento del Quindio y detrás la Reserva Natural Otún Quimbaya.</t>
  </si>
  <si>
    <t>Sanín D. et al., 3107</t>
  </si>
  <si>
    <t>Colombia, Quindío, Salento, vereda Cocora, vía a Estrella de Agua, Camino con mosaico sucecional de aliso.</t>
  </si>
  <si>
    <t>vereda Cocora, vía a Estrella de Agua, Camino con mosaico sucecional de aliso.</t>
  </si>
  <si>
    <t>Wilde A. 2542</t>
  </si>
  <si>
    <t>COL 315942</t>
  </si>
  <si>
    <t>Colombia, Risaralda, Santa Rosa de Cabal, finca El Cortijo.</t>
  </si>
  <si>
    <t>N 04°51'</t>
  </si>
  <si>
    <t>04°51' N</t>
  </si>
  <si>
    <t>04°51' N, 75°32' W</t>
  </si>
  <si>
    <t>4.85</t>
  </si>
  <si>
    <t>4.85,-75.5333333</t>
  </si>
  <si>
    <t>finca El Cortijo.</t>
  </si>
  <si>
    <t>Henao J. 21</t>
  </si>
  <si>
    <t>HUQ 4773</t>
  </si>
  <si>
    <t>Colombia, Risaralda, Marsella, vereda El Nudo, reserva forestal.</t>
  </si>
  <si>
    <t>N 04°57'49.62"</t>
  </si>
  <si>
    <t>04°57'49.62" N</t>
  </si>
  <si>
    <t>W 75°43'37.10"</t>
  </si>
  <si>
    <t>75°43'37.10" W</t>
  </si>
  <si>
    <t>04°57'49.62" N, 75°43'37.10" W</t>
  </si>
  <si>
    <t>4.9637833</t>
  </si>
  <si>
    <t>-75.7269722</t>
  </si>
  <si>
    <t>4.9637833,-75.7269722</t>
  </si>
  <si>
    <t>Marsella</t>
  </si>
  <si>
    <t>vereda El Nudo, reserva forestal.</t>
  </si>
  <si>
    <t>Croat T.B. &amp; M.P. Galeano 70776</t>
  </si>
  <si>
    <t>COL 347782</t>
  </si>
  <si>
    <t>Colombia, Risaralda, Parque Nacional Ucumari, vereda La Pastora, trail from El Cedral to La Pastora.</t>
  </si>
  <si>
    <t>N 04°02'</t>
  </si>
  <si>
    <t>04°02' N</t>
  </si>
  <si>
    <t>04°02' N, 75°30' W</t>
  </si>
  <si>
    <t>4.0333333</t>
  </si>
  <si>
    <t>4.0333333,-75.5</t>
  </si>
  <si>
    <t>Parque Nacional Ucumari</t>
  </si>
  <si>
    <t>vereda La Pastora, trail from El Cedral to La Pastora.</t>
  </si>
  <si>
    <t>Alvarez L.M. &amp; C.M. Ospina 2171</t>
  </si>
  <si>
    <t>FAUC 18764</t>
  </si>
  <si>
    <t>Colombia, Risaralda, Pereira, vereda Yarumal, finca Sinaí.</t>
  </si>
  <si>
    <t>1400-1600</t>
  </si>
  <si>
    <t>N 05°2.5'</t>
  </si>
  <si>
    <t>05°2.5' N</t>
  </si>
  <si>
    <t>W 75°7.2'</t>
  </si>
  <si>
    <t>75°7.2' W</t>
  </si>
  <si>
    <t>05°2.5' N, 75°7.2' W</t>
  </si>
  <si>
    <t>5.0416667</t>
  </si>
  <si>
    <t>-75.12</t>
  </si>
  <si>
    <t>5.0416667,-75.12</t>
  </si>
  <si>
    <t>FAUC18764</t>
  </si>
  <si>
    <t>vereda Yarumal, finca Sinaí.</t>
  </si>
  <si>
    <t>Sanín D. &amp; J.C. Mancera 949</t>
  </si>
  <si>
    <t>FAUC 5789</t>
  </si>
  <si>
    <t>Colombia, Risaralda, Santuario, Parque Nacional Natural Tatamá, Cerro Churumbelo, vereda Baja Esmeralda.</t>
  </si>
  <si>
    <t>FAUC5789</t>
  </si>
  <si>
    <t>Parque Nacional Natural Tatamá, Cerro Churumbelo, vereda Baja Esmeralda.</t>
  </si>
  <si>
    <t>Sanín D. et al., 2442</t>
  </si>
  <si>
    <t>N 04°43'7.52"</t>
  </si>
  <si>
    <t>04°43'7.52" N</t>
  </si>
  <si>
    <t>W 75°34'6.33"</t>
  </si>
  <si>
    <t>75°34'6.33" W</t>
  </si>
  <si>
    <t>04°43'7.52" N, 75°34'6.33" W</t>
  </si>
  <si>
    <t>4.7187556</t>
  </si>
  <si>
    <t>-75.568425</t>
  </si>
  <si>
    <t>4.7187556,-75.568425</t>
  </si>
  <si>
    <t>Sanín D. et al., 2495</t>
  </si>
  <si>
    <t>Colombia, Risaralda, Santa Rosa de Cabal, Reserva Central Hidroelectrica de Caldas, Zona Amortiguadora del Parque Los Nevados.</t>
  </si>
  <si>
    <t>2122-2611</t>
  </si>
  <si>
    <t>N 04°48'8.05"</t>
  </si>
  <si>
    <t>04°48'8.05" N</t>
  </si>
  <si>
    <t>W 75°32'9.63"</t>
  </si>
  <si>
    <t>75°32'9.63" W</t>
  </si>
  <si>
    <t>04°48'8.05" N, 75°32'9.63" W</t>
  </si>
  <si>
    <t>4.8022361</t>
  </si>
  <si>
    <t>-75.5360083</t>
  </si>
  <si>
    <t>4.8022361,-75.5360083</t>
  </si>
  <si>
    <t>Reserva Central Hidroelectrica de Caldas, Zona Amortiguadora del Parque Los Nevados.</t>
  </si>
  <si>
    <t>Sanín D. et al., 4240</t>
  </si>
  <si>
    <t>N 5.1244244</t>
  </si>
  <si>
    <t>W -76.0416654</t>
  </si>
  <si>
    <t>-76.0416654 W</t>
  </si>
  <si>
    <t>5.1244244 N, -76.0416654 W</t>
  </si>
  <si>
    <t>Sanín D. et al. 4240</t>
  </si>
  <si>
    <t>W 76.0416654</t>
  </si>
  <si>
    <t>Killip E.P. &amp; A.C. Smith 15147</t>
  </si>
  <si>
    <t>COL 000336356</t>
  </si>
  <si>
    <t>Colombia, Santander, Mesa de los Santos.</t>
  </si>
  <si>
    <t>COL000336356</t>
  </si>
  <si>
    <t>Mesa de los Santos.</t>
  </si>
  <si>
    <t>Murillo M.T. &amp; R. Jaramillo Mejía 1127</t>
  </si>
  <si>
    <t>COL 000336265</t>
  </si>
  <si>
    <t>Colombia, Santander, carretera entre Bucaramanga y Pamplona, arriba de Corcova.</t>
  </si>
  <si>
    <t>carretera entre Bucaramanga y Pamplona</t>
  </si>
  <si>
    <t>arriba de Corcova.</t>
  </si>
  <si>
    <t>Duque-Jaramillo J.M. 3339</t>
  </si>
  <si>
    <t>FAUC 297</t>
  </si>
  <si>
    <t>Colombia, Tolima, Agua Bonita.</t>
  </si>
  <si>
    <t>N 04°35'45.30"</t>
  </si>
  <si>
    <t>04°35'45.30" N</t>
  </si>
  <si>
    <t>W 75°09'41.51"</t>
  </si>
  <si>
    <t>75°09'41.51" W</t>
  </si>
  <si>
    <t>04°35'45.30" N, 75°09'41.51" W</t>
  </si>
  <si>
    <t>4.5959167</t>
  </si>
  <si>
    <t>-75.1615306</t>
  </si>
  <si>
    <t>4.5959167,-75.1615306</t>
  </si>
  <si>
    <t>Agua Bonita.</t>
  </si>
  <si>
    <t>Idrobo J.M. et al., 10452</t>
  </si>
  <si>
    <t>COL 000336168</t>
  </si>
  <si>
    <t>Colombia, Tolima, Santa Isabel, vereda Purima, Cerro Purima, cordillera Central, vertiente Oriental.</t>
  </si>
  <si>
    <t>vereda Purima, Cerro Purima, cordillera Central, vertiente Oriental.</t>
  </si>
  <si>
    <t>COL 217602</t>
  </si>
  <si>
    <t>Colombia, Tolima, Santa Isabel, vereda Purima, Finca El Prado, cordillera Central, vertiente Oriental.</t>
  </si>
  <si>
    <t>vereda Purima, Finca El Prado, cordillera Central, vertiente Oriental.</t>
  </si>
  <si>
    <t>Albert de Escobar L. et al., 4162</t>
  </si>
  <si>
    <t>HUA 21002</t>
  </si>
  <si>
    <t>Colombia, Tolima, 9 km de Murillo hacia el Líbano</t>
  </si>
  <si>
    <t>9 km de Murillo hacia el Líbano</t>
  </si>
  <si>
    <t>Agudelo C.A. et al., 3289</t>
  </si>
  <si>
    <t>HUQ 20058</t>
  </si>
  <si>
    <t>Colombia, Tolima, Ibagué, corregimiento de Toche, finca Las Cruces.</t>
  </si>
  <si>
    <t>N 04°26'</t>
  </si>
  <si>
    <t>04°26' N</t>
  </si>
  <si>
    <t>04°26' N, 75°14' W</t>
  </si>
  <si>
    <t>4.4333333</t>
  </si>
  <si>
    <t>4.4333333,-75.2333333</t>
  </si>
  <si>
    <t>HUQ20058</t>
  </si>
  <si>
    <t>corregimiento de Toche, finca Las Cruces.</t>
  </si>
  <si>
    <t>Agudelo C.A. et al., 3460</t>
  </si>
  <si>
    <t>HUQ 20046</t>
  </si>
  <si>
    <t>Colombia, Tolima, Ibagué, corregimiento de Toche, finca Gallego.</t>
  </si>
  <si>
    <t>2600-2900</t>
  </si>
  <si>
    <t>N 04°26'00.00"</t>
  </si>
  <si>
    <t>04°26'00.00" N</t>
  </si>
  <si>
    <t>04°26'00.00" N, 75°14' W</t>
  </si>
  <si>
    <t>HUQ20046</t>
  </si>
  <si>
    <t>corregimiento de Toche, finca Gallego.</t>
  </si>
  <si>
    <t>Medina T. A. 1116</t>
  </si>
  <si>
    <t>TOLI 7868</t>
  </si>
  <si>
    <t>Colombia, Tolima, Ibagué, Juntas, finca El Silencio.</t>
  </si>
  <si>
    <t>N 04°36'12"</t>
  </si>
  <si>
    <t>04°36'12" N</t>
  </si>
  <si>
    <t>W 75°20'02.4"</t>
  </si>
  <si>
    <t>75°20'02.4" W</t>
  </si>
  <si>
    <t>04°36'12" N, 75°20'02.4" W</t>
  </si>
  <si>
    <t>4.6033333</t>
  </si>
  <si>
    <t>-75.334</t>
  </si>
  <si>
    <t>4.6033333,-75.334</t>
  </si>
  <si>
    <t>Juntas, finca El Silencio.</t>
  </si>
  <si>
    <t>Sanín D. et al., 3177</t>
  </si>
  <si>
    <t>Colombia, Tolima, Ibagué, corregimiento de Juntas, vía escuela El Salto.</t>
  </si>
  <si>
    <t>N 04°37'45.3"</t>
  </si>
  <si>
    <t>04°37'45.3" N</t>
  </si>
  <si>
    <t>04°37'45.3" N, 75°16'9.31" W</t>
  </si>
  <si>
    <t>corregimiento de Juntas, vía escuela El Salto.</t>
  </si>
  <si>
    <t>Ruiz R. &amp; E. Correa 934</t>
  </si>
  <si>
    <t>CAUP 2920</t>
  </si>
  <si>
    <t>Colombia, Valle, Palmira, Potrerillo, La Nevera, finca EL Orisol, carretera Potrerillo-Ataco.</t>
  </si>
  <si>
    <t>N 03°28'23.09"</t>
  </si>
  <si>
    <t>03°28'23.09" N</t>
  </si>
  <si>
    <t>W 76°31'19.41"</t>
  </si>
  <si>
    <t>76°31'19.41" W</t>
  </si>
  <si>
    <t>03°28'23.09" N, 76°31'19.41" W</t>
  </si>
  <si>
    <t>3.4730806</t>
  </si>
  <si>
    <t>-76.5220583</t>
  </si>
  <si>
    <t>3.4730806,-76.5220583</t>
  </si>
  <si>
    <t>CAUP2920</t>
  </si>
  <si>
    <t>Potrerillo, La Nevera, finca EL Orisol, carretera Potrerillo-Ataco.</t>
  </si>
  <si>
    <t>Silverstone-Sopkin P. &amp; J. Giraldo-G. 6414</t>
  </si>
  <si>
    <t>CUVC 26521</t>
  </si>
  <si>
    <t>Colombia, Valle, Buga, Carretera Buga-El Placer a 33 km al este de Hotel Guadalajara, Finca El Diluvio, cordillera Central, vertiente occidental.</t>
  </si>
  <si>
    <t>N 04°12'28.84"</t>
  </si>
  <si>
    <t>04°12'28.84" N</t>
  </si>
  <si>
    <t>W 76°09'29.11"</t>
  </si>
  <si>
    <t>76°09'29.11" W</t>
  </si>
  <si>
    <t>04°12'28.84" N, 76°09'29.11" W</t>
  </si>
  <si>
    <t>4.2080111</t>
  </si>
  <si>
    <t>-76.1580861</t>
  </si>
  <si>
    <t>4.2080111,-76.1580861</t>
  </si>
  <si>
    <t>CUVC26521</t>
  </si>
  <si>
    <t>Buga</t>
  </si>
  <si>
    <t>Carretera Buga-El Placer a 33 km al este de Hotel Guadalajara, Finca El Diluvio, cordillera Central, vertiente occidental.</t>
  </si>
  <si>
    <t>Duque-Jaramillo J.M. 1892</t>
  </si>
  <si>
    <t>COL 43908</t>
  </si>
  <si>
    <t>Colombia, Valle del Cauca, Hoya del Río Calí, El Recuerdo.</t>
  </si>
  <si>
    <t>N 02°35'</t>
  </si>
  <si>
    <t>02°35' N</t>
  </si>
  <si>
    <t>W 76°36'</t>
  </si>
  <si>
    <t>76°36' W</t>
  </si>
  <si>
    <t>02°35' N, 76°36' W</t>
  </si>
  <si>
    <t>2.5833333</t>
  </si>
  <si>
    <t>-76.6</t>
  </si>
  <si>
    <t>2.5833333,-76.6</t>
  </si>
  <si>
    <t>Sarria S. 740</t>
  </si>
  <si>
    <t>COL 000336229</t>
  </si>
  <si>
    <t>Colombia, Valle del Cauca, Florida, corregimiento de Pueblo Nuevo, de las Dantas a la vereda Cajones, margen derecha del río Desbaratado.</t>
  </si>
  <si>
    <t>COL000336229</t>
  </si>
  <si>
    <t>Florida</t>
  </si>
  <si>
    <t>corregimiento de Pueblo Nuevo, de las Dantas a la vereda Cajones, margen derecha del río Desbaratado.</t>
  </si>
  <si>
    <t>Sanín D. &amp; E. Sanín 2704</t>
  </si>
  <si>
    <t>Serpocaulon loriceum (L.) A.R. Sm.</t>
  </si>
  <si>
    <t>Serpocaulon loriceum</t>
  </si>
  <si>
    <t>Arbeláez A.L. Et al., 49</t>
  </si>
  <si>
    <t>Colombia, Antioquia, La Unión, Carretera de la Unión a San Miguel.</t>
  </si>
  <si>
    <t>Carretera de la Unión a San Miguel.</t>
  </si>
  <si>
    <t>Ruiz M. 309</t>
  </si>
  <si>
    <t>CUVC 39538</t>
  </si>
  <si>
    <t>Colombia, Cundinamarca, Laguna del Cacique de Guatavita.</t>
  </si>
  <si>
    <t>CUVC39538</t>
  </si>
  <si>
    <t>Laguna del Cacique de Guatavita.</t>
  </si>
  <si>
    <t>Bustos p. G. Et al., 151</t>
  </si>
  <si>
    <t>COL 418409</t>
  </si>
  <si>
    <t>Colombia, Antioquia, Santander, Piedecuesta, vereda Cristales, trocha que conduce al nor-este de la Estación.</t>
  </si>
  <si>
    <t>2800-32000</t>
  </si>
  <si>
    <t>Piedecuesta, vereda Cristales, trocha que conduce al nor-este de la Estación.</t>
  </si>
  <si>
    <t>Sanín D. 3221</t>
  </si>
  <si>
    <t>Colombia, Huila, Pitalito, vereda Charguayaco, Reserva de la Comunidad el Arroyuelo.</t>
  </si>
  <si>
    <t>vereda Charguayaco, Reserva de la Comunidad el Arroyuelo.</t>
  </si>
  <si>
    <t>Sanín D. 3186</t>
  </si>
  <si>
    <t>Sanín D. et al., 5087</t>
  </si>
  <si>
    <t>Colombia, Antioquia, Frontino, Parque Nacional Natural Las Orquideas, sector de Venedos, vereda Venados Abajo, sitio La Miquera, bosque dominado por Weittinia, Alfaroa y Aiphanes, abierto y con sotobosque denso.</t>
  </si>
  <si>
    <t>1000-1300</t>
  </si>
  <si>
    <t>N 06°32'23"</t>
  </si>
  <si>
    <t>06°32'23" N</t>
  </si>
  <si>
    <t>W 76°17'59"</t>
  </si>
  <si>
    <t>76°17'59" W</t>
  </si>
  <si>
    <t>06°32'23" N, 76°17'59" W</t>
  </si>
  <si>
    <t>6.5397222</t>
  </si>
  <si>
    <t>-76.2997222</t>
  </si>
  <si>
    <t>6.5397222,-76.2997222</t>
  </si>
  <si>
    <t>Parque Nacional Natural Las Orquideas, sector de Venedos, vereda Venados Abajo, sitio La Miquera, bosque dominado por Weittinia, Alfaroa y Aiphanes, abierto y con sotobosque denso.</t>
  </si>
  <si>
    <t>Lozano G et al., 5491</t>
  </si>
  <si>
    <t>COL 331362</t>
  </si>
  <si>
    <t>Colombia, Norte de Santander, Herrán, Parque Nacional Tama, sector Orocue, hacia El Alto del Pesebre.</t>
  </si>
  <si>
    <t>2650-3020</t>
  </si>
  <si>
    <t>Parque Nacional Tama, sector Orocue, hacia El Alto del Pesebre.</t>
  </si>
  <si>
    <t>Croat T. B. 51856</t>
  </si>
  <si>
    <t>COL 302208</t>
  </si>
  <si>
    <t>Colombia, Putumayo, Allong road between Pasto and Mocoa in vicinity of km 95 near Restaurante Buenos aires.</t>
  </si>
  <si>
    <t>COL302208</t>
  </si>
  <si>
    <t>Allong road between Pasto and Mocoa in vicinity of km 95 near Restaurante Buenos aires.</t>
  </si>
  <si>
    <t>S. maritimum (Hieron.) A.R. Sm.</t>
  </si>
  <si>
    <t>Serpocaulon maritimum</t>
  </si>
  <si>
    <t>Killip E.P. 35490</t>
  </si>
  <si>
    <t>COL 000336463</t>
  </si>
  <si>
    <t>Colombia, Chocó, Andagoya.</t>
  </si>
  <si>
    <t>70-100</t>
  </si>
  <si>
    <t>COL000336463</t>
  </si>
  <si>
    <t>Andagoya.</t>
  </si>
  <si>
    <t>Foster M.B. &amp; R. Foster 2086</t>
  </si>
  <si>
    <t>COL 63936</t>
  </si>
  <si>
    <t>Colombia, Nariño, Altaquér.</t>
  </si>
  <si>
    <t>Altaquér.</t>
  </si>
  <si>
    <t>Hageman W. &amp; Leist 1448</t>
  </si>
  <si>
    <t>COL 214376</t>
  </si>
  <si>
    <t>Colombia, Valle del Cauca, Hoya del río Anchicayá.</t>
  </si>
  <si>
    <t>COL214294</t>
  </si>
  <si>
    <t>Hoya del río Anchicayá.</t>
  </si>
  <si>
    <t>Hageman W. &amp; Leist 1713</t>
  </si>
  <si>
    <t>PSO 28148</t>
  </si>
  <si>
    <t>Colombia, Nariño, Barbacoas, carretera Junín-El Diviso.</t>
  </si>
  <si>
    <t>COL214288</t>
  </si>
  <si>
    <t>Barbacoas</t>
  </si>
  <si>
    <t>carretera Junín-El Diviso.</t>
  </si>
  <si>
    <t>Hageman W. &amp; Leist 1750</t>
  </si>
  <si>
    <t>COL 214288</t>
  </si>
  <si>
    <t>Colombia, Nariño, 5 km de Junín en dirección a Barbacoas.</t>
  </si>
  <si>
    <t>5 km de Junín en dirección a Barbacoas.</t>
  </si>
  <si>
    <t>Leist &amp; Möhle 2149</t>
  </si>
  <si>
    <t>PSO 13147</t>
  </si>
  <si>
    <t>Colombia, Nariño, Barbacoas, vecindad El Diviso.</t>
  </si>
  <si>
    <t>vecindad El Diviso.</t>
  </si>
  <si>
    <t>Sudgen A. 32</t>
  </si>
  <si>
    <t>COL 000335777</t>
  </si>
  <si>
    <t>Colombia, Guajira, Serranía del Macuira.</t>
  </si>
  <si>
    <t>COL000335777</t>
  </si>
  <si>
    <t>Guajira</t>
  </si>
  <si>
    <t>Serranía del Macuira.</t>
  </si>
  <si>
    <t>COL 000336468</t>
  </si>
  <si>
    <t>Forero E et al., 5259</t>
  </si>
  <si>
    <t>COL 000336458</t>
  </si>
  <si>
    <t>Colombia, Choco, Hoya del río San Juan, carretera Andagoya-Condoto, cerca de Andagoya.</t>
  </si>
  <si>
    <t>W 76° 40'</t>
  </si>
  <si>
    <t>76° 40' W</t>
  </si>
  <si>
    <t>05°06' N, 76° 40' W</t>
  </si>
  <si>
    <t>-76.6666667</t>
  </si>
  <si>
    <t>5.1,-76.6666667</t>
  </si>
  <si>
    <t>Choco</t>
  </si>
  <si>
    <t>carretera Andagoya-Condoto, cerca de Andagoya.</t>
  </si>
  <si>
    <t>Díaz P. S. 3424</t>
  </si>
  <si>
    <t>COL 000336435</t>
  </si>
  <si>
    <t>Colombia, Chocó, Nóvita, inspección de Curundó, margen derecha del río Ingará.</t>
  </si>
  <si>
    <t>400-550</t>
  </si>
  <si>
    <t>El río Ingará nace en San José del Palmar</t>
  </si>
  <si>
    <t>COL000336435</t>
  </si>
  <si>
    <t>Nóvita</t>
  </si>
  <si>
    <t>inspección de Curundó, margen derecha del río Ingará.</t>
  </si>
  <si>
    <t>Díaz P. S. 3928</t>
  </si>
  <si>
    <t>COL 000336425</t>
  </si>
  <si>
    <t>Colombia, Chocó, San Jose del Palmar, vereda La Badea.</t>
  </si>
  <si>
    <t>COL000336425</t>
  </si>
  <si>
    <t>vereda La Badea.</t>
  </si>
  <si>
    <t>Barbosa C. 1907</t>
  </si>
  <si>
    <t>COL 000336427</t>
  </si>
  <si>
    <t>Colombia, Magdalena, Cerro Las Bovedas.</t>
  </si>
  <si>
    <t>COL000336427</t>
  </si>
  <si>
    <t>Cerro Las Bovedas.</t>
  </si>
  <si>
    <t>Juncosa A. 2004</t>
  </si>
  <si>
    <t>CUVC 17458</t>
  </si>
  <si>
    <t>Colombia, Valle del Cauca, Buenaventura-El Queremal, old road from Cali, about km 32,5. Plants by roadside.</t>
  </si>
  <si>
    <t>N 03°30'</t>
  </si>
  <si>
    <t>W 76° 45'</t>
  </si>
  <si>
    <t>76° 45' W</t>
  </si>
  <si>
    <t>03°30' N, 76° 45' W</t>
  </si>
  <si>
    <t>-76.75</t>
  </si>
  <si>
    <t>3.5,-76.75</t>
  </si>
  <si>
    <t>Buenaventura-El Queremal</t>
  </si>
  <si>
    <t>old road from Cali, about km 32, 5. Plants by roadside.</t>
  </si>
  <si>
    <t>CUVC 11441</t>
  </si>
  <si>
    <t>Gentry A.H. et al., 60548</t>
  </si>
  <si>
    <t>PSO 18410</t>
  </si>
  <si>
    <t>Colombia, Nariño, La Planada Reserve, 7 km from Chucunes, cloud forest.</t>
  </si>
  <si>
    <t>N01° 05'</t>
  </si>
  <si>
    <t>1° 05' N</t>
  </si>
  <si>
    <t>W78°01'</t>
  </si>
  <si>
    <t>8°01' W</t>
  </si>
  <si>
    <t>1° 05' N, 8°01' W</t>
  </si>
  <si>
    <t>1.0833333</t>
  </si>
  <si>
    <t>-8.0166667</t>
  </si>
  <si>
    <t>1.0833333,-8.0166667</t>
  </si>
  <si>
    <t>La Planada Reserve</t>
  </si>
  <si>
    <t>7 km from Chucunes, cloud forest.</t>
  </si>
  <si>
    <t>Sanín D., et al., 5134</t>
  </si>
  <si>
    <t>Colombia, Antioquia, Urrao, corregimiento de Encarnación, vereda Calles Abajo, Parque Nacional Natural Las Orquideas, vegetación al margen del camino entre la Cabaña de Calles y La Raya, limite entre Frontino y Urrao.</t>
  </si>
  <si>
    <t>W 76°15'41.4"</t>
  </si>
  <si>
    <t>76°15'41.4" W</t>
  </si>
  <si>
    <t>06°30'45.2" N, 76°15'41.4" W</t>
  </si>
  <si>
    <t>corregimiento de Encarnación, vereda Calles Abajo, Parque Nacional Natural Las Orquideas, vegetación al margen del camino entre la Cabaña de Calles y La Raya, limite entre Frontino y Urrao.</t>
  </si>
  <si>
    <t>COL 271495</t>
  </si>
  <si>
    <t>Colombia, Nariño, vecindad El Diviso.</t>
  </si>
  <si>
    <t>S. nanegalense (Sodiro) A.R. Sm.</t>
  </si>
  <si>
    <t>Serpocaulon nanegalense</t>
  </si>
  <si>
    <t>Pérez-M. A. 166</t>
  </si>
  <si>
    <t>HUA 19297</t>
  </si>
  <si>
    <t>Colombia, Antioquia, Belmira, corregimiento de Labores.</t>
  </si>
  <si>
    <t>N 06°36'26.44"</t>
  </si>
  <si>
    <t>06°36'26.44" N</t>
  </si>
  <si>
    <t>W 75°39'57.25"</t>
  </si>
  <si>
    <t>75°39'57.25" W</t>
  </si>
  <si>
    <t>06°36'26.44" N, 75°39'57.25" W</t>
  </si>
  <si>
    <t>6.6073444</t>
  </si>
  <si>
    <t>-75.6659028</t>
  </si>
  <si>
    <t>6.6073444,-75.6659028</t>
  </si>
  <si>
    <t>corregimiento de Labores.</t>
  </si>
  <si>
    <t>Zarucchi J.L. et al., 6847</t>
  </si>
  <si>
    <t>HUA 56848</t>
  </si>
  <si>
    <t>Colombia, Antioquia, Medellín, along to road to Cerro del Padre Amaya, 2,3 km from main Medellín-Santa Fé de Antioquia, road.</t>
  </si>
  <si>
    <t>6.3166667</t>
  </si>
  <si>
    <t>6.3166667,-75.6833333</t>
  </si>
  <si>
    <t>along to road to Cerro del Padre Amaya, 2, 3 km from main Medellín-Santa Fé de Antioquia, road.</t>
  </si>
  <si>
    <t>Albert de Escobar L. et al., 8538</t>
  </si>
  <si>
    <t>HUA 48394</t>
  </si>
  <si>
    <t>Colombia, Antioquia, Caldas, vereda LA Corrala, bosque húmedo, Finca La Zarza.</t>
  </si>
  <si>
    <t>N 06°05'24"</t>
  </si>
  <si>
    <t>06°05'24" N</t>
  </si>
  <si>
    <t>06°05'24" N, 75°38'16.80" W</t>
  </si>
  <si>
    <t>vereda LA Corrala, bosque húmedo, Finca La Zarza.</t>
  </si>
  <si>
    <t xml:space="preserve">Rodríguez W. et al., 3418 </t>
  </si>
  <si>
    <t>COL 484017</t>
  </si>
  <si>
    <t>Colombia, Antioquia, Belmira, vereda Montañita, quebrada Montañita.</t>
  </si>
  <si>
    <t>N 06°37'18.7"</t>
  </si>
  <si>
    <t>06°37'18.7" N</t>
  </si>
  <si>
    <t>W 75°40'30"</t>
  </si>
  <si>
    <t>75°40'30" W</t>
  </si>
  <si>
    <t>06°37'18.7" N, 75°40'30" W</t>
  </si>
  <si>
    <t>6.6218611</t>
  </si>
  <si>
    <t>-75.675</t>
  </si>
  <si>
    <t>6.6218611,-75.675</t>
  </si>
  <si>
    <t>vereda Montañita, quebrada Montañita.</t>
  </si>
  <si>
    <t>Rivas A. &amp; A.F. Ruíz 642</t>
  </si>
  <si>
    <t>HUA 152989</t>
  </si>
  <si>
    <t>Colombia, Antioquia, Jardín, vereda La Herrera, finca El Imperio.</t>
  </si>
  <si>
    <t>N 05°29'13.2"</t>
  </si>
  <si>
    <t>05°29'13.2" N</t>
  </si>
  <si>
    <t>W 75°53'52.6"</t>
  </si>
  <si>
    <t>75°53'52.6" W</t>
  </si>
  <si>
    <t>05°29'13.2" N, 75°53'52.6" W</t>
  </si>
  <si>
    <t>-75.8979444</t>
  </si>
  <si>
    <t>5.487,-75.8979444</t>
  </si>
  <si>
    <t>vereda La Herrera, finca El Imperio.</t>
  </si>
  <si>
    <t xml:space="preserve">Rodríguez W. et al., 3662 </t>
  </si>
  <si>
    <t>COL 487644</t>
  </si>
  <si>
    <t>Colombia, Antioquia, Belmira, vereda El Yuyal, quebrada La Aldaña.</t>
  </si>
  <si>
    <t>N 06°35'59.8"</t>
  </si>
  <si>
    <t>06°35'59.8" N</t>
  </si>
  <si>
    <t>W 75°41'26.2"</t>
  </si>
  <si>
    <t>75°41'26.2" W</t>
  </si>
  <si>
    <t>06°35'59.8" N, 75°41'26.2" W</t>
  </si>
  <si>
    <t>6.5999444</t>
  </si>
  <si>
    <t>-75.6906111</t>
  </si>
  <si>
    <t>6.5999444,-75.6906111</t>
  </si>
  <si>
    <t>vereda El Yuyal, quebrada La Aldaña.</t>
  </si>
  <si>
    <t>HUA 137354</t>
  </si>
  <si>
    <t>JAUM 38644</t>
  </si>
  <si>
    <t>Rodríguez W. et al., 3715</t>
  </si>
  <si>
    <t>HUA 137361</t>
  </si>
  <si>
    <t>Colombia, Antioquia, Belmira, vereda La Amoladora, sector Montefrio, limite con los municipios de San Pedro de los Milagros y San Jerónimo.</t>
  </si>
  <si>
    <t>N 06°30'16.8"</t>
  </si>
  <si>
    <t>06°30'16.8" N</t>
  </si>
  <si>
    <t>W 75°39'16.3"</t>
  </si>
  <si>
    <t>75°39'16.3" W</t>
  </si>
  <si>
    <t>06°30'16.8" N, 75°39'16.3" W</t>
  </si>
  <si>
    <t>6.5046667</t>
  </si>
  <si>
    <t>-75.6545278</t>
  </si>
  <si>
    <t>6.5046667,-75.6545278</t>
  </si>
  <si>
    <t>HUA137361</t>
  </si>
  <si>
    <t>vereda La Amoladora, sector Montefrio, limite con los municipios de San Pedro de los Milagros y San Jerónimo.</t>
  </si>
  <si>
    <t>COL 487641</t>
  </si>
  <si>
    <t xml:space="preserve">Rodríguez W. et al., 3715 </t>
  </si>
  <si>
    <t>MEDEL 46601</t>
  </si>
  <si>
    <t xml:space="preserve">Rodríguez W. et al., 4940 </t>
  </si>
  <si>
    <t>HUA 153835</t>
  </si>
  <si>
    <t>Colombia, Antioquia, Jardín, vereda La Mesenía, sector Paramillo.</t>
  </si>
  <si>
    <t>vereda La Mesenía, sector Paramillo.</t>
  </si>
  <si>
    <t xml:space="preserve">Rodríguez W. et al., 5000 </t>
  </si>
  <si>
    <t>HUA 153840</t>
  </si>
  <si>
    <t xml:space="preserve">Rodríguez W. et al., 5023 </t>
  </si>
  <si>
    <t>HUA 153843</t>
  </si>
  <si>
    <t xml:space="preserve">Rodríguez W. et al., 5469 </t>
  </si>
  <si>
    <t>HUA 154679</t>
  </si>
  <si>
    <t>Colombia, Antioquia, Bello, corregimiento de San Felix, alto de Las Baldivias, sector Antenas de El Colombiano.</t>
  </si>
  <si>
    <t>corregimiento de San Felix, alto de Las Baldivias, sector Antenas de El Colombiano.</t>
  </si>
  <si>
    <t>Rodríguez W. et al., 5970</t>
  </si>
  <si>
    <t>HUA 158379</t>
  </si>
  <si>
    <t>Colombia, Antioquia, Medellín, corregimiento de San Antonio del Prado, vereda Yarumalito, divisoria de aguas, con el municipio de Heliconia, cerca del relleno sanitario El Guacal..</t>
  </si>
  <si>
    <t>N 06°15'16.73"</t>
  </si>
  <si>
    <t>06°15'16.73" N</t>
  </si>
  <si>
    <t>W 75°42'40.99"</t>
  </si>
  <si>
    <t>75°42'40.99" W</t>
  </si>
  <si>
    <t>06°15'16.73" N, 75°42'40.99" W</t>
  </si>
  <si>
    <t>6.2546472</t>
  </si>
  <si>
    <t>-75.7113861</t>
  </si>
  <si>
    <t>6.2546472,-75.7113861</t>
  </si>
  <si>
    <t>corregimiento de San Antonio del Prado, vereda Yarumalito, divisoria de aguas, con el municipio de Heliconia, cerca del relleno sanitario El Guacal..</t>
  </si>
  <si>
    <t xml:space="preserve">Rodríguez W. et al., 5970 </t>
  </si>
  <si>
    <t>MEDEL 50981</t>
  </si>
  <si>
    <t>Colombia, Antioquia, Medellín, corregimiento de San Antonio del Prado, vereda Yarumalito, divisoria de aguas, con el municipio de Heliconia, cerca del relleno sanitario El Guacal.</t>
  </si>
  <si>
    <t>corregimiento de San Antonio del Prado, vereda Yarumalito, divisoria de aguas, con el municipio de Heliconia, cerca del relleno sanitario El Guacal.</t>
  </si>
  <si>
    <t>Sanín D. et el., 5105</t>
  </si>
  <si>
    <t>Colombia, Antioquia, Belmira, Páramo de Belmira, localidad Montañita.</t>
  </si>
  <si>
    <t>N 06°37.318'</t>
  </si>
  <si>
    <t>06°37.318' N</t>
  </si>
  <si>
    <t>W 75°38.697'</t>
  </si>
  <si>
    <t>75°38.697' W</t>
  </si>
  <si>
    <t>06°37.318' N, 75°38.697' W</t>
  </si>
  <si>
    <t>Páramo de Belmira, localidad Montañita.</t>
  </si>
  <si>
    <t>Sanín D. et al., 5067</t>
  </si>
  <si>
    <t>Hagemann W. 678</t>
  </si>
  <si>
    <t>COL 00336451</t>
  </si>
  <si>
    <t>Colombia, Boyacá, Paramó de Sogamoso.</t>
  </si>
  <si>
    <t>El verdadero nombre del páramo de Sogamoso es Páramo de Siscunsí</t>
  </si>
  <si>
    <t>COL00336451</t>
  </si>
  <si>
    <t>Paramó de Sogamoso.</t>
  </si>
  <si>
    <t>Murillo J. et al., 2932</t>
  </si>
  <si>
    <t>COL 475677</t>
  </si>
  <si>
    <t>Muñoz E. E.L. et al., 1409</t>
  </si>
  <si>
    <t>CAUP 18125</t>
  </si>
  <si>
    <t>Colombia, Cauca, Inza, vereda Río Sucio, Jardín Botánico las Delicias, km 62.</t>
  </si>
  <si>
    <t>vereda Río Sucio, Jardín Botánico las Delicias, km 62.</t>
  </si>
  <si>
    <t>Jaramillo Mejía R. et al., 3438</t>
  </si>
  <si>
    <t>COL 000336446</t>
  </si>
  <si>
    <t>Colombia, Cundinamarca, San Miguel, extremo SW de la Sabana de Bogotá.</t>
  </si>
  <si>
    <t>COL000336446</t>
  </si>
  <si>
    <t>San Miguel</t>
  </si>
  <si>
    <t>extremo SW de la Sabana de Bogotá.</t>
  </si>
  <si>
    <t>Jaramillo Mejía R. et al., 3419</t>
  </si>
  <si>
    <t>COL 000336439</t>
  </si>
  <si>
    <t>Linares E. &amp; Sanchez R. 2892</t>
  </si>
  <si>
    <t>COL 441477</t>
  </si>
  <si>
    <t>Colombia, Cundinamarca, vereda La Concepción.</t>
  </si>
  <si>
    <t>COL441477</t>
  </si>
  <si>
    <t>vereda La Concepción.</t>
  </si>
  <si>
    <t>Murillo M.T. 430</t>
  </si>
  <si>
    <t>COL 90981</t>
  </si>
  <si>
    <t>Colombia, Cundinamarca, Sibaté, Bosques de San Miguel.</t>
  </si>
  <si>
    <t>El alto de San Miguel figura en la vereda El Peñón, Sibaté</t>
  </si>
  <si>
    <t>COL90981</t>
  </si>
  <si>
    <t>Sibaté</t>
  </si>
  <si>
    <t>Bosques de San Miguel.</t>
  </si>
  <si>
    <t>Wolfgang Hagemann &amp; Leist 1827</t>
  </si>
  <si>
    <t>COL 214242</t>
  </si>
  <si>
    <t>Colombia, Nariño, carretera La Vicoria-Monopamba, km 32 Motión.</t>
  </si>
  <si>
    <t>N 0°46'</t>
  </si>
  <si>
    <t>0°46' N</t>
  </si>
  <si>
    <t>W 77°07'</t>
  </si>
  <si>
    <t>77°07' W</t>
  </si>
  <si>
    <t>0°46' N, 77°07' W</t>
  </si>
  <si>
    <t>0.7666667</t>
  </si>
  <si>
    <t>-77.1166667</t>
  </si>
  <si>
    <t>0.7666667,-77.1166667</t>
  </si>
  <si>
    <t>COL214350</t>
  </si>
  <si>
    <t>carretera La Vicoria-Monopamba</t>
  </si>
  <si>
    <t>km 32 Motión.</t>
  </si>
  <si>
    <t>PSO 28181</t>
  </si>
  <si>
    <t>Killip E. P. &amp; A. C. Smith 19985</t>
  </si>
  <si>
    <t>COL 000336470</t>
  </si>
  <si>
    <t>Colombia, Norte de Santander, road from Pamplona to Toledo, crossings the divide betwen Río La Teja (Maracaibo drainage) and río Mesme (Orinoco drainage).</t>
  </si>
  <si>
    <t>2800-3000</t>
  </si>
  <si>
    <t>La quebrada La Teja se encuentra en Herrán, cerca de la frontera con Venezuela</t>
  </si>
  <si>
    <t>COL000336470</t>
  </si>
  <si>
    <t>road from Pamplona to Toledo</t>
  </si>
  <si>
    <t>crossings the divide betwen Río La Teja (Maracaibo drainage) and río Mesme (Orinoco drainage).</t>
  </si>
  <si>
    <t>Orozco C. I. et al., 1719</t>
  </si>
  <si>
    <t>COL 000335765</t>
  </si>
  <si>
    <t>Colombia, Norte de Santander, Herrán, Parque Nacional Natural Tamá, sector Orocue.</t>
  </si>
  <si>
    <t>Parque Nacional Natural Tamá, sector Orocue.</t>
  </si>
  <si>
    <t>Harker M.A. et  al., 226</t>
  </si>
  <si>
    <t>COL 0003335760</t>
  </si>
  <si>
    <t>Colombia, Norte de Santander, Herrán, Parque Nacional Natural Tamá, camino al Alto de la Piñuela</t>
  </si>
  <si>
    <t>No encontré el alto La Piñuela, usé el mismo punto del PNN Tamá</t>
  </si>
  <si>
    <t>Parque Nacional Natural Tamá, camino al Alto de la Piñuela</t>
  </si>
  <si>
    <t>Bristol M.L. 608</t>
  </si>
  <si>
    <t>Colombia, Putumayo, Valle del Sibundoy, 3km.n. Sibundoy.</t>
  </si>
  <si>
    <t>PSO28181</t>
  </si>
  <si>
    <t>3km.n. Sibundoy.</t>
  </si>
  <si>
    <t>COL 100596</t>
  </si>
  <si>
    <t>Vélez C. et al., 5031</t>
  </si>
  <si>
    <t>HUQ 14716</t>
  </si>
  <si>
    <t>Colombia, Quindío, Genova, vereda San Juan Alto, finca Caucasia, bosque intervenido, borde de camino.</t>
  </si>
  <si>
    <t>vereda San Juan Alto, finca Caucasia, bosque intervenido, borde de camino.</t>
  </si>
  <si>
    <t>Sanín D. et al., 4262</t>
  </si>
  <si>
    <t>N 5.124424</t>
  </si>
  <si>
    <t>5.124424 N</t>
  </si>
  <si>
    <t>5.124424 N, -76.0416654 W</t>
  </si>
  <si>
    <t>Sanín D. et al., 4303</t>
  </si>
  <si>
    <t>Arbelaez A.L. et al., 92</t>
  </si>
  <si>
    <t>HUA 41726</t>
  </si>
  <si>
    <t>Colombia, Sonsón, Páramo de Sonsón.</t>
  </si>
  <si>
    <t>Sanín D. &amp; E. Sanín 2732</t>
  </si>
  <si>
    <t>Colombia, Valle del Cauca, Calí, Parque Natural Los Farallones de Calí, Vereda Pance, Reserva Amor y Paz, vía a Balcones, zona de transición de Bosque Alto Andino-Páramo.</t>
  </si>
  <si>
    <t>Parque Natural Los Farallones de Calí, Vereda Pance, Reserva Amor y Paz, vía a Balcones, zona de transición de Bosque Alto Andino-Páramo.</t>
  </si>
  <si>
    <t>S. patentissimum (Mett. Ex Kunth)A.R. Sm.</t>
  </si>
  <si>
    <t>Serpocaulon patentissimum</t>
  </si>
  <si>
    <t>Acevedo P. et al. 1318  (HUA)</t>
  </si>
  <si>
    <t>Antioquia: Frontino, corregimiento Nutibara, Región Murrí, vía hacia la Blanquita, area de pastoreo.</t>
  </si>
  <si>
    <t>Trepador, 8 m de estensión</t>
  </si>
  <si>
    <t>La vía hacia la Blanquita en el corregimiento Nutibara, figura en la vereda El Pozo</t>
  </si>
  <si>
    <t>P_Acevedo1318</t>
  </si>
  <si>
    <t>Antioquia: Frontino</t>
  </si>
  <si>
    <t>corregimiento Nutibara</t>
  </si>
  <si>
    <t>Región Murrí, vía hacia la Blanquita, area de pastoreo.</t>
  </si>
  <si>
    <t>A. L. Arbelaez et al. 325 (HUA)</t>
  </si>
  <si>
    <t>Antioquia: Frontino, corregimiento La Blanquita, 14.6 km al oeste de Nutibara, colecciones hechas 4-7 km del alto de Cuevas a la Blanquita,</t>
  </si>
  <si>
    <t xml:space="preserve"> 1350-1450</t>
  </si>
  <si>
    <t>06°40' N</t>
  </si>
  <si>
    <t>76°15' W</t>
  </si>
  <si>
    <t>06°40' N, 76°15' W</t>
  </si>
  <si>
    <t>6.6666667</t>
  </si>
  <si>
    <t>-76.25</t>
  </si>
  <si>
    <t>6.6666667,-76.25</t>
  </si>
  <si>
    <t>A_ Arbelaez325</t>
  </si>
  <si>
    <t>corregimiento La Blanquita</t>
  </si>
  <si>
    <t xml:space="preserve">14.6 km al oeste de Nutibara, colecciones hechas 4-7 km del alto de Cuevas a la Blanquita, </t>
  </si>
  <si>
    <t>B.R. Rámirez-P. 3379 (PSO)</t>
  </si>
  <si>
    <t>Nariño: Barbacoas, km 1, El Mirador-Junín.</t>
  </si>
  <si>
    <t>Nariño: Barbacoas</t>
  </si>
  <si>
    <t>km 1</t>
  </si>
  <si>
    <t>El Mirador-Junín.</t>
  </si>
  <si>
    <t>J. Bittner 2473 (PSO)</t>
  </si>
  <si>
    <t>Nariño: reserva Natural la Planada, sendero el Hondon SW of the science center.</t>
  </si>
  <si>
    <t>1850-1950</t>
  </si>
  <si>
    <t>01°09'37" N</t>
  </si>
  <si>
    <t>77°59'13" W</t>
  </si>
  <si>
    <t>01°09'37" N, 77°59'13" W</t>
  </si>
  <si>
    <t>1.1602778</t>
  </si>
  <si>
    <t>-77.9869444</t>
  </si>
  <si>
    <t>1.1602778,-77.9869444</t>
  </si>
  <si>
    <t>Nariño: reserva Natural la Planada</t>
  </si>
  <si>
    <t>sendero el Hondon SW of the science center.</t>
  </si>
  <si>
    <t xml:space="preserve">Herrera G. 9140 (PSO) </t>
  </si>
  <si>
    <t>Nariño: reserva Natural la Planada, sendero  el Rondon cerca 2 km del Centro de Investigación.</t>
  </si>
  <si>
    <t>01°09'55" N</t>
  </si>
  <si>
    <t>77°58'44" W</t>
  </si>
  <si>
    <t>01°09'55" N, 77°58'44" W</t>
  </si>
  <si>
    <t>1.1652778</t>
  </si>
  <si>
    <t>-77.9788889</t>
  </si>
  <si>
    <t>1.1652778,-77.9788889</t>
  </si>
  <si>
    <t>sendero  el Rondon cerca 2 km del Centro de Investigación.</t>
  </si>
  <si>
    <t xml:space="preserve">Herrera G.  9272 (PSO) </t>
  </si>
  <si>
    <t>Nariño: reserva Natural la Planada, sendero entre el Hondon y los Horquetas, Bosque primario.</t>
  </si>
  <si>
    <t>sendero entre el Hondon y los Horquetas</t>
  </si>
  <si>
    <t>Bosque primario.</t>
  </si>
  <si>
    <t>O.de Benavides 9711 (PSO)</t>
  </si>
  <si>
    <t>Nariño: Reserva Natural la Planada.Reservas El Mar y la Calladita.</t>
  </si>
  <si>
    <t>Trepadora</t>
  </si>
  <si>
    <t>O.de Benavides 9294 (PSO)</t>
  </si>
  <si>
    <t>Nariño: Ricaurte, trayecto San Isidro-La Planada.</t>
  </si>
  <si>
    <t>Nariño: Ricaurte</t>
  </si>
  <si>
    <t>trayecto San Isidro-La Planada.</t>
  </si>
  <si>
    <t>T.B. Croat 71573 (PSO)</t>
  </si>
  <si>
    <t>Nariño: Ricaurte, vicinity Ricaurte; along Río Imbí, ca 2-3 km above Ecopetrol campamento Palmar, located 3 km of Ricaurte, along trail to Ramos (indigenous settlement).</t>
  </si>
  <si>
    <t>He, reptante</t>
  </si>
  <si>
    <t>vicinity Ricaurte; along Río Imbí</t>
  </si>
  <si>
    <t>ca 2-3 km above Ecopetrol campamento Palmar, located 3 km of Ricaurte, along trail to Ramos (indigenous settlement).</t>
  </si>
  <si>
    <t>T.B. Croat 71437 (PSO)</t>
  </si>
  <si>
    <t>Nariño: Vicinity of "Palmar", in valley of río Imbi, 3 km NW of Ricaurte (along road between Pasto and Tumaco), ca 1 km E of Texas Gulf Pipeline Maintainence Station, along slopes above Río Imbii</t>
  </si>
  <si>
    <t>Epifito, reptante</t>
  </si>
  <si>
    <t>Nariño: Vicinity of "Palmar"</t>
  </si>
  <si>
    <t>in valley of río Imbi</t>
  </si>
  <si>
    <t>3 km NW of Ricaurte (along road between Pasto and Tumaco), ca 1 km E of Texas Gulf Pipeline Maintainence Station, along slopes above Río Imbii</t>
  </si>
  <si>
    <t>T.B. Croat &amp; J.F. Gaskin 80188 (CUVC)</t>
  </si>
  <si>
    <t xml:space="preserve">Valle del Cauca, Along road to Dapa from main Cali-Buenaventura Higway. </t>
  </si>
  <si>
    <t>03°32'10" N</t>
  </si>
  <si>
    <t>76°36'37" W</t>
  </si>
  <si>
    <t>03°32'10" N, 76°36'37" W</t>
  </si>
  <si>
    <t>3.5361111</t>
  </si>
  <si>
    <t>-76.6102778</t>
  </si>
  <si>
    <t>3.5361111,-76.6102778</t>
  </si>
  <si>
    <t>Along road to Dapa from main Cali-Buenaventura Higway.</t>
  </si>
  <si>
    <t>S. polystichum (Link) A.R.Sm.</t>
  </si>
  <si>
    <t>Serpocaulon polystichum</t>
  </si>
  <si>
    <t>Rodríguez et al. 5089</t>
  </si>
  <si>
    <t>Colombia, Antioquia, Angelópolis, Sector Bocatoma acueducto, Quebrada Las Animas</t>
  </si>
  <si>
    <t>6°6'55"N</t>
  </si>
  <si>
    <t>75°41'16"W</t>
  </si>
  <si>
    <t>6°6'55"N, 75°41'16"W</t>
  </si>
  <si>
    <t>6.1152778</t>
  </si>
  <si>
    <t>-75.6877778</t>
  </si>
  <si>
    <t>6.1152778, -75.6877778</t>
  </si>
  <si>
    <t>2684,830</t>
  </si>
  <si>
    <t>Rodríguez5089</t>
  </si>
  <si>
    <t>Barbosa 10033</t>
  </si>
  <si>
    <t>FMB</t>
  </si>
  <si>
    <t>Caldas, Samaná, cruce camino a Florencia con Carretera a Pueblo Nuevo, con 24 de Pensilvania</t>
  </si>
  <si>
    <t>5°30'8"N</t>
  </si>
  <si>
    <t>75°7'33"W</t>
  </si>
  <si>
    <t>5°30'8"N, 75°7'33"W</t>
  </si>
  <si>
    <t>5.5022222, -75.1258333</t>
  </si>
  <si>
    <t>1060,914</t>
  </si>
  <si>
    <t>Barbosa_10033</t>
  </si>
  <si>
    <t>Franco et al. 1628</t>
  </si>
  <si>
    <t>COL</t>
  </si>
  <si>
    <t>Chocó, San José del Palmar, vereda El Corcovado, Finca Ayaconas</t>
  </si>
  <si>
    <t>Alba L. Arbeláez et al. 534</t>
  </si>
  <si>
    <t>MO 6349160</t>
  </si>
  <si>
    <t>Magdalena, Vereda La tagua, sitio Filo Cartagena. Colecciones realizadas entre la vereda La Tagua y Filo Cartagena.</t>
  </si>
  <si>
    <t>900-1545</t>
  </si>
  <si>
    <t>Lellinger &amp; de la Sota 856</t>
  </si>
  <si>
    <t>Valle del Cauca, at both sides of the principal ridge of the Serrania de los Paraguas, along trail from El Cairo to río Blanco, ca. 8 km SW of El Cairo</t>
  </si>
  <si>
    <t>Bischler 2144</t>
  </si>
  <si>
    <t>Santander, Sarare, Alto el Mirador</t>
  </si>
  <si>
    <t>1800-2100</t>
  </si>
  <si>
    <t>7°8'21"N</t>
  </si>
  <si>
    <t>72°15'46"W</t>
  </si>
  <si>
    <t>7°8'21"N, 72°15'46"W</t>
  </si>
  <si>
    <t>7.1391667</t>
  </si>
  <si>
    <t>-72.2627778</t>
  </si>
  <si>
    <t>7.1391667, -72.2627778</t>
  </si>
  <si>
    <t>8019,447</t>
  </si>
  <si>
    <t>Montero &amp; Gamboa 22</t>
  </si>
  <si>
    <t>Valle del Cauca, Cali, vereda Pico de Águila</t>
  </si>
  <si>
    <t>S. psychotrium (Sodiro) A. R. Sm.</t>
  </si>
  <si>
    <t>Serpocaulon psychotrium</t>
  </si>
  <si>
    <t>Alfonso R. &amp; E. Ayarze 421</t>
  </si>
  <si>
    <t>COL 000335834</t>
  </si>
  <si>
    <t>Colombia, Amazonas, Peña Roja, Isla Sumaeta, llanura aluvial del río Caquetá.</t>
  </si>
  <si>
    <t>COL335834</t>
  </si>
  <si>
    <t>Peña Roja</t>
  </si>
  <si>
    <t>Isla Sumaeta, llanura aluvial del río Caquetá.</t>
  </si>
  <si>
    <t>COL 000335804</t>
  </si>
  <si>
    <t>COL 000335803</t>
  </si>
  <si>
    <t>Orozco C.I. et al., 369</t>
  </si>
  <si>
    <t>COL 401218</t>
  </si>
  <si>
    <t>Colombia, Antioquia, San Rafael, vereda Bizcocho, finca La Selva.</t>
  </si>
  <si>
    <t>COL401218</t>
  </si>
  <si>
    <t>San Rafael</t>
  </si>
  <si>
    <t>vereda Bizcocho, finca La Selva.</t>
  </si>
  <si>
    <t>COL 401435</t>
  </si>
  <si>
    <t>COL 438311</t>
  </si>
  <si>
    <t>MacDougal J.M. &amp; J. Betancur 4088</t>
  </si>
  <si>
    <t>HUA 62851</t>
  </si>
  <si>
    <t>Colombia, Antioquia, Amalfí, entre Amalfí y Medellín, 13,5 km SW de Amalfí, bosque de Roble, bosque primario perturbado.</t>
  </si>
  <si>
    <t>06°54' N</t>
  </si>
  <si>
    <t>75°06'</t>
  </si>
  <si>
    <t>75°06' W</t>
  </si>
  <si>
    <t>06°54' N, 75°06' W</t>
  </si>
  <si>
    <t>6.9</t>
  </si>
  <si>
    <t>-75.1</t>
  </si>
  <si>
    <t>6.9,-75.1</t>
  </si>
  <si>
    <t>Amalfí</t>
  </si>
  <si>
    <t>entre Amalfí y Medellín, 13, 5 km SW de Amalfí, bosque de Roble, bosque primario perturbado.</t>
  </si>
  <si>
    <t>HUA 62852</t>
  </si>
  <si>
    <t>HUA 62853</t>
  </si>
  <si>
    <t>Contreras N. &amp; D. L. Echeverri 330</t>
  </si>
  <si>
    <t>HUA 71327</t>
  </si>
  <si>
    <t xml:space="preserve">Colombia, Antioquia, Guatapé, Vereda Santa Rita, Finca Montepinar. </t>
  </si>
  <si>
    <t>75°10'</t>
  </si>
  <si>
    <t>Vereda Santa Rita, Finca Montepinar.</t>
  </si>
  <si>
    <t>Giraldo-Cañas D. A. 71</t>
  </si>
  <si>
    <t>HUA 76316</t>
  </si>
  <si>
    <t>Colombia, Antioquia, Cocorná, vereda La Piñuela, Carretera a San Francisco.</t>
  </si>
  <si>
    <t>1000-1500</t>
  </si>
  <si>
    <t>75°08'</t>
  </si>
  <si>
    <t>vereda La Piñuela, Carretera a San Francisco.</t>
  </si>
  <si>
    <t>HUA 76317</t>
  </si>
  <si>
    <t>Echeverry D. L. 504</t>
  </si>
  <si>
    <t>HUA 76611</t>
  </si>
  <si>
    <t>Colombia, Antioquia, Barbosa, vereda La Pradera.</t>
  </si>
  <si>
    <t>N 06°30'</t>
  </si>
  <si>
    <t>06°30' N</t>
  </si>
  <si>
    <t>06°30' N, 75°18' W</t>
  </si>
  <si>
    <t>6.5,-75.3</t>
  </si>
  <si>
    <t>vereda La Pradera.</t>
  </si>
  <si>
    <t>Echeverri-B. D.L. 504</t>
  </si>
  <si>
    <t>HUA 81456</t>
  </si>
  <si>
    <t>Rivas A. et al., 56</t>
  </si>
  <si>
    <t>HUA 124804</t>
  </si>
  <si>
    <t>Colombia, Antioquia, Amalfí, Area de influencia del Proyecto hidroelectrico Porce II, Bosque Tenche, vía Medellin Amalfi</t>
  </si>
  <si>
    <t>6°47' N</t>
  </si>
  <si>
    <t>6°47' N, 75°08' W</t>
  </si>
  <si>
    <t>6.7833333</t>
  </si>
  <si>
    <t>6.7833333,-75.1333333</t>
  </si>
  <si>
    <t>HUA124804</t>
  </si>
  <si>
    <t>Area de influencia del Proyecto hidroelectrico Porce II, Bosque Tenche, vía Medellin Amalfi</t>
  </si>
  <si>
    <t>Velazquez C. et al.,1705</t>
  </si>
  <si>
    <t>HUA 159550</t>
  </si>
  <si>
    <t>Colombia, Antioquia, Barbosa, vereda Dos Quebradas, hoya de Dos Quebradas, borde de quebrada.</t>
  </si>
  <si>
    <t>N 06°26'40.2"</t>
  </si>
  <si>
    <t>06°26'40.2" N</t>
  </si>
  <si>
    <t>W 75°12'55.1"</t>
  </si>
  <si>
    <t>75°12'55.1" W</t>
  </si>
  <si>
    <t>06°26'40.2" N, 75°12'55.1" W</t>
  </si>
  <si>
    <t>6.4445</t>
  </si>
  <si>
    <t>-75.2153056</t>
  </si>
  <si>
    <t>6.4445,-75.2153056</t>
  </si>
  <si>
    <t>HUA159550</t>
  </si>
  <si>
    <t>vereda Dos Quebradas, hoya de Dos Quebradas, borde de quebrada.</t>
  </si>
  <si>
    <t>HUA 159552</t>
  </si>
  <si>
    <t>HUA 159551</t>
  </si>
  <si>
    <t>Roldán F.J. et al., 3396</t>
  </si>
  <si>
    <t>HUA 122343</t>
  </si>
  <si>
    <t>Colombia, Antioquia, Amalfí, zona central hidroelectrica Porce II Fragmento Tenche.</t>
  </si>
  <si>
    <t>06°47' N</t>
  </si>
  <si>
    <t>06°47' N, 75°08' W</t>
  </si>
  <si>
    <t>zona central hidroelectrica Porce II Fragmento Tenche.</t>
  </si>
  <si>
    <t>HUA 122344</t>
  </si>
  <si>
    <t>Rodríguez W. et al., 4138</t>
  </si>
  <si>
    <t>HUA 142007</t>
  </si>
  <si>
    <t>Colombia, Antioquia, Anorí, vereda Santa Gertrudis, finca La Estrella, quebrada que surte de agua la casa.</t>
  </si>
  <si>
    <t>vereda Santa Gertrudis, finca La Estrella, quebrada que surte de agua la casa.</t>
  </si>
  <si>
    <t>HUA 142008</t>
  </si>
  <si>
    <t>Jaramillo-Mejía R. et al., 3602</t>
  </si>
  <si>
    <t>COL 000335815</t>
  </si>
  <si>
    <t>Colombia, Boyacá, Pauna, carretera Pauna-Borbur.</t>
  </si>
  <si>
    <t>COL000335815</t>
  </si>
  <si>
    <t>Pauna</t>
  </si>
  <si>
    <t>carretera Pauna-Borbur.</t>
  </si>
  <si>
    <t>Palacios P. et al., 2738</t>
  </si>
  <si>
    <t>COL 000222314</t>
  </si>
  <si>
    <t>Colombia, Caqueta, Sierra de Chiribiquete, cerca del Campamento Base.</t>
  </si>
  <si>
    <t>N 0°56'15"</t>
  </si>
  <si>
    <t>0°56'15" N</t>
  </si>
  <si>
    <t>W 72°42'06"</t>
  </si>
  <si>
    <t>72°42'06" W</t>
  </si>
  <si>
    <t>0°56'15" N, 72°42'06" W</t>
  </si>
  <si>
    <t>0.9375</t>
  </si>
  <si>
    <t>-72.7016667</t>
  </si>
  <si>
    <t>0.9375,-72.7016667</t>
  </si>
  <si>
    <t>Sierra de Chiribiquete</t>
  </si>
  <si>
    <t>cerca del Campamento Base.</t>
  </si>
  <si>
    <t>Palacios P. et al., 2737</t>
  </si>
  <si>
    <t>COL 000335797</t>
  </si>
  <si>
    <t>Rangel-Ch. J.O. et al., 12534</t>
  </si>
  <si>
    <t>COL 000335818</t>
  </si>
  <si>
    <t>Colombia, Cesar, Agustin Cadazzi, Serrania del Perijá, vereda El Milagro, Finca de Miguel San Juan.</t>
  </si>
  <si>
    <t>N 10°03'</t>
  </si>
  <si>
    <t>10°03' N</t>
  </si>
  <si>
    <t>W 73°03'</t>
  </si>
  <si>
    <t>73°03' W</t>
  </si>
  <si>
    <t>10°03' N, 73°03' W</t>
  </si>
  <si>
    <t>10.05</t>
  </si>
  <si>
    <t>-73.05</t>
  </si>
  <si>
    <t>10.05,-73.05</t>
  </si>
  <si>
    <t>Agustin Cadazzi</t>
  </si>
  <si>
    <t>Serrania del Perijá, vereda El Milagro, Finca de Miguel San Juan.</t>
  </si>
  <si>
    <t>Rangel-Ch. J.O. et al., 12551</t>
  </si>
  <si>
    <t>COL 000335816</t>
  </si>
  <si>
    <t>Jaramillo-Mejía R. &amp; T. van der Hammen 4795</t>
  </si>
  <si>
    <t>COL 000335799</t>
  </si>
  <si>
    <t>Colombia, Cundinamarca, carretera arriba de Sasaima, hacienda La Isabela.</t>
  </si>
  <si>
    <t>hacienda La Isabela.</t>
  </si>
  <si>
    <t>Acosta-Arteaga C.E 218</t>
  </si>
  <si>
    <t>COL 000335811</t>
  </si>
  <si>
    <t>Colombia, Cundinamarca, Sasaima, km 66.</t>
  </si>
  <si>
    <t>COL000335811</t>
  </si>
  <si>
    <t>km 66.</t>
  </si>
  <si>
    <t>Sarmiento F. &amp; M.T. Murillo 406</t>
  </si>
  <si>
    <t>COL 000335801</t>
  </si>
  <si>
    <t>Colombia, Cundinamarca, km 68 de la carretera Bogotá-Villavicencio.</t>
  </si>
  <si>
    <t>COL000335801</t>
  </si>
  <si>
    <t>km 68 de la carretera Bogotá-Villavicencio.</t>
  </si>
  <si>
    <t>Lozano G. et al., 7695</t>
  </si>
  <si>
    <t>COL 000335820</t>
  </si>
  <si>
    <t>Colombia, Cundinamarca, Yacopí, vereda La Laguna, inspección de policía de Guadualito.</t>
  </si>
  <si>
    <t>COL000335820</t>
  </si>
  <si>
    <t>Yacopí</t>
  </si>
  <si>
    <t>vereda La Laguna, inspección de policía de Guadualito.</t>
  </si>
  <si>
    <t>Marulanda O &amp; S. Márquez 1865</t>
  </si>
  <si>
    <t>HUA 89506</t>
  </si>
  <si>
    <t>Colombia, Guaviare, San José del Guaviare, confluencia Caño Perdido-Río Losada.</t>
  </si>
  <si>
    <t>N 02°11'</t>
  </si>
  <si>
    <t>02°11' N</t>
  </si>
  <si>
    <t>W 74°3'</t>
  </si>
  <si>
    <t>74°3' W</t>
  </si>
  <si>
    <t>02°11' N, 74°3' W</t>
  </si>
  <si>
    <t>2.1833333</t>
  </si>
  <si>
    <t>-74.05</t>
  </si>
  <si>
    <t>2.1833333,-74.05</t>
  </si>
  <si>
    <t>Guaviare</t>
  </si>
  <si>
    <t>San José del Guaviare</t>
  </si>
  <si>
    <t>confluencia Caño Perdido-Río Losada.</t>
  </si>
  <si>
    <t>Llanos F. et al., 2375</t>
  </si>
  <si>
    <t>COL 453556</t>
  </si>
  <si>
    <t>Colombia, Huila, Rivera, vereda Honda Alta.</t>
  </si>
  <si>
    <t>1370-1550</t>
  </si>
  <si>
    <t>vereda Honda Alta.</t>
  </si>
  <si>
    <t>FMB 81247</t>
  </si>
  <si>
    <t>Colombia, Huila, Pitalito, vereda El triunfo, finca El Pedregal, 300 m arriba d ela casa de doña Isabel Chaus, entrando 10 m desde el borde donde colinda con un cafetal.</t>
  </si>
  <si>
    <t>N 01°48'32.4"</t>
  </si>
  <si>
    <t>01°48'32.4" N</t>
  </si>
  <si>
    <t>W 76°0'59.4"</t>
  </si>
  <si>
    <t>76°0'59.4" W</t>
  </si>
  <si>
    <t>01°48'32.4" N, 76°0'59.4" W</t>
  </si>
  <si>
    <t>vereda El triunfo, finca El Pedregal, 300 m arriba d ela casa de doña Isabel Chaus, entrando 10 m desde el borde donde colinda con un cafetal.</t>
  </si>
  <si>
    <t>FMB 88061</t>
  </si>
  <si>
    <t>Colombia, Huila, Palestina, vereda Santa Bárbara, finca La Esperanza, bajando 10 m por la ladera de la montaña hacia el río Guarapas.</t>
  </si>
  <si>
    <t>N 01°43'42.5"</t>
  </si>
  <si>
    <t>01°43'42.5" N</t>
  </si>
  <si>
    <t>W 76°6'54.8"</t>
  </si>
  <si>
    <t>76°6'54.8" W</t>
  </si>
  <si>
    <t>01°43'42.5" N, 76°6'54.8" W</t>
  </si>
  <si>
    <t>1.7284722</t>
  </si>
  <si>
    <t>-76.1152222</t>
  </si>
  <si>
    <t>1.7284722,-76.1152222</t>
  </si>
  <si>
    <t>Palestina</t>
  </si>
  <si>
    <t>vereda Santa Bárbara, finca La Esperanza, bajando 10 m por la ladera de la montaña hacia el río Guarapas.</t>
  </si>
  <si>
    <t>S. ptilorhizon (H. Christ.) A.R. Sm.</t>
  </si>
  <si>
    <t>Serpocaulon ptilorhizon</t>
  </si>
  <si>
    <t>Aguirre-C. J. 752</t>
  </si>
  <si>
    <t>COL 324447</t>
  </si>
  <si>
    <t>Colombia, Antioquia, Medellín, Piedras Blancas, en bosques de Quercus.</t>
  </si>
  <si>
    <t>W75°29'</t>
  </si>
  <si>
    <t>5°29' W</t>
  </si>
  <si>
    <t>06°18' N, 5°29' W</t>
  </si>
  <si>
    <t>-5.4833333</t>
  </si>
  <si>
    <t>6.3,-5.4833333</t>
  </si>
  <si>
    <t>Piedras Blancas, en bosques de Quercus.</t>
  </si>
  <si>
    <t>COL 324449</t>
  </si>
  <si>
    <t>Echeverri-B. D.L. 70a</t>
  </si>
  <si>
    <t>HUA 38855</t>
  </si>
  <si>
    <t>Colombia, Antioquia, Guatapé, vereda Santa Rita, bosque pluvial.</t>
  </si>
  <si>
    <t>W 75°10</t>
  </si>
  <si>
    <t>06°16' N, 75°10 W</t>
  </si>
  <si>
    <t>6.2666667,-75.1666667</t>
  </si>
  <si>
    <t>vereda Santa Rita, bosque pluvial.</t>
  </si>
  <si>
    <t>Echeverri-B. D.L. 78</t>
  </si>
  <si>
    <t>HUA 38844</t>
  </si>
  <si>
    <t>Arbelaez A.L. et al., 113</t>
  </si>
  <si>
    <t>Betancur J. et al., 880</t>
  </si>
  <si>
    <t>HUA 55904</t>
  </si>
  <si>
    <t xml:space="preserve">Colombia, Antioquia, Amalfi: vereda El Oso, 13-16 km de Amalfi a Medellín, cordillera Central, bhPM. </t>
  </si>
  <si>
    <t>N 06°54.35'</t>
  </si>
  <si>
    <t>06°54.35' N</t>
  </si>
  <si>
    <t>06°54.35' N, 75°8.07' W</t>
  </si>
  <si>
    <t>6.9058333</t>
  </si>
  <si>
    <t>6.9058333,-75.1345</t>
  </si>
  <si>
    <t>Amalfi: vereda El Oso</t>
  </si>
  <si>
    <t>13-16 km de Amalfi a Medellín, cordillera Central, bhPM.</t>
  </si>
  <si>
    <t>Echeverri-B. D. &amp; N. Contreras 195</t>
  </si>
  <si>
    <t>HUA 66464</t>
  </si>
  <si>
    <t>Colombia, Antioquia, Guatapé, vereda Santa Rita, finca Montepinar, bosque pluvial.</t>
  </si>
  <si>
    <t>vereda Santa Rita, finca Montepinar, bosque pluvial.</t>
  </si>
  <si>
    <t>Contreras N. &amp; D.L. Echeverri 227</t>
  </si>
  <si>
    <t>HUA 67334</t>
  </si>
  <si>
    <t>Fonnegra R. et al., 5329</t>
  </si>
  <si>
    <t>COL 419416</t>
  </si>
  <si>
    <t>Colombia, Antioquia, Medellín-Guarne, Parque Ecológico Piedras Blancas, secor Las Lajas.</t>
  </si>
  <si>
    <t>4581,461</t>
  </si>
  <si>
    <t>Parque Ecológico Piedras Blancas, secor Las Lajas.</t>
  </si>
  <si>
    <t>HUA 095097</t>
  </si>
  <si>
    <t>Rodríguez W. et al., 3149</t>
  </si>
  <si>
    <t>Colombia, Antioquia, Copacabana, vereda Carrisal, sector Alto de Asturias.</t>
  </si>
  <si>
    <t>N 06°18'20.2"</t>
  </si>
  <si>
    <t>06°18'20.2" N</t>
  </si>
  <si>
    <t>06°18'20.2" N, 75°30'54.6" W</t>
  </si>
  <si>
    <t>6.3056111</t>
  </si>
  <si>
    <t>6.3056111,-75.5151667</t>
  </si>
  <si>
    <t>vereda Carrisal, sector Alto de Asturias.</t>
  </si>
  <si>
    <t>David H. &amp; J. Idarraga 485</t>
  </si>
  <si>
    <t>HUA 145194</t>
  </si>
  <si>
    <t>Colombia, Antioquia, Medellín, corregimeinto de Santa Elena, Reserva Natural Montevivo, sector Casapalo. bhMB</t>
  </si>
  <si>
    <t>corregimeinto de Santa Elena, Reserva Natural Montevivo, sector Casapalo. bhMB</t>
  </si>
  <si>
    <t>Rodríguez W. et al., 4008</t>
  </si>
  <si>
    <t>Colombia, Antioquia, Anorí, reserva la Forzosa.</t>
  </si>
  <si>
    <t>N 06°59'15.6"</t>
  </si>
  <si>
    <t>06°59'15.6" N</t>
  </si>
  <si>
    <t>W 75°08'35.6</t>
  </si>
  <si>
    <t>75°08'35.6 W</t>
  </si>
  <si>
    <t>06°59'15.6" N, 75°08'35.6 W</t>
  </si>
  <si>
    <t>reserva la Forzosa.</t>
  </si>
  <si>
    <t>D. Sanín 2211</t>
  </si>
  <si>
    <t xml:space="preserve">HUA </t>
  </si>
  <si>
    <t>Colombia, Antioquia, Rionegro, vereda Llano Grande, en el bosque de Corpoica La Selva.</t>
  </si>
  <si>
    <t>D_Sanín2211</t>
  </si>
  <si>
    <t>vereda Llano Grande, en el bosque de Corpoica La Selva.</t>
  </si>
  <si>
    <t>S. richardii (Klotszsch) A.R. Sm</t>
  </si>
  <si>
    <t>Serpocaulon richardii</t>
  </si>
  <si>
    <t>Schultes R.E. &amp; I. Cabrera 19049</t>
  </si>
  <si>
    <t>COL 60869</t>
  </si>
  <si>
    <t>Colombia, Putumayo, Mocoa.</t>
  </si>
  <si>
    <t>N 01°09'21.59"</t>
  </si>
  <si>
    <t>01°09'21.59" N</t>
  </si>
  <si>
    <t>W 76°38'49.37"</t>
  </si>
  <si>
    <t>76°38'49.37" W</t>
  </si>
  <si>
    <t>01°09'21.59" N, 76°38'49.37" W</t>
  </si>
  <si>
    <t>1.1559972</t>
  </si>
  <si>
    <t>-76.6470472</t>
  </si>
  <si>
    <t>1.1559972,-76.6470472</t>
  </si>
  <si>
    <t>4850,192</t>
  </si>
  <si>
    <t>Mocoa.</t>
  </si>
  <si>
    <t>Jaramillo Mejia R. &amp; T. van der Hammen 4784</t>
  </si>
  <si>
    <t>COL 000335794</t>
  </si>
  <si>
    <t>Colombia, Cundinamarca, Carretera arriba de Sasaima, Hacienda la Isabella.</t>
  </si>
  <si>
    <t>Carretera arriba de Sasaima</t>
  </si>
  <si>
    <t>Hacienda la Isabella.</t>
  </si>
  <si>
    <t>Jaramillo-Mejía 3650</t>
  </si>
  <si>
    <t>Colombia, Boyacá, carretera a Pauna–Otro Mundo</t>
  </si>
  <si>
    <t>527,141</t>
  </si>
  <si>
    <t>Jaramillo_3650</t>
  </si>
  <si>
    <t>D. Sanín y Alejandro Pérez 7917</t>
  </si>
  <si>
    <t>Colombia, Mocoa, Villa Garzón, Reserva Natural Paway, margen derecha del río pepino</t>
  </si>
  <si>
    <t>1°05'15.6"N</t>
  </si>
  <si>
    <t>76°37'42.4"W</t>
  </si>
  <si>
    <t>1.0876667</t>
  </si>
  <si>
    <t>-76.6284444</t>
  </si>
  <si>
    <t>1.0876667, -76.6284444</t>
  </si>
  <si>
    <t>3138,971</t>
  </si>
  <si>
    <t>D_Sanín7917</t>
  </si>
  <si>
    <t>S. sessilifolium (Desv.) A.R. Sm.</t>
  </si>
  <si>
    <t>Serpocaulon sessilifolium</t>
  </si>
  <si>
    <t>Arbeláez A.L. et al., 50</t>
  </si>
  <si>
    <t>HUA 46147</t>
  </si>
  <si>
    <t>Colombia, Antioquia, La Unión, carretera de la Unión-San Miguel.</t>
  </si>
  <si>
    <t>N 05°58'</t>
  </si>
  <si>
    <t>05°58' N</t>
  </si>
  <si>
    <t>W 75°21'41"</t>
  </si>
  <si>
    <t>75°21'41" W</t>
  </si>
  <si>
    <t>05°58' N, 75°21'41" W</t>
  </si>
  <si>
    <t>5.9666667</t>
  </si>
  <si>
    <t>-75.3613889</t>
  </si>
  <si>
    <t>5.9666667,-75.3613889</t>
  </si>
  <si>
    <t>carretera de la Unión-San Miguel.</t>
  </si>
  <si>
    <t>Fernandez M.E. et al., 116</t>
  </si>
  <si>
    <t>MEDEL 32596</t>
  </si>
  <si>
    <t>Colombia, Antioquia, Belmira, Sabanas, Sabanazo y Santa Inés.</t>
  </si>
  <si>
    <t>3000-3240</t>
  </si>
  <si>
    <t>N 06°37'33.5"</t>
  </si>
  <si>
    <t>06°37'33.5" N</t>
  </si>
  <si>
    <t>W 75°40'</t>
  </si>
  <si>
    <t>75°40' W</t>
  </si>
  <si>
    <t>06°37'33.5" N, 75°40' W</t>
  </si>
  <si>
    <t>6.6259722</t>
  </si>
  <si>
    <t>-75.6666667</t>
  </si>
  <si>
    <t>6.6259722,-75.6666667</t>
  </si>
  <si>
    <t>Sabanas, Sabanazo y Santa Inés.</t>
  </si>
  <si>
    <t>Gil A. et al., 470</t>
  </si>
  <si>
    <t>HUA 132531</t>
  </si>
  <si>
    <t>Colombia, Antioquia, Abejorral, vereda El Buey, finca El Recreo</t>
  </si>
  <si>
    <t>N 05°51'</t>
  </si>
  <si>
    <t>05°51' N</t>
  </si>
  <si>
    <t>W 75°22'</t>
  </si>
  <si>
    <t>75°22' W</t>
  </si>
  <si>
    <t>05°51' N, 75°22' W</t>
  </si>
  <si>
    <t>vereda El Buey, finca El Recreo</t>
  </si>
  <si>
    <t>Rodriguez W. et al., 3344</t>
  </si>
  <si>
    <t>JAUM 38649</t>
  </si>
  <si>
    <t>Colombia, Antioquia, Belmira, Alrededores de la sienaga El Morro.</t>
  </si>
  <si>
    <t>Alrededores de la sienaga El Morro.</t>
  </si>
  <si>
    <t>HUA 137451</t>
  </si>
  <si>
    <t>Rodriguez W. et al., 3430</t>
  </si>
  <si>
    <t>HUA 137333</t>
  </si>
  <si>
    <t>Colombia, Antioquia, Belmira, camino de páramo de Santa Ínes, area de reserva.</t>
  </si>
  <si>
    <t>N 06°41'34.2"</t>
  </si>
  <si>
    <t>06°41'34.2" N</t>
  </si>
  <si>
    <t>W 75°41'48.2"</t>
  </si>
  <si>
    <t>75°41'48.2" W</t>
  </si>
  <si>
    <t>06°41'34.2" N, 75°41'48.2" W</t>
  </si>
  <si>
    <t>6.6928333</t>
  </si>
  <si>
    <t>-75.6967222</t>
  </si>
  <si>
    <t>6.6928333,-75.6967222</t>
  </si>
  <si>
    <t>camino de páramo de Santa Ínes, area de reserva.</t>
  </si>
  <si>
    <t>Rodriguez W. et al., 3534</t>
  </si>
  <si>
    <t>COL 486806</t>
  </si>
  <si>
    <t>Colombia, Antioquia, San José de la Montaña, vereda La Margarita, camino hacia el alto del Cristo.</t>
  </si>
  <si>
    <t>San José de la Montaña</t>
  </si>
  <si>
    <t>vereda La Margarita, camino hacia el alto del Cristo.</t>
  </si>
  <si>
    <t>JAUM 38651</t>
  </si>
  <si>
    <t>Rodriguez W. et al., 3486</t>
  </si>
  <si>
    <t>HUA 137339</t>
  </si>
  <si>
    <t>Colombia, Antioquia, Belmira, sistema de páramo de Santa Ínes, sector Sabanas</t>
  </si>
  <si>
    <t>W 75°39'24.2"</t>
  </si>
  <si>
    <t>75°39'24.2" W</t>
  </si>
  <si>
    <t>06°37'33.5" N, 75°39'24.2" W</t>
  </si>
  <si>
    <t>-75.6567222</t>
  </si>
  <si>
    <t>6.6259722,-75.6567222</t>
  </si>
  <si>
    <t>sistema de páramo de Santa Ínes, sector Sabanas</t>
  </si>
  <si>
    <t>HUA 137340</t>
  </si>
  <si>
    <t>COL 487607</t>
  </si>
  <si>
    <t>Callejas R. et al., 13364</t>
  </si>
  <si>
    <t>HUA 159486</t>
  </si>
  <si>
    <t>Colombia, Antioquia, Angostura, finca EL Cordal, quebrada El Pajarito, bosques de robles plantados, 2 km NE del peaje de Santa Rosa de Osos, sobre la vía a Medellín-Costa Atlantica, bmh-P.</t>
  </si>
  <si>
    <t>N 06°53'19"</t>
  </si>
  <si>
    <t>06°53'19" N</t>
  </si>
  <si>
    <t>W 75°21'20"</t>
  </si>
  <si>
    <t>75°21'20" W</t>
  </si>
  <si>
    <t>06°53'19" N, 75°21'20" W</t>
  </si>
  <si>
    <t>6.8886111</t>
  </si>
  <si>
    <t>-75.3555556</t>
  </si>
  <si>
    <t>6.8886111,-75.3555556</t>
  </si>
  <si>
    <t>Angostura</t>
  </si>
  <si>
    <t>finca EL Cordal, quebrada El Pajarito, bosques de robles plantados, 2 km NE del peaje de Santa Rosa de Osos, sobre la vía a Medellín-Costa Atlantica, bmh-P.</t>
  </si>
  <si>
    <t>Rodriguez W.  et al., 5674</t>
  </si>
  <si>
    <t>HUA 154742</t>
  </si>
  <si>
    <t>Colombia, Antioquia, Medellín, corregimiento de San Antonio de Prado, vereda Astilleros, divisoria de aguas de las quebradas Doña María y Ana Díaz, sector Piedra Galana.</t>
  </si>
  <si>
    <t>2580-2650</t>
  </si>
  <si>
    <t>N 06°15'13"</t>
  </si>
  <si>
    <t>06°15'13" N</t>
  </si>
  <si>
    <t>W 75°40'10"</t>
  </si>
  <si>
    <t>75°40'10" W</t>
  </si>
  <si>
    <t>06°15'13" N, 75°40'10" W</t>
  </si>
  <si>
    <t>6.2536111</t>
  </si>
  <si>
    <t>-75.6694444</t>
  </si>
  <si>
    <t>6.2536111,-75.6694444</t>
  </si>
  <si>
    <t>corregimiento de San Antonio de Prado, vereda Astilleros, divisoria de aguas de las quebradas Doña María y Ana Díaz, sector Piedra Galana.</t>
  </si>
  <si>
    <t>Sanín D. et al., 5002</t>
  </si>
  <si>
    <t>N 06°37.319</t>
  </si>
  <si>
    <t>06°37.319 N</t>
  </si>
  <si>
    <t>06°37.319 N, 75°38.697' W</t>
  </si>
  <si>
    <t>Murillo J. &amp; C. Méndez 3479</t>
  </si>
  <si>
    <t>COL 000153082</t>
  </si>
  <si>
    <t>Colombia, Boyacá, Santa María, vereda Caño Negro, camino a Palo Negro, entre las fincas Santa Rosita, El Recuerdo y El Tesoro, hacia Cuchilla Negra.</t>
  </si>
  <si>
    <t>COL000153082</t>
  </si>
  <si>
    <t>Santa María</t>
  </si>
  <si>
    <t>vereda Caño Negro, camino a Palo Negro, entre las fincas Santa Rosita, El Recuerdo y El Tesoro, hacia Cuchilla Negra.</t>
  </si>
  <si>
    <t>Sanín D. 100</t>
  </si>
  <si>
    <t>Colombia, Caldas, Manizales, vereda Las Palomas, Reserva Río Blanco.</t>
  </si>
  <si>
    <t>vereda Las Palomas, Reserva Río Blanco.</t>
  </si>
  <si>
    <t>Sanín D. &amp; B. Gonzalez-Echeverry 2362</t>
  </si>
  <si>
    <t>Colombia, Caldas, Salamina, corregimiento de San Felix, finca La Samaria, vía Monte Loro-Valle Alto, relictos a mano dereccha del Bosque El Retiro.</t>
  </si>
  <si>
    <t>W 75°20'</t>
  </si>
  <si>
    <t>75°20' W</t>
  </si>
  <si>
    <t>05°26' N, 75°20' W</t>
  </si>
  <si>
    <t>5.4333333,-75.3333333</t>
  </si>
  <si>
    <t>corregimiento de San Felix, finca La Samaria, vía Monte Loro-Valle Alto, relictos a mano dereccha del Bosque El Retiro.</t>
  </si>
  <si>
    <t>Sanín D. &amp; B. Gonzalez Echeverry 2332</t>
  </si>
  <si>
    <t>Sanín D. &amp; B. Gonzalez Echeverry 2357</t>
  </si>
  <si>
    <t>Sanín D. &amp; B. Gonzalez Echeverry 2362</t>
  </si>
  <si>
    <t>HUQ XXx</t>
  </si>
  <si>
    <t>Sanín D. 3459</t>
  </si>
  <si>
    <t>Colombia, Caldas, Salamina, corregimiento de San Felix, sector La Samaria, relictos detrás de la escuela.</t>
  </si>
  <si>
    <t>N 04°59'8.49"</t>
  </si>
  <si>
    <t>04°59'8.49" N</t>
  </si>
  <si>
    <t>W 75°10'9.321"</t>
  </si>
  <si>
    <t>75°10'9.321" W</t>
  </si>
  <si>
    <t>04°59'8.49" N, 75°10'9.321" W</t>
  </si>
  <si>
    <t>4.9856917</t>
  </si>
  <si>
    <t>-75.1692558</t>
  </si>
  <si>
    <t>4.9856917,-75.1692558</t>
  </si>
  <si>
    <t>corregimiento de San Felix, sector La Samaria, relictos detrás de la escuela.</t>
  </si>
  <si>
    <t>Sanín D. &amp; B. Gonzalez Echeverry 4320</t>
  </si>
  <si>
    <t>Colombia, Caldas, Salamina, corregimiento de San Felix, vía a Marulanda, quebrada frente a la finca El Bergel, entre potrero y el bosque de galeria de la quebrada.</t>
  </si>
  <si>
    <t>corregimiento de San Felix, vía a Marulanda, quebrada frente a la finca El Bergel, entre potrero y el bosque de galeria de la quebrada.</t>
  </si>
  <si>
    <t xml:space="preserve"> Idrobo J.M. et al., 3562</t>
  </si>
  <si>
    <t>COL 66714</t>
  </si>
  <si>
    <t>Colombia, Cauca, Páramo de Las Papas, entre El Boquerón y La Hoyola.</t>
  </si>
  <si>
    <t>3200-3510</t>
  </si>
  <si>
    <t>N 02°17'24.98"</t>
  </si>
  <si>
    <t>02°17'24.98" N</t>
  </si>
  <si>
    <t>W 76°22'52.78"</t>
  </si>
  <si>
    <t>76°22'52.78" W</t>
  </si>
  <si>
    <t>02°17'24.98" N, 76°22'52.78" W</t>
  </si>
  <si>
    <t>2.2902722</t>
  </si>
  <si>
    <t>-76.3813278</t>
  </si>
  <si>
    <t>2.2902722,-76.3813278</t>
  </si>
  <si>
    <t>Páramo de Las Papas</t>
  </si>
  <si>
    <t>entre El Boquerón y La Hoyola.</t>
  </si>
  <si>
    <t>Sandoval C.L. et al., 36</t>
  </si>
  <si>
    <t>CAUP 16874</t>
  </si>
  <si>
    <t>Colombia, Cauca, Popayán, corregimiento de Quintana, Cerro Toma Aire, bosque cerca de la casa del camino, hacia el páramo.</t>
  </si>
  <si>
    <t>N 02°46'57.76"</t>
  </si>
  <si>
    <t>02°46'57.76" N</t>
  </si>
  <si>
    <t>W 76°15'01.64"</t>
  </si>
  <si>
    <t>76°15'01.64" W</t>
  </si>
  <si>
    <t>02°46'57.76" N, 76°15'01.64" W</t>
  </si>
  <si>
    <t>2.7827111</t>
  </si>
  <si>
    <t>-76.2504556</t>
  </si>
  <si>
    <t>2.7827111,-76.2504556</t>
  </si>
  <si>
    <t>corregimiento de Quintana, Cerro Toma Aire, bosque cerca de la casa del camino, hacia el páramo.</t>
  </si>
  <si>
    <t>Muñoz E.L. 1853</t>
  </si>
  <si>
    <t>CAUP 18702</t>
  </si>
  <si>
    <t>Colombia, Cauca, Silvia, Páramo el Abejorro, vía al páramo Cresta de Gallo, vereda La Marqueza.</t>
  </si>
  <si>
    <t>N 02°35'35.32"</t>
  </si>
  <si>
    <t>02°35'35.32" N</t>
  </si>
  <si>
    <t>W 76°19'45.56"</t>
  </si>
  <si>
    <t>76°19'45.56" W</t>
  </si>
  <si>
    <t>02°35'35.32" N, 76°19'45.56" W</t>
  </si>
  <si>
    <t>2.5931444</t>
  </si>
  <si>
    <t>-76.3293222</t>
  </si>
  <si>
    <t>2.5931444,-76.3293222</t>
  </si>
  <si>
    <t>Silvia</t>
  </si>
  <si>
    <t>Páramo el Abejorro, vía al páramo Cresta de Gallo, vereda La Marqueza.</t>
  </si>
  <si>
    <t>Ramirez-Ch. H.E. 359</t>
  </si>
  <si>
    <t>CAUP 18557</t>
  </si>
  <si>
    <t>Colombia, Cauca, Bolívar, corregimiento de Los Milagros, Vereda Aguas Regadas, alrededor de la Laguna.</t>
  </si>
  <si>
    <t>N 01°49'06"</t>
  </si>
  <si>
    <t>01°49'06" N</t>
  </si>
  <si>
    <t>W 76°53'22"</t>
  </si>
  <si>
    <t>76°53'22" W</t>
  </si>
  <si>
    <t>01°49'06" N, 76°53'22" W</t>
  </si>
  <si>
    <t>1.8183333</t>
  </si>
  <si>
    <t>-76.8894444</t>
  </si>
  <si>
    <t>1.8183333,-76.8894444</t>
  </si>
  <si>
    <t>corregimiento de Los Milagros, Vereda Aguas Regadas, alrededor de la Laguna.</t>
  </si>
  <si>
    <t>Sanín D. &amp; E. Sanín 3294</t>
  </si>
  <si>
    <t>W 76° 26.645'</t>
  </si>
  <si>
    <t>76° 26.645' W</t>
  </si>
  <si>
    <t>02°22.846' N, 76° 26.645' W</t>
  </si>
  <si>
    <t xml:space="preserve"> Idrobo J.M. et al., 3428</t>
  </si>
  <si>
    <t>COL 65435</t>
  </si>
  <si>
    <t>Huertas G. &amp; L. A. Camargo 5802</t>
  </si>
  <si>
    <t>COL 000160818</t>
  </si>
  <si>
    <t>Colombia, Cundinamarca, Fómeque, Páramo de Chingaza, La Laja y alrededores.</t>
  </si>
  <si>
    <t>2700-3250</t>
  </si>
  <si>
    <t>COL000160818</t>
  </si>
  <si>
    <t>Páramo de Chingaza, La Laja y alrededores.</t>
  </si>
  <si>
    <t>Cabrera I. et al., 5246</t>
  </si>
  <si>
    <t>CUVC 15516</t>
  </si>
  <si>
    <t>Colombia, Huila, entre Popayán y La Plata, bhPM.</t>
  </si>
  <si>
    <t>N 02°23'43.17"</t>
  </si>
  <si>
    <t>02°23'43.17" N</t>
  </si>
  <si>
    <t>W 75°53'28.33"</t>
  </si>
  <si>
    <t>75°53'28.33" W</t>
  </si>
  <si>
    <t>02°23'43.17" N, 75°53'28.33" W</t>
  </si>
  <si>
    <t>2.395325</t>
  </si>
  <si>
    <t>-75.8912028</t>
  </si>
  <si>
    <t>2.395325,-75.8912028</t>
  </si>
  <si>
    <t>entre Popayán y La Plata</t>
  </si>
  <si>
    <t>bhPM.</t>
  </si>
  <si>
    <t>Osorio G. 34</t>
  </si>
  <si>
    <t>COL 248475</t>
  </si>
  <si>
    <t>Colombia, Huila, Pitalito, vía Mocoa.</t>
  </si>
  <si>
    <t>N 01°51'09.87"</t>
  </si>
  <si>
    <t>01°51'09.87" N</t>
  </si>
  <si>
    <t>W 76°02'08.10"</t>
  </si>
  <si>
    <t>76°02'08.10" W</t>
  </si>
  <si>
    <t>01°51'09.87" N, 76°02'08.10" W</t>
  </si>
  <si>
    <t>1.8527417</t>
  </si>
  <si>
    <t>-76.0355833</t>
  </si>
  <si>
    <t>1.8527417,-76.0355833</t>
  </si>
  <si>
    <t>vía Mocoa.</t>
  </si>
  <si>
    <t>COL 248476</t>
  </si>
  <si>
    <t>Lozano G. et al., 4214</t>
  </si>
  <si>
    <t>COL 000336496</t>
  </si>
  <si>
    <t>Colombia, Huila, La Argelia, arriba de la finca Palmira.</t>
  </si>
  <si>
    <t>La Argelia</t>
  </si>
  <si>
    <t>Lozano G. et al., 4256</t>
  </si>
  <si>
    <t>COL 277622</t>
  </si>
  <si>
    <t>Colombia, Huila, Argentina, arriba de la finca Palmira.</t>
  </si>
  <si>
    <t>N 02°11'48.55"</t>
  </si>
  <si>
    <t>02°11'48.55" N</t>
  </si>
  <si>
    <t>W 75°58'36.91"</t>
  </si>
  <si>
    <t>75°58'36.91" W</t>
  </si>
  <si>
    <t>02°11'48.55" N, 75°58'36.91" W</t>
  </si>
  <si>
    <t>2.1968194</t>
  </si>
  <si>
    <t>-75.9769194</t>
  </si>
  <si>
    <t>2.1968194,-75.9769194</t>
  </si>
  <si>
    <t>Argentina</t>
  </si>
  <si>
    <t>Betancur J. &amp; S. Churchill 2064</t>
  </si>
  <si>
    <t>COL 371562</t>
  </si>
  <si>
    <t>Colombia, Huila, Neiva,-San Vicente del Caguán, Valle de Balsillas, Bosques colinados que rodean el Valle, Cordillera Oriental. Bp-MB</t>
  </si>
  <si>
    <t>N 02°55'17.88"</t>
  </si>
  <si>
    <t>02°55'17.88" N</t>
  </si>
  <si>
    <t>W 75°16'35.50"</t>
  </si>
  <si>
    <t>75°16'35.50" W</t>
  </si>
  <si>
    <t>02°55'17.88" N, 75°16'35.50" W</t>
  </si>
  <si>
    <t>2.9216333</t>
  </si>
  <si>
    <t>-75.2765278</t>
  </si>
  <si>
    <t>2.9216333,-75.2765278</t>
  </si>
  <si>
    <t>-San Vicente del Caguán, Valle de Balsillas, Bosques colinados que rodean el Valle, Cordillera Oriental. Bp-MB</t>
  </si>
  <si>
    <t>Sanín D &amp; E. Sanín 3198</t>
  </si>
  <si>
    <t>Colombia, Huila, Pitalito, vereda Charguayaco, Reserva de la Comunidad El Arroyuelo.</t>
  </si>
  <si>
    <t>vereda Charguayaco, Reserva de la Comunidad El Arroyuelo.</t>
  </si>
  <si>
    <t>Sanín D. &amp; E. Sanín 3204</t>
  </si>
  <si>
    <t>Guarín-M. R. 509</t>
  </si>
  <si>
    <t>PSO 4552</t>
  </si>
  <si>
    <t>Colombia, Nariño, Pasto, camino que conduce del Cementerio a Morazurco.</t>
  </si>
  <si>
    <t>camino que conduce del Cementerio a Morazurco.</t>
  </si>
  <si>
    <t>López-Jurado G. &amp; J. Riascos 602</t>
  </si>
  <si>
    <t>PSO 9285</t>
  </si>
  <si>
    <t>Colombia, Nariño, Pasto-El Encanto, Isla La Corota</t>
  </si>
  <si>
    <t>N 01°17'</t>
  </si>
  <si>
    <t>01°17' N</t>
  </si>
  <si>
    <t>W 78°14'</t>
  </si>
  <si>
    <t>78°14' W</t>
  </si>
  <si>
    <t>01°17' N, 78°14' W</t>
  </si>
  <si>
    <t>1.2833333</t>
  </si>
  <si>
    <t>-78.2333333</t>
  </si>
  <si>
    <t>1.2833333,-78.2333333</t>
  </si>
  <si>
    <t>Isla La Corota</t>
  </si>
  <si>
    <t>de Benavides O.S. 1980</t>
  </si>
  <si>
    <t>PSO 9409</t>
  </si>
  <si>
    <t>Colombia, Nariño, Pasto, Corregimiento El Encanto, Isla La Corota</t>
  </si>
  <si>
    <t>Corregimiento El Encanto, Isla La Corota</t>
  </si>
  <si>
    <t>de Benavides O.S.  2028</t>
  </si>
  <si>
    <t>PSO 9456</t>
  </si>
  <si>
    <t>Colombia, Nariño, Pasto, Volcan Galeras.</t>
  </si>
  <si>
    <t>Volcan Galeras.</t>
  </si>
  <si>
    <t xml:space="preserve"> de Benavides O. 2565</t>
  </si>
  <si>
    <t>PSO 10078</t>
  </si>
  <si>
    <t>Colombia, Nariño, Pasto, Bosque de daza.</t>
  </si>
  <si>
    <t>Bosque de daza.</t>
  </si>
  <si>
    <t>Pantoja-Ch. G.A. &amp; B.R. Ramírez-P. 81</t>
  </si>
  <si>
    <t>PSO 39068</t>
  </si>
  <si>
    <t>Vélez M.C. et al., 3961</t>
  </si>
  <si>
    <t>HUQ 13235</t>
  </si>
  <si>
    <t>Colombia, Quindio, Salento, camino La Montaña, Reserva Estrella de Agua.</t>
  </si>
  <si>
    <t>2800-3180</t>
  </si>
  <si>
    <t>camino La Montaña, Reserva Estrella de Agua.</t>
  </si>
  <si>
    <t>Chacón M.L. &amp; G. Giraldo 50</t>
  </si>
  <si>
    <t>HUQ 14711</t>
  </si>
  <si>
    <t>Colombia, Quindio, Salento, Reserva Estrella de Agua.</t>
  </si>
  <si>
    <t>Reserva Estrella de Agua.</t>
  </si>
  <si>
    <t>Vélez M.C. et a., 7309</t>
  </si>
  <si>
    <t>HUQ 24919</t>
  </si>
  <si>
    <t>Colombia, Quindio, Salento, Cuchilla de Morro Azul.</t>
  </si>
  <si>
    <t>Cuchilla de Morro Azul.</t>
  </si>
  <si>
    <t>Sanín D. et al., 3084</t>
  </si>
  <si>
    <t>Colombia, Quindio, Salento, vereda Boquia, sector La Patasola, flanco sur-oriental del río Boquia, frente al depto del Quindio y detrás del santuario Otún Quimbaya.</t>
  </si>
  <si>
    <t>W 75°37'2.14"</t>
  </si>
  <si>
    <t>75°37'2.14" W</t>
  </si>
  <si>
    <t>04°41'6.20" N, 75°37'2.14" W</t>
  </si>
  <si>
    <t>vereda Boquia, sector La Patasola, flanco sur-oriental del río Boquia, frente al depto del Quindio y detrás del santuario Otún Quimbaya.</t>
  </si>
  <si>
    <t>Colombia, Quindio, Salento, vereda Boquía, Sector La Pata Sola, flanco sur-oriental del río Boquía, frente al departamento del Quindio y detrás del Santuarío Otun Quimbaya.</t>
  </si>
  <si>
    <t>vereda Boquía, Sector La Pata Sola, flanco sur-oriental del río Boquía, frente al departamento del Quindio y detrás del Santuarío Otun Quimbaya.</t>
  </si>
  <si>
    <t>Sanín D. et al., 3090</t>
  </si>
  <si>
    <t>Sanín D. et al., 3087</t>
  </si>
  <si>
    <t>Sanín D. et al., 3115</t>
  </si>
  <si>
    <t>Colombia, Quindio, Salento, vereda Cocorá, vía Estrella de Agua, camino con mozaicos de sucesión de Alnus acuminata.</t>
  </si>
  <si>
    <t>vereda Cocorá, vía Estrella de Agua, camino con mozaicos de sucesión de Alnus acuminata.</t>
  </si>
  <si>
    <t>D. Sanín &amp; J.C. Mancera 939</t>
  </si>
  <si>
    <t>FAUC 10365</t>
  </si>
  <si>
    <t>Colombia, Risaralda, Santuario, vereda Baja Esmeralda, Cerro Churumbelo, Zona Amortiguadora P.N.N. Tatamá.</t>
  </si>
  <si>
    <t>vereda Baja Esmeralda, Cerro Churumbelo, Zona Amortiguadora P.N.N. Tatamá.</t>
  </si>
  <si>
    <t>Duque-Quintero J.M. 15</t>
  </si>
  <si>
    <t>FAUC 10780</t>
  </si>
  <si>
    <t>Colombia, Risaralda, Pereira, Santuario Otún Quimbaya.</t>
  </si>
  <si>
    <t>Santuario Otún Quimbaya.</t>
  </si>
  <si>
    <t>Duque-Quintero J.M. 17</t>
  </si>
  <si>
    <t>FAUC 10698</t>
  </si>
  <si>
    <t>Sanín D. et al., 4235</t>
  </si>
  <si>
    <t>Colombia, Risaralda, Santuario, P.N.N. Tatamá sector Monte Sancudo.</t>
  </si>
  <si>
    <t>P.N.N. Tatamá sector Monte Sancudo.</t>
  </si>
  <si>
    <t>Sanín D. &amp; V. Torrez 5124</t>
  </si>
  <si>
    <t>Colombia, Risaralda, Pereira, Santuario de Fauna y Flora Otún Quimbaya, senderos al interior del Santuario.</t>
  </si>
  <si>
    <t>Santuario de Fauna y Flora Otún Quimbaya, senderos al interior del Santuario.</t>
  </si>
  <si>
    <t>Jaramillo Mejía R. &amp; T. van der Hammen 4442</t>
  </si>
  <si>
    <t>COL 000336495</t>
  </si>
  <si>
    <t>Colombia, Santander, carretera del páramo de Guantiva a Onzaga.</t>
  </si>
  <si>
    <t>carretera del páramo de Guantiva a Onzaga.</t>
  </si>
  <si>
    <t>Bustos-P. G. 181</t>
  </si>
  <si>
    <t>COL 418777</t>
  </si>
  <si>
    <t>Colombia, Santander, Piedecuesta, vereda Cristales, trocha que conduce al nor-este de la Estación.</t>
  </si>
  <si>
    <t>COL418777</t>
  </si>
  <si>
    <t>Piedecuesta</t>
  </si>
  <si>
    <t>vereda Cristales, trocha que conduce al nor-este de la Estación.</t>
  </si>
  <si>
    <t>Sanín D. et al., 3147</t>
  </si>
  <si>
    <t>TOLI XXX</t>
  </si>
  <si>
    <t>Colombia, Tolima, Ibague, El Bergel, vía Termales de Cañón, Escuela Rural, bosuqes a mano derecha, sur este.</t>
  </si>
  <si>
    <t>El Bergel, vía Termales de Cañón, Escuela Rural, bosuqes a mano derecha, sur este.</t>
  </si>
  <si>
    <t>Sanín D. et al., 3148</t>
  </si>
  <si>
    <t>Sanín D. et al., 3170</t>
  </si>
  <si>
    <t>Colombia, Tolima, Ibague, corregimiento de Juntas, vía a la Escuela El Salto.</t>
  </si>
  <si>
    <t>corregimiento de Juntas, vía a la Escuela El Salto.</t>
  </si>
  <si>
    <t>Sanín D. &amp; E. Sanín 2731</t>
  </si>
  <si>
    <t>CAVC XXX</t>
  </si>
  <si>
    <t>Colombia, Valle del Cauca, Calí, Vereda Pance, P.N.N. Farallones de Calí, Reserva Amor y Paz, vía Valcones, transcición entre Bosque alto andino y páramo.</t>
  </si>
  <si>
    <t>Vereda Pance, P.N.N. Farallones de Calí, Reserva Amor y Paz, vía Valcones, transcición entre Bosque alto andino y páramo.</t>
  </si>
  <si>
    <t>Sanín D.  4205</t>
  </si>
  <si>
    <t>Colombia, Valle del Cauca, Buenaventura, Vista Hermosa, Piangüita.</t>
  </si>
  <si>
    <t>N 03°50'24.7"</t>
  </si>
  <si>
    <t>03°50'24.7" N</t>
  </si>
  <si>
    <t>W 77°11'41"</t>
  </si>
  <si>
    <t>77°11'41" W</t>
  </si>
  <si>
    <t>03°50'24.7" N, 77°11'41" W</t>
  </si>
  <si>
    <t>3.8401944</t>
  </si>
  <si>
    <t>-77.1947222</t>
  </si>
  <si>
    <t>3.8401944,-77.1947222</t>
  </si>
  <si>
    <t>Buenaventura</t>
  </si>
  <si>
    <t>Vista Hermosa, Piangüita.</t>
  </si>
  <si>
    <t>S. subandinum (Sodiro) A.R: Sm.</t>
  </si>
  <si>
    <t>Serpocaulon subandinum</t>
  </si>
  <si>
    <t>Londoño R. et al., 126A</t>
  </si>
  <si>
    <t>MEDEL 26047</t>
  </si>
  <si>
    <t>Colombia, Antioquia, Urrao, Páramo de Frontino, El Río.</t>
  </si>
  <si>
    <t>Páramo de Frontino, El Río.</t>
  </si>
  <si>
    <t>Londoño R. et al., 326</t>
  </si>
  <si>
    <t>MEDEL 25984</t>
  </si>
  <si>
    <t>Rodríguez W. et al., W. 3722</t>
  </si>
  <si>
    <t>COL 484067</t>
  </si>
  <si>
    <t>Colombia, Antioquia, Belmira, vereda La Amoladora, sector Montefrío, límites con los municipios de San Pedro de los Milagros y San Jerónimo.</t>
  </si>
  <si>
    <t>vereda La Amoladora, sector Montefrío, límites con los municipios de San Pedro de los Milagros y San Jerónimo.</t>
  </si>
  <si>
    <t>MEDEL 46598</t>
  </si>
  <si>
    <t>JAUM 38640</t>
  </si>
  <si>
    <t>HUA 484067</t>
  </si>
  <si>
    <t>Sanín D. et al., 5075</t>
  </si>
  <si>
    <t>N 06°37.318</t>
  </si>
  <si>
    <t>06°37.318 N</t>
  </si>
  <si>
    <t>W 75°38.697</t>
  </si>
  <si>
    <t>75°38.697 W</t>
  </si>
  <si>
    <t>06°37.318 N, 75°38.697 W</t>
  </si>
  <si>
    <t>Jaramillo Mejía R. et al., 3706</t>
  </si>
  <si>
    <t>COL 000336409</t>
  </si>
  <si>
    <t>Colombia, Boyacá, arriba de la carretera Tunja-Arcabuco, quebrada afluente del río Pómeca.</t>
  </si>
  <si>
    <t>COL000336437</t>
  </si>
  <si>
    <t>arriba de la carretera Tunja-Arcabuco</t>
  </si>
  <si>
    <t>quebrada afluente del río Pómeca.</t>
  </si>
  <si>
    <t>Jaramillo Mejía R. et al., 2869</t>
  </si>
  <si>
    <t>COL 000336437</t>
  </si>
  <si>
    <t>Colombia, Boyacá, Arriba de la carretera Tunja-Arcabuco, en la vertiente del río Pómeca.</t>
  </si>
  <si>
    <t>Hr o He</t>
  </si>
  <si>
    <t>Arriba de la carretera Tunja-Arcabuco</t>
  </si>
  <si>
    <t>en la vertiente del río Pómeca.</t>
  </si>
  <si>
    <t>Acosta-Arteaga C.E. 1098AC</t>
  </si>
  <si>
    <t>Colombia, Boyacá, Samacá, inmediaciones de La Represa Teatinos.</t>
  </si>
  <si>
    <t>inmediaciones de La Represa Teatinos.</t>
  </si>
  <si>
    <t>Rangel-Ch.  J. O. 11543</t>
  </si>
  <si>
    <t>COL 000335779</t>
  </si>
  <si>
    <t>Colombia, Boyacá, Duitama, vereda El Carmen, bosque arriba de la casa de don Acinieto.</t>
  </si>
  <si>
    <t>COL000335779</t>
  </si>
  <si>
    <t>Duitama</t>
  </si>
  <si>
    <t>vereda El Carmen, bosque arriba de la casa de don Acinieto.</t>
  </si>
  <si>
    <t>Murillo J.C. et al., 2964</t>
  </si>
  <si>
    <t>COL 000336101</t>
  </si>
  <si>
    <t>Colombia, Boyacá, Villa de Leyva, Santuario de Fauna y Flora de Iguaque, alrededor de la cabaña Mamarramos.</t>
  </si>
  <si>
    <t>COL000336101</t>
  </si>
  <si>
    <t>Santuario de Fauna y Flora de Iguaque, alrededor de la cabaña Mamarramos.</t>
  </si>
  <si>
    <t>Bischler H. 1464</t>
  </si>
  <si>
    <t>COL 74761</t>
  </si>
  <si>
    <t>Colombia, Caldas, Nevado del Ruíz, Los Chorros, cerca de la estación termal.</t>
  </si>
  <si>
    <t>N 04°55'36.82"</t>
  </si>
  <si>
    <t>04°55'36.82" N</t>
  </si>
  <si>
    <t>W 75°24'58.34"</t>
  </si>
  <si>
    <t>75°24'58.34" W</t>
  </si>
  <si>
    <t>04°55'36.82" N, 75°24'58.34" W</t>
  </si>
  <si>
    <t>4.9268944</t>
  </si>
  <si>
    <t>-75.4162056</t>
  </si>
  <si>
    <t>4.9268944,-75.4162056</t>
  </si>
  <si>
    <t>Nevado del Ruíz</t>
  </si>
  <si>
    <t>Los Chorros, cerca de la estación termal.</t>
  </si>
  <si>
    <t>Colombia, Caldas, carretera entre Manizales y El Nevado del Ruiz, Los Chorros.</t>
  </si>
  <si>
    <t>carretera entre Manizales y El Nevado del Ruiz</t>
  </si>
  <si>
    <t>Murillo M.T. 491</t>
  </si>
  <si>
    <t>COL 91312</t>
  </si>
  <si>
    <t>Colombia, Caldas, Villamaría, de Termales hacia abajo.</t>
  </si>
  <si>
    <t>Sanín D. &amp; B. Gonzalez Echeverry 2355</t>
  </si>
  <si>
    <t>Colombia, Caldas, Salamina, corregimiento de San Felix, finca Samaria, vía Monte Loro-Valle Alto, relictos a mano derecha del Bosque El Retiro.</t>
  </si>
  <si>
    <t>corregimiento de San Felix, finca Samaria, vía Monte Loro-Valle Alto, relictos a mano derecha del Bosque El Retiro.</t>
  </si>
  <si>
    <t>Sanín D. et al., 2759</t>
  </si>
  <si>
    <t>Colombia, Caldas, Manizales, Finca L a Linea, entre la Reserva Torre IV y Río Blanco, entrada por Letras, vía por camino que conduce con las Minas de Malteria.</t>
  </si>
  <si>
    <t>Finca L a Linea, entre la Reserva Torre IV y Río Blanco, entrada por Letras, vía por camino que conduce con las Minas de Malteria.</t>
  </si>
  <si>
    <t>Sanín D. &amp; A. B. Bohórquez 4318</t>
  </si>
  <si>
    <t>Colombia, Caldas, Salamina, corregimiento de San Felix, vía a Marulanda, quebrada frente a la finca El Bergel, entre el potrero y el bosque.</t>
  </si>
  <si>
    <t>corregimiento de San Felix, vía a Marulanda, quebrada frente a la finca El Bergel, entre el potrero y el bosque.</t>
  </si>
  <si>
    <t>Jaramillo-Mejia R. 5323</t>
  </si>
  <si>
    <t>COL 185838</t>
  </si>
  <si>
    <t>Colombia, Cauca, Parque Nacional del Puracé. Trocha de la carretera a la Laguna del Buey.</t>
  </si>
  <si>
    <t>N 02°18'40.39"</t>
  </si>
  <si>
    <t>02°18'40.39" N</t>
  </si>
  <si>
    <t>W 76°23'32.24"</t>
  </si>
  <si>
    <t>76°23'32.24" W</t>
  </si>
  <si>
    <t>02°18'40.39" N, 76°23'32.24" W</t>
  </si>
  <si>
    <t>2.3112194</t>
  </si>
  <si>
    <t>-76.3922889</t>
  </si>
  <si>
    <t>2.3112194,-76.3922889</t>
  </si>
  <si>
    <t>Parque Nacional del Puracé. Trocha de la carretera a la Laguna del Buey.</t>
  </si>
  <si>
    <t>Muñoz E. E.L. 746</t>
  </si>
  <si>
    <t>CAUP 17598</t>
  </si>
  <si>
    <t>Colombia, Cauca, Popayán, corregimiento de Quintana, vereda San Pedro.</t>
  </si>
  <si>
    <t>corregimiento de Quintana, vereda San Pedro.</t>
  </si>
  <si>
    <t>Aguilar J.A. 126</t>
  </si>
  <si>
    <t>CAUP 6865</t>
  </si>
  <si>
    <t>Colombia, Cauca, Bolivar, corregimiento San Juan, en la montaña.</t>
  </si>
  <si>
    <t>corregimiento San Juan, en la montaña.</t>
  </si>
  <si>
    <t>Sandoval C.L. et al., 35</t>
  </si>
  <si>
    <t>CAUP 16873</t>
  </si>
  <si>
    <t>Sandoval C.L. et al., 123</t>
  </si>
  <si>
    <t>CAUP 16940</t>
  </si>
  <si>
    <t>Colombia, Cauca, Popayán, corregimiento de Quintana. Bajando hasta el Cedral.</t>
  </si>
  <si>
    <t>2600-3000</t>
  </si>
  <si>
    <t>corregimiento de Quintana. Bajando hasta el Cedral.</t>
  </si>
  <si>
    <t>Aguilar J.A. 748</t>
  </si>
  <si>
    <t>CAUP 15214</t>
  </si>
  <si>
    <t>Colombia, Cauca, Bolivar, corregimiento Los Milagros, en los limites con el departamento de Nariño, ascenso al páramo de Granadillos.</t>
  </si>
  <si>
    <t>corregimiento Los Milagros, en los limites con el departamento de Nariño, ascenso al páramo de Granadillos.</t>
  </si>
  <si>
    <t>Muñoz E. E.L. 1721</t>
  </si>
  <si>
    <t>CAUP 18424</t>
  </si>
  <si>
    <t>Colombia, Cauca, Inza, vereda Río Sucio, Jardín Botanico Las Delicias, km 62</t>
  </si>
  <si>
    <t>N 02°33'00.01"</t>
  </si>
  <si>
    <t>02°33'00.01" N</t>
  </si>
  <si>
    <t>02°33'00.01" N, 76°04' W</t>
  </si>
  <si>
    <t>2.5500028</t>
  </si>
  <si>
    <t>2.5500028,-76.0666667</t>
  </si>
  <si>
    <t>vereda Río Sucio, Jardín Botanico Las Delicias, km 62</t>
  </si>
  <si>
    <t>Muñoz-E. E.L. 1851</t>
  </si>
  <si>
    <t>CAUP 13700</t>
  </si>
  <si>
    <t>Colombia, Cauca, Silvia, Páramo El Abejorro, vía Páramo Cresta de Gallo, vereda La Marqueza.</t>
  </si>
  <si>
    <t>CAUP13700</t>
  </si>
  <si>
    <t>Páramo El Abejorro, vía Páramo Cresta de Gallo, vereda La Marqueza.</t>
  </si>
  <si>
    <t>Muñoz L. 16</t>
  </si>
  <si>
    <t>CAUP 20235</t>
  </si>
  <si>
    <t>Colombia, Cauca, Timbío, Robles, 9 km desde Popayán, vereda Tupacinga.</t>
  </si>
  <si>
    <t>N 02°21'03.70"</t>
  </si>
  <si>
    <t>02°21'03.70" N</t>
  </si>
  <si>
    <t>W 76°40'54.11"</t>
  </si>
  <si>
    <t>76°40'54.11" W</t>
  </si>
  <si>
    <t>02°21'03.70" N, 76°40'54.11" W</t>
  </si>
  <si>
    <t>2.3510278</t>
  </si>
  <si>
    <t>-76.6816972</t>
  </si>
  <si>
    <t>2.3510278,-76.6816972</t>
  </si>
  <si>
    <t>Timbío</t>
  </si>
  <si>
    <t>Robles, 9 km desde Popayán, vereda Tupacinga.</t>
  </si>
  <si>
    <t>Cortes J. 23</t>
  </si>
  <si>
    <t>CAUP 2026</t>
  </si>
  <si>
    <t>Colombia, Cauca, Totoro, finca Potrero del río.</t>
  </si>
  <si>
    <t>finca Potrero del río.</t>
  </si>
  <si>
    <t>Jaramillo-Mejia R. &amp; T. van der Hammen 5264</t>
  </si>
  <si>
    <t>COL 185856</t>
  </si>
  <si>
    <t>Colombia, Cauca: Cordillera Central, Parque Nacional del Puracé. Zona del río San Nicolas. Meseta de la cascada del río San Nicolas.</t>
  </si>
  <si>
    <t>Cauca: Cordillera Central</t>
  </si>
  <si>
    <t>Parque Nacional del Puracé. Zona del río San Nicolas. Meseta de la cascada del río San Nicolas.</t>
  </si>
  <si>
    <t>Rangel Ch. J. O. et al., 11111</t>
  </si>
  <si>
    <t>COL 000336112</t>
  </si>
  <si>
    <t>Colombia, Cesar, 32 km SE de Manaure, arriba de la Laguna.</t>
  </si>
  <si>
    <t>N 10°25'</t>
  </si>
  <si>
    <t>10°25' N</t>
  </si>
  <si>
    <t>W 72°53'</t>
  </si>
  <si>
    <t>72°53' W</t>
  </si>
  <si>
    <t>10°25' N, 72°53' W</t>
  </si>
  <si>
    <t>10.4166667</t>
  </si>
  <si>
    <t>-72.8833333</t>
  </si>
  <si>
    <t>10.4166667,-72.8833333</t>
  </si>
  <si>
    <t>Ubiqué los 32 km al SE de Manaure en el municipio Agustín Codazzi</t>
  </si>
  <si>
    <t>32 km SE de Manaure</t>
  </si>
  <si>
    <t>arriba de la Laguna.</t>
  </si>
  <si>
    <t>Cortés S. 971</t>
  </si>
  <si>
    <t>COL 000336097</t>
  </si>
  <si>
    <t>Colombia, Cundimanarca, Bogotá, Sabana de Bogotá, Usme, vereda Olarte.</t>
  </si>
  <si>
    <t>COL000336097</t>
  </si>
  <si>
    <t>Cundimanarca</t>
  </si>
  <si>
    <t>Sabana de Bogotá, Usme, vereda Olarte.</t>
  </si>
  <si>
    <t>Cuatrecasas J. &amp; R. Jaramillo 12018</t>
  </si>
  <si>
    <t>COL 35746</t>
  </si>
  <si>
    <t>Colombia, Cundinamarca, extremo sudeste de la Sabana de Bogotá, en San Miguel.</t>
  </si>
  <si>
    <t>extremo sudeste de la Sabana de Bogotá</t>
  </si>
  <si>
    <t>en San Miguel.</t>
  </si>
  <si>
    <t>Acosta-Arteaga C.E. 339</t>
  </si>
  <si>
    <t>COL 000336119</t>
  </si>
  <si>
    <t>Colombia, Cundinamarca, Páramo de Usaquén, carretera al Boquerón.</t>
  </si>
  <si>
    <t>COL000336119</t>
  </si>
  <si>
    <t>Páramo de Usaquén</t>
  </si>
  <si>
    <t>carretera al Boquerón.</t>
  </si>
  <si>
    <t>Serna Isaza R. A. 216</t>
  </si>
  <si>
    <t>COL 341704</t>
  </si>
  <si>
    <t>Colombia, Cundinamarca, Bogotá, Monserrate, Bosque El Granizo.</t>
  </si>
  <si>
    <t>Monserrate, Bosque El Granizo.</t>
  </si>
  <si>
    <t>Serna Isaza R. A. 244</t>
  </si>
  <si>
    <t>COL 000336109</t>
  </si>
  <si>
    <t>Serna Isaza R. A. 271</t>
  </si>
  <si>
    <t>COL 000336096</t>
  </si>
  <si>
    <t>Serna Isaza R. A. 256</t>
  </si>
  <si>
    <t>COL 000336088</t>
  </si>
  <si>
    <t>Groenendijk J.P. &amp; N. Rietman 1287</t>
  </si>
  <si>
    <t>COL 000336099</t>
  </si>
  <si>
    <t>Hernándes-Schmidt M. 768</t>
  </si>
  <si>
    <t>COL 000120337</t>
  </si>
  <si>
    <t>Colombia, Cundinamarca, Subachoque, vereda Tobal, finca El Cerro.</t>
  </si>
  <si>
    <t>vereda Tobal, finca El Cerro.</t>
  </si>
  <si>
    <t>Jaramillo Mejía R. et al., 5419</t>
  </si>
  <si>
    <t>COL 000336110</t>
  </si>
  <si>
    <t>Cuatrecasas J. 11928</t>
  </si>
  <si>
    <t>COL 23195</t>
  </si>
  <si>
    <t>Colombia, Nariño, Páramo del Tábano, alto de la Cordillera, entre Pasto y El Encanto, vertiente occidental.</t>
  </si>
  <si>
    <t>N 01°28'40.01"</t>
  </si>
  <si>
    <t>01°28'40.01" N</t>
  </si>
  <si>
    <t>W 77°22'50.51"</t>
  </si>
  <si>
    <t>77°22'50.51" W</t>
  </si>
  <si>
    <t>01°28'40.01" N, 77°22'50.51" W</t>
  </si>
  <si>
    <t>1.4777806</t>
  </si>
  <si>
    <t>-77.3806972</t>
  </si>
  <si>
    <t>1.4777806,-77.3806972</t>
  </si>
  <si>
    <t>COL23195</t>
  </si>
  <si>
    <t>Páramo del Tábano</t>
  </si>
  <si>
    <t>alto de la Cordillera, entre Pasto y El Encanto, vertiente occidental.</t>
  </si>
  <si>
    <t>Hagemann W. &amp; Leis 1322</t>
  </si>
  <si>
    <t>COL 214296</t>
  </si>
  <si>
    <t>Colombia, Nariño, Pasto, La Botana.15 km vía Laguna de la Cocha, margen derecha de la carretera, bosque nublado secundario, rico en Ericaceae.</t>
  </si>
  <si>
    <t>La Botana.15 km vía Laguna de la Cocha, margen derecha de la carretera, bosque nublado secundario, rico en Ericaceae.</t>
  </si>
  <si>
    <t>Hagemann W. &amp; Leis 1854</t>
  </si>
  <si>
    <t>COL 214350</t>
  </si>
  <si>
    <t>Colombia, Nariño, carretera La Victoria-Monopampa, km. 32, Motilón.Pasto, La Botana.15 km vía Laguna de la Cocha, margen derecha de la carretera, bosque nublado secundario, rico en Ericaceae.</t>
  </si>
  <si>
    <t>carretera La Victoria-Monopampa</t>
  </si>
  <si>
    <t>km. 32, Motilón.Pasto, La Botana.15 km vía Laguna de la Cocha, margen derecha de la carretera, bosque nublado secundario, rico en Ericaceae.</t>
  </si>
  <si>
    <t>Arbeláez A.L. &amp; S. Churchill 390</t>
  </si>
  <si>
    <t>PSO 23583</t>
  </si>
  <si>
    <t>Colombia, Nariño, Pasto, 15 km vía Laguna de la Cocha, margen derecha de la carretera, bosque nublado secundario, rico en Ericaceae.</t>
  </si>
  <si>
    <t>N 01°12'</t>
  </si>
  <si>
    <t>01°12' N</t>
  </si>
  <si>
    <t>W 77°12'</t>
  </si>
  <si>
    <t>77°12' W</t>
  </si>
  <si>
    <t>01°12' N, 77°12' W</t>
  </si>
  <si>
    <t>1.2</t>
  </si>
  <si>
    <t>-77.2</t>
  </si>
  <si>
    <t>1.2,-77.2</t>
  </si>
  <si>
    <t>15 km vía Laguna de la Cocha, margen derecha de la carretera, bosque nublado secundario, rico en Ericaceae.</t>
  </si>
  <si>
    <t>Ramírez-P, B.R. &amp; J.A. Cuayal-M. 3960</t>
  </si>
  <si>
    <t>COL 494014</t>
  </si>
  <si>
    <t>Colombia, Nariño, Pasto, a 3 km E. de la población de Dolores.</t>
  </si>
  <si>
    <t>a 3 km E. de la población de Dolores.</t>
  </si>
  <si>
    <t>PSO 27471</t>
  </si>
  <si>
    <t>Molina D. &amp; M. Jojoa 251</t>
  </si>
  <si>
    <t>HUA 163207</t>
  </si>
  <si>
    <t>Colombia, Nariño, Pasto, corregimiento del Encanto, vereda el Socorro, Reserva Natural Castelvi.</t>
  </si>
  <si>
    <t>N 01°09'45.60"</t>
  </si>
  <si>
    <t>01°09'45.60" N</t>
  </si>
  <si>
    <t>W 77°09'09.89"</t>
  </si>
  <si>
    <t>77°09'09.89" W</t>
  </si>
  <si>
    <t>01°09'45.60" N, 77°09'09.89" W</t>
  </si>
  <si>
    <t>1.1626667</t>
  </si>
  <si>
    <t>-77.1527472</t>
  </si>
  <si>
    <t>1.1626667,-77.1527472</t>
  </si>
  <si>
    <t>corregimiento del Encanto, vereda el Socorro, Reserva Natural Castelvi.</t>
  </si>
  <si>
    <t>Orozco C.I. et al., 1692</t>
  </si>
  <si>
    <t>COL 000336082</t>
  </si>
  <si>
    <t>Macias D. et al., 61</t>
  </si>
  <si>
    <t>COL 442353</t>
  </si>
  <si>
    <t>Colombia, Quindio, Salento, vereda Cocora, camino a la Montaña.</t>
  </si>
  <si>
    <t>vereda Cocora, camino a la Montaña.</t>
  </si>
  <si>
    <t>HUQ 12218</t>
  </si>
  <si>
    <t>López C.A. 134</t>
  </si>
  <si>
    <t>HUQ 18473</t>
  </si>
  <si>
    <t>Colombia, Quindio, Salento, Reserva Biológica Estrella de Agua.</t>
  </si>
  <si>
    <t>Reserva Biológica Estrella de Agua.</t>
  </si>
  <si>
    <t>Sanín D. et al., 3142</t>
  </si>
  <si>
    <t>Colombia, Quindio, Salento, vereda Cocora, Estrella de Agua, vía a Romerales.</t>
  </si>
  <si>
    <t>D_Sanín3142</t>
  </si>
  <si>
    <t>vereda Cocora, Estrella de Agua, vía a Romerales.</t>
  </si>
  <si>
    <t>Sanín D. et al., 4265</t>
  </si>
  <si>
    <t>Killip E.P. &amp; G. Varela 34576</t>
  </si>
  <si>
    <t>COL 18217</t>
  </si>
  <si>
    <t>Colombia, Tolima, along Quindío Higway, between Cajamarca and summit of divide.</t>
  </si>
  <si>
    <t>N 04°26'24.13"</t>
  </si>
  <si>
    <t>04°26'24.13" N</t>
  </si>
  <si>
    <t>W 75°25'48.41"</t>
  </si>
  <si>
    <t>75°25'48.41" W</t>
  </si>
  <si>
    <t>04°26'24.13" N, 75°25'48.41" W</t>
  </si>
  <si>
    <t>4.4400361</t>
  </si>
  <si>
    <t>-75.4301139</t>
  </si>
  <si>
    <t>4.4400361,-75.4301139</t>
  </si>
  <si>
    <t>along Quindío Higway</t>
  </si>
  <si>
    <t>between Cajamarca and summit of divide.</t>
  </si>
  <si>
    <t>Sanín D et al., 3151</t>
  </si>
  <si>
    <t>Colombia, Tolima, Ibague, El Bergel, vía Termales del Cañón, Escuela Rural, bosques a mano derecha al SE.</t>
  </si>
  <si>
    <t>El Bergel, vía Termales del Cañón, Escuela Rural, bosques a mano derecha al SE.</t>
  </si>
  <si>
    <t>S. tayronae D. Sanín</t>
  </si>
  <si>
    <t>Serpocaulon tayronae</t>
  </si>
  <si>
    <t>Smith 1025</t>
  </si>
  <si>
    <t>BR</t>
  </si>
  <si>
    <t>Colombia, Magdalena, Santa Marta, Sierra nevada de Santa Marta, Las nubes.</t>
  </si>
  <si>
    <t>1898−1901</t>
  </si>
  <si>
    <t>4997,208</t>
  </si>
  <si>
    <t>Smith_1025</t>
  </si>
  <si>
    <t>D. Sanín &amp; G. F. Peñaloza Bojacá 7104</t>
  </si>
  <si>
    <t>BHCB</t>
  </si>
  <si>
    <t>Colombia, Magdalena, Minca, zona amortiguadora del Parque Nacional Natural Sierra Nevada de Santa Marta</t>
  </si>
  <si>
    <t>11°05'46.3"N</t>
  </si>
  <si>
    <t>74°04'31.5"W</t>
  </si>
  <si>
    <t>1687,487</t>
  </si>
  <si>
    <t>D. Sanín &amp; G. F. Peñaloza Bojacá 8001</t>
  </si>
  <si>
    <t>S. triseriale (Sw.) A.R. Sm.</t>
  </si>
  <si>
    <t>Serpocaulon triseriale</t>
  </si>
  <si>
    <t>Galeano G. et al., 912</t>
  </si>
  <si>
    <t>COL 000336589</t>
  </si>
  <si>
    <t>Colombia, Amazonas, corregimiento La Araracuara, trocha al río Yarí, al NE del corregimiento.</t>
  </si>
  <si>
    <t>200-300</t>
  </si>
  <si>
    <t>COL336589</t>
  </si>
  <si>
    <t>corregimiento La Araracuara</t>
  </si>
  <si>
    <t>trocha al río Yarí, al NE del corregimiento.</t>
  </si>
  <si>
    <t>Pinilla N. 600</t>
  </si>
  <si>
    <t>COL 000336561</t>
  </si>
  <si>
    <t>Colombia, Amazonas, Leticia, resguardo Tikuna de San Martín de Amacayacu.</t>
  </si>
  <si>
    <t>90-100</t>
  </si>
  <si>
    <t>N 3°46'</t>
  </si>
  <si>
    <t>3°46' N</t>
  </si>
  <si>
    <t>W70°19'</t>
  </si>
  <si>
    <t>0°19' W</t>
  </si>
  <si>
    <t>3°46' N, 0°19' W</t>
  </si>
  <si>
    <t>3.7666667</t>
  </si>
  <si>
    <t>-0.3166667</t>
  </si>
  <si>
    <t>3.7666667,-0.3166667</t>
  </si>
  <si>
    <t>COL000336561</t>
  </si>
  <si>
    <t>Leticia</t>
  </si>
  <si>
    <t>resguardo Tikuna de San Martín de Amacayacu.</t>
  </si>
  <si>
    <t>Higuera D. &amp; N. Ague 284</t>
  </si>
  <si>
    <t>COL 000336644</t>
  </si>
  <si>
    <t>Colombia, Amazonas, Leticia, Parque Nacional Amacayacu, Resguardo indigena El Vergel, isla Mocagua, restinga alta de Pachaco.</t>
  </si>
  <si>
    <t>COL336644</t>
  </si>
  <si>
    <t>Parque Nacional Amacayacu, Resguardo indigena El Vergel, isla Mocagua, restinga alta de Pachaco.</t>
  </si>
  <si>
    <t>Cardenas D. &amp; J.G. Ramirez 2724</t>
  </si>
  <si>
    <t>JAUM 23660</t>
  </si>
  <si>
    <t>Antioqua, San Luis, Vereda La Josefina, camino hacia el Tulipán</t>
  </si>
  <si>
    <t>700-925</t>
  </si>
  <si>
    <t>N 06°00'</t>
  </si>
  <si>
    <t>06°00' N</t>
  </si>
  <si>
    <t>W 74°55'</t>
  </si>
  <si>
    <t>74°55' W</t>
  </si>
  <si>
    <t>06°00' N, 74°55' W</t>
  </si>
  <si>
    <t>6</t>
  </si>
  <si>
    <t>-74.9166667</t>
  </si>
  <si>
    <t>6,-74.9166667</t>
  </si>
  <si>
    <t>JAUM23660</t>
  </si>
  <si>
    <t>Antioqua</t>
  </si>
  <si>
    <t>Vereda La Josefina, camino hacia el Tulipán</t>
  </si>
  <si>
    <t>Rodriguez W.  et al., 528</t>
  </si>
  <si>
    <t>HUA 112502</t>
  </si>
  <si>
    <t>Colombia, Antioqua, Medellín, Quebrada El Guamal, entre la vía Las Palmas-Av.El Poblado.</t>
  </si>
  <si>
    <t>N 06°13'31"</t>
  </si>
  <si>
    <t>06°13'31" N</t>
  </si>
  <si>
    <t>W 75°33'50"</t>
  </si>
  <si>
    <t>75°33'50" W</t>
  </si>
  <si>
    <t>06°13'31" N, 75°33'50" W</t>
  </si>
  <si>
    <t>6.2252778</t>
  </si>
  <si>
    <t>-75.5638889</t>
  </si>
  <si>
    <t>6.2252778,-75.5638889</t>
  </si>
  <si>
    <t>HUA112502</t>
  </si>
  <si>
    <t>Quebrada El Guamal, entre la vía Las Palmas-Av.El Poblado.</t>
  </si>
  <si>
    <t>JAUM 25487</t>
  </si>
  <si>
    <t>Archer W.A. 1054</t>
  </si>
  <si>
    <t>COL 967</t>
  </si>
  <si>
    <t>Colombia, Antioquia, Bélen</t>
  </si>
  <si>
    <t>COL967</t>
  </si>
  <si>
    <t>Bélen</t>
  </si>
  <si>
    <t>Soejarto D.D. 2902</t>
  </si>
  <si>
    <t>COL 153811</t>
  </si>
  <si>
    <t>Colombia, Antioquia, Anorí, Corregimiento de Providencia, comino por bosque secundario</t>
  </si>
  <si>
    <t>500-600</t>
  </si>
  <si>
    <t>Corregimiento de Providencia, comino por bosque secundario</t>
  </si>
  <si>
    <t>D.D. Soejarto 2902</t>
  </si>
  <si>
    <t>HUA 26406</t>
  </si>
  <si>
    <t>Antioquia, Anorí, Corregimiento de Providencia.</t>
  </si>
  <si>
    <t>Corregimiento de Providencia.</t>
  </si>
  <si>
    <t>Soejarto D.D. 2903</t>
  </si>
  <si>
    <t xml:space="preserve"> Acosta-Arteaga C. A. 51</t>
  </si>
  <si>
    <t>COL 136695</t>
  </si>
  <si>
    <t>Colombia, Antioquia, Barbosa, Dos Quebradas.</t>
  </si>
  <si>
    <t>N 06°26'20.40"</t>
  </si>
  <si>
    <t>06°26'20.40" N</t>
  </si>
  <si>
    <t>W 75°19'58.80"</t>
  </si>
  <si>
    <t>75°19'58.80" W</t>
  </si>
  <si>
    <t>06°26'20.40" N, 75°19'58.80" W</t>
  </si>
  <si>
    <t>6.439</t>
  </si>
  <si>
    <t>-75.333</t>
  </si>
  <si>
    <t>6.439,-75.333</t>
  </si>
  <si>
    <t>Dos Quebradas.</t>
  </si>
  <si>
    <t>COL 136715</t>
  </si>
  <si>
    <t>COL 136716</t>
  </si>
  <si>
    <t>Callejas R. &amp; L. Correa 675</t>
  </si>
  <si>
    <t>JAUM 45</t>
  </si>
  <si>
    <t>Colombia, Antioquia, Caldas, Finca El Ranchito, a 25 Km de Medellín</t>
  </si>
  <si>
    <t>Finca El Ranchito, a 25 Km de Medellín</t>
  </si>
  <si>
    <t>Hoyos S. &amp; J. Hernandez 526</t>
  </si>
  <si>
    <t>JAUM 12909</t>
  </si>
  <si>
    <t>Colombia, Antioquia, San Luis, autopista Medellín-Bogotá. Vereda La Josefina. Camino hacia el Pital.</t>
  </si>
  <si>
    <t>autopista Medellín-Bogotá. Vereda La Josefina. Camino hacia el Pital.</t>
  </si>
  <si>
    <t>Hoyos S. &amp; J. Hernandez 602</t>
  </si>
  <si>
    <t>JAUM 12911</t>
  </si>
  <si>
    <t>Colombia, Antioquia, San Luis, Autopista Medellín Bogota, Vereda La Josefina, camino del Caño La Mariola hacia Santa Barbara</t>
  </si>
  <si>
    <t>Autopista Medellín Bogota, Vereda La Josefina, camino del Caño La Mariola hacia Santa Barbara</t>
  </si>
  <si>
    <t>Callejas R. et al., 4223</t>
  </si>
  <si>
    <t>HUA 42822</t>
  </si>
  <si>
    <t>Colombia, Antioquia, San Luis, 16 km de las partidas a San Luis, sobre la vía Medellín-Bogotá, Vereda La Josefina.</t>
  </si>
  <si>
    <t>74°50' W</t>
  </si>
  <si>
    <t>06°00' N, 74°50' W</t>
  </si>
  <si>
    <t>-74.8333333</t>
  </si>
  <si>
    <t>6,-74.8333333</t>
  </si>
  <si>
    <t>16 km de las partidas a San Luis, sobre la vía Medellín-Bogotá, Vereda La Josefina.</t>
  </si>
  <si>
    <t>Fonnegra R. et al., 2404</t>
  </si>
  <si>
    <t>HUA 54455</t>
  </si>
  <si>
    <t>Colombia, Antioquia, Andes, 6 km de Andes hacia la vereda Momblan, apiario Ledesma Restrepo.</t>
  </si>
  <si>
    <t>HUA54455</t>
  </si>
  <si>
    <t>Andes</t>
  </si>
  <si>
    <t>6 km de Andes hacia la vereda Momblan, apiario Ledesma Restrepo.</t>
  </si>
  <si>
    <t>Giraldo-Cañas D.A. 229</t>
  </si>
  <si>
    <t>HUA 76229</t>
  </si>
  <si>
    <t>Colombia, Antioquia, Cocorná, vereda La Piñuela, carretera a San Francisco</t>
  </si>
  <si>
    <t>vereda La Piñuela, carretera a San Francisco</t>
  </si>
  <si>
    <t>D.A. Giraldo-Cañas 391</t>
  </si>
  <si>
    <t>HUA 76625</t>
  </si>
  <si>
    <t>6°02' N</t>
  </si>
  <si>
    <t>6°02' N, 75°08' W</t>
  </si>
  <si>
    <t>Rodriguez W. et al., 4165</t>
  </si>
  <si>
    <t>HUA 142016</t>
  </si>
  <si>
    <t>Colombia, Antioquia, Anorí, vereda Santa Gertrudis, finca la Estrella</t>
  </si>
  <si>
    <t>vereda Santa Gertrudis, finca la Estrella</t>
  </si>
  <si>
    <t>Murillo M.T. 1538</t>
  </si>
  <si>
    <t>COL 000336597</t>
  </si>
  <si>
    <t>Colombia, Boyacá, entre Pauna y Chiquinquirá.</t>
  </si>
  <si>
    <t>1000-1900</t>
  </si>
  <si>
    <t>entre Pauna y Chiquinquirá.</t>
  </si>
  <si>
    <t>Acosta-Arteaga C.E. 278</t>
  </si>
  <si>
    <t>COL 000336569</t>
  </si>
  <si>
    <t>Colombia, Boyacá, desierto de la Candelaria.</t>
  </si>
  <si>
    <t>COL000336569</t>
  </si>
  <si>
    <t>desierto de la Candelaria.</t>
  </si>
  <si>
    <t>Dueñas H. 3095</t>
  </si>
  <si>
    <t>COL 000336538</t>
  </si>
  <si>
    <t>Colombia, Boyacá, Villa de Leyva, Cerro del Espíritu Santo, alrededores de la cabecera municipal.</t>
  </si>
  <si>
    <t>COL000336538</t>
  </si>
  <si>
    <t>Cerro del Espíritu Santo, alrededores de la cabecera municipal.</t>
  </si>
  <si>
    <t>Olson P. et al., 24r</t>
  </si>
  <si>
    <t>FAUC 3185</t>
  </si>
  <si>
    <t>Colombia, Caldas, Riosucio, Portachuelo.</t>
  </si>
  <si>
    <t>N 05°25'43"</t>
  </si>
  <si>
    <t>05°25'43" N</t>
  </si>
  <si>
    <t>W 75°41'57.66"</t>
  </si>
  <si>
    <t>75°41'57.66" W</t>
  </si>
  <si>
    <t>05°25'43" N, 75°41'57.66" W</t>
  </si>
  <si>
    <t>5.4286111</t>
  </si>
  <si>
    <t>-75.69935</t>
  </si>
  <si>
    <t>5.4286111,-75.69935</t>
  </si>
  <si>
    <t>Portachuelo.</t>
  </si>
  <si>
    <t>Sanín D. 593</t>
  </si>
  <si>
    <t>FAUC 5587</t>
  </si>
  <si>
    <t>Colombia, Caldas, Manizales, vía La Violeta-El Rosario.</t>
  </si>
  <si>
    <t>vía La Violeta-El Rosario.</t>
  </si>
  <si>
    <t>Sanín D. 3473</t>
  </si>
  <si>
    <t>Colombia, Caldas, Villamaría, vía Potosí, cascada del río Nereidas.</t>
  </si>
  <si>
    <t>vía Potosí, cascada del río Nereidas.</t>
  </si>
  <si>
    <t>Sanín D. 526</t>
  </si>
  <si>
    <t>HUQ 29660</t>
  </si>
  <si>
    <t>Colombia, Caldas, Manizales, vereda Santagueda, sitio Salto del Cacique.</t>
  </si>
  <si>
    <t>N 05°5'19.1"</t>
  </si>
  <si>
    <t>05°5'19.1" N</t>
  </si>
  <si>
    <t>W 75°37'9.5"</t>
  </si>
  <si>
    <t>75°37'9.5" W</t>
  </si>
  <si>
    <t>05°5'19.1" N, 75°37'9.5" W</t>
  </si>
  <si>
    <t>5.0886389</t>
  </si>
  <si>
    <t>-75.6193056</t>
  </si>
  <si>
    <t>5.0886389,-75.6193056</t>
  </si>
  <si>
    <t>vereda Santagueda, sitio Salto del Cacique.</t>
  </si>
  <si>
    <t>Sanín et al., 1892</t>
  </si>
  <si>
    <t>Colombia, Caldas, Chinchiná, vereda La Colina, localidad El Alto Español, al borde de la carretera fronteriza entre los municipios de Santa Rosa y Chinchiná, relicto a mano derecha vía a Chinchiná.</t>
  </si>
  <si>
    <t>N 04°56'34.5"</t>
  </si>
  <si>
    <t>04°56'34.5" N</t>
  </si>
  <si>
    <t>W 75°41'46"</t>
  </si>
  <si>
    <t>75°41'46" W</t>
  </si>
  <si>
    <t>04°56'34.5" N, 75°41'46" W</t>
  </si>
  <si>
    <t>4.9429167</t>
  </si>
  <si>
    <t>-75.6961111</t>
  </si>
  <si>
    <t>4.9429167,-75.6961111</t>
  </si>
  <si>
    <t>Chinchiná</t>
  </si>
  <si>
    <t>vereda La Colina, localidad El Alto Español, al borde de la carretera fronteriza entre los municipios de Santa Rosa y Chinchiná, relicto a mano derecha vía a Chinchiná.</t>
  </si>
  <si>
    <t>Sanín D. et al., 2602</t>
  </si>
  <si>
    <t>Colombia, Caldas, Neira, vía Aranzazu, 4 km del casco urbano.</t>
  </si>
  <si>
    <t>N 05°12'9"</t>
  </si>
  <si>
    <t>05°12'9" N</t>
  </si>
  <si>
    <t>W 75°35'26.04"</t>
  </si>
  <si>
    <t>75°35'26.04" W</t>
  </si>
  <si>
    <t>05°12'9" N, 75°35'26.04" W</t>
  </si>
  <si>
    <t>5.2025</t>
  </si>
  <si>
    <t>-75.5905667</t>
  </si>
  <si>
    <t>5.2025,-75.5905667</t>
  </si>
  <si>
    <t>vía Aranzazu, 4 km del casco urbano.</t>
  </si>
  <si>
    <t>Sanín D. et al., 2663</t>
  </si>
  <si>
    <t>Colombia, Caldas, Chinchiná, Estación Central El Naranjal-La Romelia, subcuenca río Chinchiná-Campoalegre.</t>
  </si>
  <si>
    <t>N 04°59'</t>
  </si>
  <si>
    <t>04°59' N</t>
  </si>
  <si>
    <t>04°59' N, 75°35' W</t>
  </si>
  <si>
    <t>4.9833333</t>
  </si>
  <si>
    <t>4.9833333,-75.5833333</t>
  </si>
  <si>
    <t>Estación Central El Naranjal-La Romelia, subcuenca río Chinchiná-Campoalegre.</t>
  </si>
  <si>
    <t>Sanín D. 2542</t>
  </si>
  <si>
    <t>Colombia, Caldas, Manizales-Palestina, Empresa ESTEPAN-Colombiana de Quimicos, vía Medellín, Tres Puertas, Regeneración hacia el margen de la empresa.</t>
  </si>
  <si>
    <t>D_Sanín2542</t>
  </si>
  <si>
    <t>Manizales-Palestina</t>
  </si>
  <si>
    <t>Empresa ESTEPAN-Colombiana de Quimicos, vía Medellín, Tres Puertas, Regeneración hacia el margen de la empresa.</t>
  </si>
  <si>
    <t>Sanín D. 3470</t>
  </si>
  <si>
    <t>N 04°54'90.8"</t>
  </si>
  <si>
    <t>04°54'90.8" N</t>
  </si>
  <si>
    <t>W 75°26'71.1"</t>
  </si>
  <si>
    <t>75°26'71.1" W</t>
  </si>
  <si>
    <t>04°54'90.8" N, 75°26'71.1" W</t>
  </si>
  <si>
    <t>Sanín D. et al., 5658</t>
  </si>
  <si>
    <t>HUA XXx</t>
  </si>
  <si>
    <t>Colombia, Caldas, Chinchiná, vereda La Esmeralda, Bosuqes del Embalse San Francisco, en la vía a los tubos, por el camino de entrenamiento militar.</t>
  </si>
  <si>
    <t>N 05°03'32"</t>
  </si>
  <si>
    <t>05°03'32" N</t>
  </si>
  <si>
    <t>W 75°44'07.6"</t>
  </si>
  <si>
    <t>75°44'07.6" W</t>
  </si>
  <si>
    <t>05°03'32" N, 75°44'07.6" W</t>
  </si>
  <si>
    <t>vereda La Esmeralda, Bosuqes del Embalse San Francisco, en la vía a los tubos, por el camino de entrenamiento militar.</t>
  </si>
  <si>
    <t>Bernal H.Y. &amp; D. Tellez 512</t>
  </si>
  <si>
    <t>COL 000336662</t>
  </si>
  <si>
    <t>Colombia, Caqueta, km 17 entre Belén de los Andaquies y La Inspección de Policía "La Mono"</t>
  </si>
  <si>
    <t>COL000336662</t>
  </si>
  <si>
    <t>km 17 entre Belén de los Andaquies y La Inspección de Policía "La Mono"</t>
  </si>
  <si>
    <t>Bernal H.Y. &amp; D. Tellez 515</t>
  </si>
  <si>
    <t>COL 000336590</t>
  </si>
  <si>
    <t>Estrada J. et al., 53</t>
  </si>
  <si>
    <t>Colombia, Caquetá, Sierra de Chiribiquete, campamento sur entre éste y los primeros escarpes de la meseta.</t>
  </si>
  <si>
    <t>350-400</t>
  </si>
  <si>
    <t>N 00°55'</t>
  </si>
  <si>
    <t>00°55' N</t>
  </si>
  <si>
    <t>W 72°45'</t>
  </si>
  <si>
    <t>72°45' W</t>
  </si>
  <si>
    <t>00°55' N, 72°45' W</t>
  </si>
  <si>
    <t>0.9166667</t>
  </si>
  <si>
    <t>-72.75</t>
  </si>
  <si>
    <t>0.9166667,-72.75</t>
  </si>
  <si>
    <t>campamento sur entre éste y los primeros escarpes de la meseta.</t>
  </si>
  <si>
    <t>Palacios P. et al. 2649</t>
  </si>
  <si>
    <t>COL 000336541</t>
  </si>
  <si>
    <t>Colombia, Caquetá, Sierra de Chiribiquete, bosque en la base de la Mesa Norte.</t>
  </si>
  <si>
    <t>N 01°05'</t>
  </si>
  <si>
    <t>01°05' N</t>
  </si>
  <si>
    <t>W 72°40'</t>
  </si>
  <si>
    <t>72°40' W</t>
  </si>
  <si>
    <t>01°05' N, 72°40' W</t>
  </si>
  <si>
    <t>-72.6666667</t>
  </si>
  <si>
    <t>1.0833333,-72.6666667</t>
  </si>
  <si>
    <t>bosque en la base de la Mesa Norte.</t>
  </si>
  <si>
    <t>Palacios P. et al. 2679</t>
  </si>
  <si>
    <t>COL 000336540</t>
  </si>
  <si>
    <t>Vasco Gutiérrez A. 208</t>
  </si>
  <si>
    <t>COL 000336544</t>
  </si>
  <si>
    <t>Colombia, Caquetá, Solano.</t>
  </si>
  <si>
    <t>N 0°5.34'</t>
  </si>
  <si>
    <t>0°5.34' N</t>
  </si>
  <si>
    <t>W 72°26.72'</t>
  </si>
  <si>
    <t>72°26.72' W</t>
  </si>
  <si>
    <t>0°5.34' N, 72°26.72' W</t>
  </si>
  <si>
    <t>0.089</t>
  </si>
  <si>
    <t>-72.4453333</t>
  </si>
  <si>
    <t>0.089,-72.4453333</t>
  </si>
  <si>
    <t>Solano.</t>
  </si>
  <si>
    <t>Vasco Gutiérrez A. 421</t>
  </si>
  <si>
    <t>HUA 147544</t>
  </si>
  <si>
    <t>N 0°16'23"</t>
  </si>
  <si>
    <t>0°16'23" N</t>
  </si>
  <si>
    <t>W 72°30.39'</t>
  </si>
  <si>
    <t>72°30.39' W</t>
  </si>
  <si>
    <t>0°16'23" N, 72°30.39' W</t>
  </si>
  <si>
    <t>0.2730556</t>
  </si>
  <si>
    <t>-72.5065</t>
  </si>
  <si>
    <t>0.2730556,-72.5065</t>
  </si>
  <si>
    <t>Alrévalo R. 333</t>
  </si>
  <si>
    <t>COL 000014022</t>
  </si>
  <si>
    <t>Colombia, Caquetá, Solano, Parque Nacional Natural Serranía Chiribiquete (región SE), Estación Puerto Abeja, margen derecho del río Mesay, costado oriental de la Quebrada Puerto Abeja.</t>
  </si>
  <si>
    <t>N 0°04'16"</t>
  </si>
  <si>
    <t>0°04'16" N</t>
  </si>
  <si>
    <t>W 72°26'48"</t>
  </si>
  <si>
    <t>72°26'48" W</t>
  </si>
  <si>
    <t>0°04'16" N, 72°26'48" W</t>
  </si>
  <si>
    <t>0.0711111</t>
  </si>
  <si>
    <t>-72.4466667</t>
  </si>
  <si>
    <t>0.0711111,-72.4466667</t>
  </si>
  <si>
    <t>Parque Nacional Natural Serranía Chiribiquete (región SE), Estación Puerto Abeja, margen derecho del río Mesay, costado oriental de la Quebrada Puerto Abeja.</t>
  </si>
  <si>
    <t>Velayos M. et al., 635</t>
  </si>
  <si>
    <t>COL 000336555</t>
  </si>
  <si>
    <t>Colombia, Caqueta.</t>
  </si>
  <si>
    <t>W 72°42'0.6"</t>
  </si>
  <si>
    <t>72°42'0.6" W</t>
  </si>
  <si>
    <t>0°56'15" N, 72°42'0.6" W</t>
  </si>
  <si>
    <t>-72.7001667</t>
  </si>
  <si>
    <t>0.9375,-72.7001667</t>
  </si>
  <si>
    <t>Caqueta.</t>
  </si>
  <si>
    <t>Acosta-Arteaga C.A. 949</t>
  </si>
  <si>
    <t>COL 169241</t>
  </si>
  <si>
    <t>Colombia, Cauca, Rosas, camino de Marquez.Sobre rocas metamorficas descompuestas.</t>
  </si>
  <si>
    <t>N 02°15'40.60"</t>
  </si>
  <si>
    <t>02°15'40.60" N</t>
  </si>
  <si>
    <t>W 76°44'29.13"</t>
  </si>
  <si>
    <t>76°44'29.13" W</t>
  </si>
  <si>
    <t>02°15'40.60" N, 76°44'29.13" W</t>
  </si>
  <si>
    <t>2.2612778</t>
  </si>
  <si>
    <t>-76.741425</t>
  </si>
  <si>
    <t>2.2612778,-76.741425</t>
  </si>
  <si>
    <t>Rosas</t>
  </si>
  <si>
    <t>camino de Marquez.Sobre rocas metamorficas descompuestas.</t>
  </si>
  <si>
    <t>I.Cabrera R. 3837</t>
  </si>
  <si>
    <t>CUVC 6429</t>
  </si>
  <si>
    <t>Cauca, Margen Izquierda del Río Guapi, estación del Incora, zona de Potreros</t>
  </si>
  <si>
    <t>CUVC6429</t>
  </si>
  <si>
    <t>Margen Izquierda del Río Guapi</t>
  </si>
  <si>
    <t>estación del Incora, zona de Potreros</t>
  </si>
  <si>
    <t>Salgado Negrat B.E. et al., 36</t>
  </si>
  <si>
    <t>CAUP 5387</t>
  </si>
  <si>
    <t>Colombia, Cauca, Popayán, Universidad del Cauca. Detrás de la Biblioteca de la Facultad de Educación.</t>
  </si>
  <si>
    <t>Universidad del Cauca. Detrás de la Biblioteca de la Facultad de Educación.</t>
  </si>
  <si>
    <t>COL 459193</t>
  </si>
  <si>
    <t>COL 459197</t>
  </si>
  <si>
    <t>Casañas Suárez O.L. 147</t>
  </si>
  <si>
    <t>COL 452891</t>
  </si>
  <si>
    <t>N 02°30'32.3"</t>
  </si>
  <si>
    <t>02°30'32.3" N</t>
  </si>
  <si>
    <t>W 77°00'23.1"</t>
  </si>
  <si>
    <t>77°00'23.1" W</t>
  </si>
  <si>
    <t>02°30'32.3" N, 77°00'23.1" W</t>
  </si>
  <si>
    <t>2.5089722</t>
  </si>
  <si>
    <t>-77.0064167</t>
  </si>
  <si>
    <t>2.5089722,-77.0064167</t>
  </si>
  <si>
    <t>Aguilar J.A. 697</t>
  </si>
  <si>
    <t>CAUP 15174</t>
  </si>
  <si>
    <t>Colombia, Cauca, Bolivar, alrededores de la zona urbana de la cabecera corregimental. El Morro.</t>
  </si>
  <si>
    <t>N 01°51'7.5"</t>
  </si>
  <si>
    <t>01°51'7.5" N</t>
  </si>
  <si>
    <t>W 76°55'29"</t>
  </si>
  <si>
    <t>76°55'29" W</t>
  </si>
  <si>
    <t>01°51'7.5" N, 76°55'29" W</t>
  </si>
  <si>
    <t>1.8520833</t>
  </si>
  <si>
    <t>-76.9247222</t>
  </si>
  <si>
    <t>1.8520833,-76.9247222</t>
  </si>
  <si>
    <t>alrededores de la zona urbana de la cabecera corregimental. El Morro.</t>
  </si>
  <si>
    <t>White J. &amp; R. Warner 41</t>
  </si>
  <si>
    <t>HUA 4237</t>
  </si>
  <si>
    <t>Colombia, Chocó, Mangroves south of Virudo.</t>
  </si>
  <si>
    <t>HUA4237</t>
  </si>
  <si>
    <t>Mangroves south of Virudo.</t>
  </si>
  <si>
    <t>Forero E. et al. 1478</t>
  </si>
  <si>
    <t>COL 000336601</t>
  </si>
  <si>
    <t>Colombia, Chocó, Río Munguidó, afluente del río Atrato, alrededores de Altagracia.</t>
  </si>
  <si>
    <t>COL000336601</t>
  </si>
  <si>
    <t>Río Munguidó</t>
  </si>
  <si>
    <t>afluente del río Atrato, alrededores de Altagracia.</t>
  </si>
  <si>
    <t>Forero E. et al. 3810</t>
  </si>
  <si>
    <t>Colombia, Chocó, Hoya del Río San Juan, alrededores de Palestina.</t>
  </si>
  <si>
    <t>Hoya del Río San Juan</t>
  </si>
  <si>
    <t>Forero E. et al. 4928</t>
  </si>
  <si>
    <t>COL 000336565</t>
  </si>
  <si>
    <t>Colombia, Chocó, Hoya del Río San Juan, río Tamaná, afluente el río San Juan, entre Primavera y Santa Rosa.</t>
  </si>
  <si>
    <t>05°00' N, 76°44' W</t>
  </si>
  <si>
    <t>río Tamaná, afluente el río San Juan, entre Primavera y Santa Rosa.</t>
  </si>
  <si>
    <t>Forero E. et al. 9566</t>
  </si>
  <si>
    <t>COL 000336598</t>
  </si>
  <si>
    <t>Colombia, Chocó, Quibdó, carretera Quibdó-Yuto, km 8-9 ramal hacia el Real de Tanando.</t>
  </si>
  <si>
    <t>COL000336598</t>
  </si>
  <si>
    <t>Quibdó</t>
  </si>
  <si>
    <t>carretera Quibdó-Yuto, km 8-9 ramal hacia el Real de Tanando.</t>
  </si>
  <si>
    <t>Espinal J et al., 3569</t>
  </si>
  <si>
    <t>CHOCO 7842</t>
  </si>
  <si>
    <t>Colombia, Chocó, Bahía Solano, Parque Natural Utría, margen izquierda de la Ensenada.</t>
  </si>
  <si>
    <t>Parque Natural Utría, margen izquierda de la Ensenada.</t>
  </si>
  <si>
    <t>Muñeton S. 263</t>
  </si>
  <si>
    <t>MEDEL 33987</t>
  </si>
  <si>
    <t>Colombia, Chocó, Nuquí, El Amargal.</t>
  </si>
  <si>
    <t>N 05° 42'</t>
  </si>
  <si>
    <t>05° 42' N</t>
  </si>
  <si>
    <t>W 77°16'</t>
  </si>
  <si>
    <t>77°16' W</t>
  </si>
  <si>
    <t>05° 42' N, 77°16' W</t>
  </si>
  <si>
    <t>5.7</t>
  </si>
  <si>
    <t>-77.2666667</t>
  </si>
  <si>
    <t>5.7,-77.2666667</t>
  </si>
  <si>
    <t>Nuquí</t>
  </si>
  <si>
    <t>El Amargal.</t>
  </si>
  <si>
    <t>Ledezma E. et al., 369</t>
  </si>
  <si>
    <t>CHOCO 1372</t>
  </si>
  <si>
    <t>N 05° 13'4.01"</t>
  </si>
  <si>
    <t>05° 13'4.01" N</t>
  </si>
  <si>
    <t>W 76°38'5.52"</t>
  </si>
  <si>
    <t>76°38'5.52" W</t>
  </si>
  <si>
    <t>05° 13'4.01" N, 76°38'5.52" W</t>
  </si>
  <si>
    <t>Sanín D. et al., 2897</t>
  </si>
  <si>
    <t>Colombia, Chocó, San José del Palmar, vereda Damasco, Escuela Santa Lucia.</t>
  </si>
  <si>
    <t>N 4°52'9.38"</t>
  </si>
  <si>
    <t>4°52'9.38" N</t>
  </si>
  <si>
    <t>4°52'9.38" N, 76°15'2.33" W</t>
  </si>
  <si>
    <t>Acosta-Arteaga C.E. 412</t>
  </si>
  <si>
    <t>MEDEL 16208</t>
  </si>
  <si>
    <t>Colombia, Cundinamarca, Gachetá, confluencia entre los rios Nemegatá y Salinero.</t>
  </si>
  <si>
    <t>MEDEL16208</t>
  </si>
  <si>
    <t>Gachetá</t>
  </si>
  <si>
    <t>confluencia entre los rios Nemegatá y Salinero.</t>
  </si>
  <si>
    <t>Acosta-Arteaga 870</t>
  </si>
  <si>
    <t>COL 000336647</t>
  </si>
  <si>
    <t>Colombia, Cundinamarca, Tibacuy, carretera hacia Silvania.</t>
  </si>
  <si>
    <t>COL000336647</t>
  </si>
  <si>
    <t>Tibacuy</t>
  </si>
  <si>
    <t>carretera hacia Silvania.</t>
  </si>
  <si>
    <t>Lozano G. et al., 7199</t>
  </si>
  <si>
    <t>HUA 114452</t>
  </si>
  <si>
    <t>Colombia, Cundinamarca, Yacopí, Insp. De Policía de Guadualito, vereda de La Laguna.</t>
  </si>
  <si>
    <t>Insp. De Policía de Guadualito, vereda de La Laguna.</t>
  </si>
  <si>
    <t>Triana-Moreno L.A. et al., 196</t>
  </si>
  <si>
    <t>COL 000070300</t>
  </si>
  <si>
    <t>Colombia, Cundinamarca, Albán, a lo largo del ferrocarril entre el casco urbano y el peaje de Jalisco, vertiente occidental de la Cordillera Oriental.</t>
  </si>
  <si>
    <t>W 74°26'</t>
  </si>
  <si>
    <t>74°26' W</t>
  </si>
  <si>
    <t>04°52' N, 74°26' W</t>
  </si>
  <si>
    <t>-74.4333333</t>
  </si>
  <si>
    <t>4.8666667,-74.4333333</t>
  </si>
  <si>
    <t>a lo largo del ferrocarril entre el casco urbano y el peaje de Jalisco, vertiente occidental de la Cordillera Oriental.</t>
  </si>
  <si>
    <t>Pabón M. et al., 398</t>
  </si>
  <si>
    <t>COL 000336570</t>
  </si>
  <si>
    <t>Colombia, Guainía caserio del Sejal, río Guainía.</t>
  </si>
  <si>
    <t>COL000336570</t>
  </si>
  <si>
    <t>Guainía caserio del Sejal</t>
  </si>
  <si>
    <t>río Guainía.</t>
  </si>
  <si>
    <t>Stevenson P. 1223</t>
  </si>
  <si>
    <t>COL 000335763</t>
  </si>
  <si>
    <t>Colombia, Guaviare, al este del Retorno, cerca del caño Mico, cerca a la escuela La Morichera.</t>
  </si>
  <si>
    <t>COL000335763</t>
  </si>
  <si>
    <t>al este del Retorno</t>
  </si>
  <si>
    <t>cerca del caño Mico, cerca a la escuela La Morichera.</t>
  </si>
  <si>
    <t>López R. et al., 813</t>
  </si>
  <si>
    <t>COL 000336543</t>
  </si>
  <si>
    <t>Colombia, Guaviare, San José del Guaviare, en inmediaciones de Ciudad de Piedra, Serranía La Lindosa, carretera San José-El Capricho.</t>
  </si>
  <si>
    <t>N 02°28'28"</t>
  </si>
  <si>
    <t>02°28'28" N</t>
  </si>
  <si>
    <t>W 72°41'48"</t>
  </si>
  <si>
    <t>72°41'48" W</t>
  </si>
  <si>
    <t>02°28'28" N, 72°41'48" W</t>
  </si>
  <si>
    <t>2.4744444</t>
  </si>
  <si>
    <t>-72.6966667</t>
  </si>
  <si>
    <t>2.4744444,-72.6966667</t>
  </si>
  <si>
    <t>en inmediaciones de Ciudad de Piedra, Serranía La Lindosa, carretera San José-El Capricho.</t>
  </si>
  <si>
    <t>Osorio G. 11</t>
  </si>
  <si>
    <t>COL 248588</t>
  </si>
  <si>
    <t>Colombia, Huila, Pitalito, 3 km delante de vereda Charguayaco, vía San Adolfo.</t>
  </si>
  <si>
    <t>3 km delante de vereda Charguayaco, vía San Adolfo.</t>
  </si>
  <si>
    <t>COL 248587</t>
  </si>
  <si>
    <t>Llanos F. &amp; J. Camacho 1648a</t>
  </si>
  <si>
    <t>COL 405388</t>
  </si>
  <si>
    <t>Colombia, Huila, Colombia, inspección de Santa Ana, camino haia El Cerro de La Cruz, zona con vegetación poco alterada.</t>
  </si>
  <si>
    <t>inspección de Santa Ana, camino haia El Cerro de La Cruz, zona con vegetación poco alterada.</t>
  </si>
  <si>
    <t>Llanos F.  &amp; W.F. Gerardino 2684</t>
  </si>
  <si>
    <t>COL 410396</t>
  </si>
  <si>
    <t>Colombia, Huila, Neiva, carretera La Vega, Quebrada el Mico.</t>
  </si>
  <si>
    <t>N 02°55'43.45"</t>
  </si>
  <si>
    <t>02°55'43.45" N</t>
  </si>
  <si>
    <t>W 75°17'02.94"</t>
  </si>
  <si>
    <t>75°17'02.94" W</t>
  </si>
  <si>
    <t>02°55'43.45" N, 75°17'02.94" W</t>
  </si>
  <si>
    <t>2.9287361</t>
  </si>
  <si>
    <t>-75.28415</t>
  </si>
  <si>
    <t>2.9287361,-75.28415</t>
  </si>
  <si>
    <t>carretera La Vega, Quebrada el Mico.</t>
  </si>
  <si>
    <t>Sanín D &amp; E. Sanín 3202</t>
  </si>
  <si>
    <t>Colombia, Huila, Pitalito,  vereda Charguayaco, Reserva de la comunidad El Arroyo.</t>
  </si>
  <si>
    <t>N 01°46' 8.33"</t>
  </si>
  <si>
    <t>01°46' 8.33" N</t>
  </si>
  <si>
    <t>01°46' 8.33" N, 76°1'7.44" W</t>
  </si>
  <si>
    <t>vereda Charguayaco, Reserva de la comunidad El Arroyo.</t>
  </si>
  <si>
    <t>Sanín D. &amp; E. Sanín 3213</t>
  </si>
  <si>
    <t>Colombia, Huila, Pitalito, vereda Charguayaco, Reserva comunidad El Arroyuelo.</t>
  </si>
  <si>
    <t>vereda Charguayaco, Reserva comunidad El Arroyuelo.</t>
  </si>
  <si>
    <t>Kirkbride J.H. 2459</t>
  </si>
  <si>
    <t>COL 000336553</t>
  </si>
  <si>
    <t>COLombia, Magdalena, Sierra Nevada de Santa Marta, on trochas on finca Los Arroyitos.</t>
  </si>
  <si>
    <t>N 10° 56'</t>
  </si>
  <si>
    <t>10° 56' N</t>
  </si>
  <si>
    <t>10° 56' N, 73°58' W</t>
  </si>
  <si>
    <t>COLombia</t>
  </si>
  <si>
    <t>on trochas on finca Los Arroyitos.</t>
  </si>
  <si>
    <t>Idrobo J.M. &amp; R. E. Schultes 876</t>
  </si>
  <si>
    <t>COL 000336604</t>
  </si>
  <si>
    <t>Colombia, Meta, cordillera La Macarena (extremo nordeste), macizo Renjifo, faldas orientales.</t>
  </si>
  <si>
    <t>600-1300</t>
  </si>
  <si>
    <t>cordillera La Macarena (extremo nordeste)</t>
  </si>
  <si>
    <t>macizo Renjifo, faldas orientales.</t>
  </si>
  <si>
    <t>Jaramillo-Mejía R. et al., 1038</t>
  </si>
  <si>
    <t>COL 000336527</t>
  </si>
  <si>
    <t>Colombia, Meta, Llanos de San Martín, La Serranía, hoya del río Ariari, laguna inundable en la Laguna de Aguasucia.</t>
  </si>
  <si>
    <t>COL000336527</t>
  </si>
  <si>
    <t>Llanos de San Martín</t>
  </si>
  <si>
    <t>La Serranía, hoya del río Ariari, laguna inundable en la Laguna de Aguasucia.</t>
  </si>
  <si>
    <t>Echeverry R. 2075</t>
  </si>
  <si>
    <t>TOLI 1882</t>
  </si>
  <si>
    <t>Colombia, Meta, primeros cerros al sur de La Macarena, frente al río Guayabero.</t>
  </si>
  <si>
    <t>TOLI1882</t>
  </si>
  <si>
    <t>primeros cerros al sur de La Macarena</t>
  </si>
  <si>
    <t>frente al río Guayabero.</t>
  </si>
  <si>
    <t>COL 000336615</t>
  </si>
  <si>
    <t>Echeverry R. 2133</t>
  </si>
  <si>
    <t>COL 000336614</t>
  </si>
  <si>
    <t>Colombia, Meta, carretera entre Villavicencio-Acacias, a 7 km, finca La Reforma.</t>
  </si>
  <si>
    <t>Usé de referencia el punto de un gacetero</t>
  </si>
  <si>
    <t>COL000336614</t>
  </si>
  <si>
    <t>carretera entre Villavicencio-Acacias</t>
  </si>
  <si>
    <t>a 7 km, finca La Reforma.</t>
  </si>
  <si>
    <t>Murillo M.T. &amp; M.A. Harker 2120</t>
  </si>
  <si>
    <t>COL 000336526</t>
  </si>
  <si>
    <t>Colombia, Meta, carretera Quetame-Villavicencio.</t>
  </si>
  <si>
    <t>Dentro de Villavicencio, la vía no supera una elevación de 1.000 msnm</t>
  </si>
  <si>
    <t>COL000336526</t>
  </si>
  <si>
    <t>carretera Quetame-Villavicencio.</t>
  </si>
  <si>
    <t>Murillo M.T. &amp; M.A. Harker 2144</t>
  </si>
  <si>
    <t>COL 000336582</t>
  </si>
  <si>
    <t>Colombia, Meta, carretera entre Villavicencio, Cumaral y La Medina.</t>
  </si>
  <si>
    <t>En la vía a estos 3 municipios, no encontr{e un punto por encima de los 500 msnm</t>
  </si>
  <si>
    <t>COL000336582</t>
  </si>
  <si>
    <t>carretera entre Villavicencio</t>
  </si>
  <si>
    <t>Cumaral y La Medina.</t>
  </si>
  <si>
    <t>Muñoz-E. E.L. 1995</t>
  </si>
  <si>
    <t>CAUP 18831</t>
  </si>
  <si>
    <t>Colombia, Piamonte, corregimiento de Nápoles, vereda La Florida. Serranía de los Churumbelos.</t>
  </si>
  <si>
    <t xml:space="preserve">N 01° 07’ 3.4" </t>
  </si>
  <si>
    <t>01° 07’ 3.4" N</t>
  </si>
  <si>
    <t>W 76° 19’ 11.9"</t>
  </si>
  <si>
    <t>76° 19’ 11.9" W</t>
  </si>
  <si>
    <t>01° 07’ 3.4" N, 76° 19’ 11.9" W</t>
  </si>
  <si>
    <t>1.1176111</t>
  </si>
  <si>
    <t>-76.3199722</t>
  </si>
  <si>
    <t>1.1176111,-76.3199722</t>
  </si>
  <si>
    <t>corregimiento de Nápoles</t>
  </si>
  <si>
    <t>vereda La Florida. Serranía de los Churumbelos.</t>
  </si>
  <si>
    <t>Hagemann W. &amp; Leist 2047</t>
  </si>
  <si>
    <t>COL 000336655</t>
  </si>
  <si>
    <t>Colombia, Putumayo, Mocoa, El Pepino.</t>
  </si>
  <si>
    <t>El Pepino.</t>
  </si>
  <si>
    <t>PSO 14743</t>
  </si>
  <si>
    <t>Arbelaez G. et al., 1188</t>
  </si>
  <si>
    <t>HUA 61905</t>
  </si>
  <si>
    <t>Colombia, Quindio, La Tebaida, vereda La Argentina, Finca Santa Fé, margén izquierda de la Quebrada La Argentina.</t>
  </si>
  <si>
    <t>N 04°26'31.90"</t>
  </si>
  <si>
    <t>04°26'31.90" N</t>
  </si>
  <si>
    <t>W 75°47'29.66"</t>
  </si>
  <si>
    <t>75°47'29.66" W</t>
  </si>
  <si>
    <t>04°26'31.90" N, 75°47'29.66" W</t>
  </si>
  <si>
    <t>4.4421944</t>
  </si>
  <si>
    <t>-75.7915722</t>
  </si>
  <si>
    <t>4.4421944,-75.7915722</t>
  </si>
  <si>
    <t>La Tebaida</t>
  </si>
  <si>
    <t>vereda La Argentina, Finca Santa Fé, margén izquierda de la Quebrada La Argentina.</t>
  </si>
  <si>
    <t>HUQ 2967</t>
  </si>
  <si>
    <t>Vélez M.C. et al., 608</t>
  </si>
  <si>
    <t>HUQ 6787</t>
  </si>
  <si>
    <t>Colombia, Quindio, Filandia, vereda La Mesa Alta, finca La Congoja.</t>
  </si>
  <si>
    <t>04°40' N, 75°38' W</t>
  </si>
  <si>
    <t>4.6666667,-75.6333333</t>
  </si>
  <si>
    <t>HUQ6787</t>
  </si>
  <si>
    <t>vereda La Mesa Alta, finca La Congoja.</t>
  </si>
  <si>
    <t>Vélez M.C. et al., 4936</t>
  </si>
  <si>
    <t>HUQ 14869</t>
  </si>
  <si>
    <t>Colombia, Quindio, Ciscasia, vereda Buenavista, finca Calamar.</t>
  </si>
  <si>
    <t>N 04°37'40.59"</t>
  </si>
  <si>
    <t>04°37'40.59" N</t>
  </si>
  <si>
    <t>W 75°38'00.73"</t>
  </si>
  <si>
    <t>75°38'00.73" W</t>
  </si>
  <si>
    <t>04°37'40.59" N, 75°38'00.73" W</t>
  </si>
  <si>
    <t>4.6279417</t>
  </si>
  <si>
    <t>-75.6335361</t>
  </si>
  <si>
    <t>4.6279417,-75.6335361</t>
  </si>
  <si>
    <t>HUQ14869</t>
  </si>
  <si>
    <t>Ciscasia</t>
  </si>
  <si>
    <t>vereda Buenavista, finca Calamar.</t>
  </si>
  <si>
    <t>Vélez M.C. et al., 6246</t>
  </si>
  <si>
    <t>HUQ 16903</t>
  </si>
  <si>
    <t>Colombia, Quindio, vereda San Rafaél, bosque intervenido a la orilla de río Santo Domingo.</t>
  </si>
  <si>
    <t>HUQ16903</t>
  </si>
  <si>
    <t>vereda San Rafaél</t>
  </si>
  <si>
    <t>bosque intervenido a la orilla de río Santo Domingo.</t>
  </si>
  <si>
    <t>Sanín D. et al., 3053</t>
  </si>
  <si>
    <t>FAUC cxx</t>
  </si>
  <si>
    <t>Colombia, Quindio, Filandia, condominio Lusitania, cañón del Río Barbas.</t>
  </si>
  <si>
    <t>N 04°42'048"</t>
  </si>
  <si>
    <t>04°42'048" N</t>
  </si>
  <si>
    <t>W 75°38'37"</t>
  </si>
  <si>
    <t>75°38'37" W</t>
  </si>
  <si>
    <t>04°42'048" N, 75°38'37" W</t>
  </si>
  <si>
    <t>4.7001333</t>
  </si>
  <si>
    <t>-75.6436111</t>
  </si>
  <si>
    <t>4.7001333,-75.6436111</t>
  </si>
  <si>
    <t>D_Sanín3053</t>
  </si>
  <si>
    <t>condominio Lusitania, cañón del Río Barbas.</t>
  </si>
  <si>
    <t>Vélez M.C. et al., 7530</t>
  </si>
  <si>
    <t>COL 410032</t>
  </si>
  <si>
    <t>Colombia, Quindío, Filandia, vereda La Cauchera, finca El Recreo.</t>
  </si>
  <si>
    <t>vereda La Cauchera, finca El Recreo.</t>
  </si>
  <si>
    <t>Vélez M.C. et al., 5730</t>
  </si>
  <si>
    <t>HUQ 15940</t>
  </si>
  <si>
    <t>Vélez M.C. et al., 6679</t>
  </si>
  <si>
    <t>HUQ 18588</t>
  </si>
  <si>
    <t>Colombia, Quindío, Montenegro, vereda El Castillo, bosque relicutual.</t>
  </si>
  <si>
    <t>N 04°33'28.54"</t>
  </si>
  <si>
    <t>04°33'28.54" N</t>
  </si>
  <si>
    <t>W 75°45'16.53"</t>
  </si>
  <si>
    <t>75°45'16.53" W</t>
  </si>
  <si>
    <t>04°33'28.54" N, 75°45'16.53" W</t>
  </si>
  <si>
    <t>4.5579278</t>
  </si>
  <si>
    <t>-75.7545917</t>
  </si>
  <si>
    <t>4.5579278,-75.7545917</t>
  </si>
  <si>
    <t>Montenegro</t>
  </si>
  <si>
    <t>vereda El Castillo, bosque relicutual.</t>
  </si>
  <si>
    <t>Vélez M.C. et al., 6948</t>
  </si>
  <si>
    <t>HUQ 22165</t>
  </si>
  <si>
    <t>Colombia, Quindío, Circasia, vereda Barcelona baja, Calamar, selva relictual intervenida.</t>
  </si>
  <si>
    <t>N 04°37'40.59</t>
  </si>
  <si>
    <t>04°37'40.59 N</t>
  </si>
  <si>
    <t>04°37'40.59 N, 75°38'00.73" W</t>
  </si>
  <si>
    <t>HUQ22165</t>
  </si>
  <si>
    <t>Circasia</t>
  </si>
  <si>
    <t>vereda Barcelona baja, Calamar, selva relictual intervenida.</t>
  </si>
  <si>
    <t>Sanín  D. &amp; V. Torrez 5120</t>
  </si>
  <si>
    <t>Torres-R. J.H. 2676</t>
  </si>
  <si>
    <t>COL 264070</t>
  </si>
  <si>
    <t>Colombia, Santander, Charalá, corregimiento de Virolín, camino El Reloj, en vallecito y alrededores de la quebrada La Lanosa.</t>
  </si>
  <si>
    <t>COL264070</t>
  </si>
  <si>
    <t>corregimiento de Virolín, camino El Reloj, en vallecito y alrededores de la quebrada La Lanosa.</t>
  </si>
  <si>
    <t>Aguilar C. 79</t>
  </si>
  <si>
    <t>TOLI 1258</t>
  </si>
  <si>
    <t>Colombia, Tolima, Villa Rica.</t>
  </si>
  <si>
    <t>TOLI1258</t>
  </si>
  <si>
    <t>Villa Rica.</t>
  </si>
  <si>
    <t>Forero A. et al., 17</t>
  </si>
  <si>
    <t>TOLI 8898</t>
  </si>
  <si>
    <t>Colombia, Tolima, Ibagué, Universidad del Tolima.</t>
  </si>
  <si>
    <t>Universidad del Tolima.</t>
  </si>
  <si>
    <t>Cabrera I. 471</t>
  </si>
  <si>
    <t>COL 98316</t>
  </si>
  <si>
    <t>Colombia, Valle, Bajo Calima.</t>
  </si>
  <si>
    <t>Bajo Calima.</t>
  </si>
  <si>
    <t>Balcázar H. 9</t>
  </si>
  <si>
    <t>CAUV 2757</t>
  </si>
  <si>
    <t>Colombia, Valle, Hoya del Río Anchicayá.</t>
  </si>
  <si>
    <t>Hoya del Río Anchicayá.</t>
  </si>
  <si>
    <t>W. Hagemann 475</t>
  </si>
  <si>
    <t>COL 118604</t>
  </si>
  <si>
    <t>Valle, Buenaventura, sobre Rizophora</t>
  </si>
  <si>
    <t>COL118604</t>
  </si>
  <si>
    <t>sobre Rizophora</t>
  </si>
  <si>
    <t>Hagemann W. &amp; Leist 1446</t>
  </si>
  <si>
    <t>COL 214294</t>
  </si>
  <si>
    <t>Acosta-Arteaga C.A. 1048</t>
  </si>
  <si>
    <t>COL 160538</t>
  </si>
  <si>
    <t>Colombia, Valle, Alcalá, carretera a Filandia.</t>
  </si>
  <si>
    <t>sn</t>
  </si>
  <si>
    <t>COL160538</t>
  </si>
  <si>
    <t>Alcalá</t>
  </si>
  <si>
    <t>carretera a Filandia.</t>
  </si>
  <si>
    <t>F.A. Silverstone-Sopkin 1108</t>
  </si>
  <si>
    <t>CUVC 12877</t>
  </si>
  <si>
    <t>Valle, Calima, Valle del Río Bravo, cerca de Playa Rica, Cordillera Occidental.</t>
  </si>
  <si>
    <t>CUVC12877</t>
  </si>
  <si>
    <t>Calima</t>
  </si>
  <si>
    <t>Valle del Río Bravo, cerca de Playa Rica, Cordillera Occidental.</t>
  </si>
  <si>
    <t>F.A. Silverstone-Sopkin 3543</t>
  </si>
  <si>
    <t>CUVC 14927</t>
  </si>
  <si>
    <t>Valle, Calí, Universidad del Valle, atraz del edificio de Administración,</t>
  </si>
  <si>
    <t>CUVC14927</t>
  </si>
  <si>
    <t xml:space="preserve">Universidad del Valle, atraz del edificio de Administración, </t>
  </si>
  <si>
    <t>D. Sanín &amp; N. Castaño 1010</t>
  </si>
  <si>
    <t>CUVC 37202</t>
  </si>
  <si>
    <t>Valle, Buenavanetura, Ladrilleros, La Barra.</t>
  </si>
  <si>
    <t>CUVC37202</t>
  </si>
  <si>
    <t>Buenavanetura</t>
  </si>
  <si>
    <t>Ladrilleros, La Barra.</t>
  </si>
  <si>
    <t>FAUC 11740</t>
  </si>
  <si>
    <t>Heredia M.D. &amp; L.M. Alvaréz 373</t>
  </si>
  <si>
    <t>CUVC 19961</t>
  </si>
  <si>
    <t>Colombia, Valle,Dagua, Hda. Río Grande,  Cañón del Río Grande, antes de cruzar el puente sobre el río.</t>
  </si>
  <si>
    <t>CUVC19961</t>
  </si>
  <si>
    <t>Dagua</t>
  </si>
  <si>
    <t>Hda. Río Grande, Cañón del Río Grande, antes de cruzar el puente sobre el río.</t>
  </si>
  <si>
    <t>H. Belalcazár 09</t>
  </si>
  <si>
    <t>CUVC 2757</t>
  </si>
  <si>
    <t>Valle del Cauca, Valle del Lili.</t>
  </si>
  <si>
    <t>CUVC2757</t>
  </si>
  <si>
    <t>Valle del Lili.</t>
  </si>
  <si>
    <t>Sanín D. 4207</t>
  </si>
  <si>
    <t>Colombia, Valle del Cauca, Buenaventura, Vista Hermosa Piangüita.</t>
  </si>
  <si>
    <t>D_Sanín4207</t>
  </si>
  <si>
    <t>Vista Hermosa Piangüita.</t>
  </si>
  <si>
    <t>Schultes R.E. &amp; I. Cabrera 17252</t>
  </si>
  <si>
    <t>COL 00033661</t>
  </si>
  <si>
    <t>Colombia, Vaupes, Río Piraparaná, (tributary of Río Apaporis, Caño Teemeeña.</t>
  </si>
  <si>
    <t>N 0°15'</t>
  </si>
  <si>
    <t>0°15' N</t>
  </si>
  <si>
    <t>W 70°30'</t>
  </si>
  <si>
    <t>70°30' W</t>
  </si>
  <si>
    <t>0°15' N, 70°30' W</t>
  </si>
  <si>
    <t>0.25</t>
  </si>
  <si>
    <t>-70.5</t>
  </si>
  <si>
    <t>0.25,-70.5</t>
  </si>
  <si>
    <t>Vaupes</t>
  </si>
  <si>
    <t>Río Piraparaná</t>
  </si>
  <si>
    <t>(tributary of Río Apaporis, Caño Teemeeña.</t>
  </si>
  <si>
    <t>COL 000336633</t>
  </si>
  <si>
    <t>Pinto-E. P. &amp; C. Sastre 1216</t>
  </si>
  <si>
    <t>COL 000336637</t>
  </si>
  <si>
    <t>Colombia, Vichada, Hato Canáima, limites entre Vichada y Meta, carretera a Puerto Carreño, entre El Porvenir y Sta. Rosalía, cerca a Carijén.</t>
  </si>
  <si>
    <t>COL000336637</t>
  </si>
  <si>
    <t>Vichada</t>
  </si>
  <si>
    <t>Hato Canáima</t>
  </si>
  <si>
    <t>limites entre Vichada y Meta, carretera a Puerto Carreño, entre El Porvenir y Sta. Rosalía, cerca a Carijén.</t>
  </si>
  <si>
    <t>S. wagneri (Mett.) A.R.Sm.</t>
  </si>
  <si>
    <t>Serpocaulon wagneri</t>
  </si>
  <si>
    <t>Mercado J. 21</t>
  </si>
  <si>
    <t>HUA 735</t>
  </si>
  <si>
    <t>Colombia, Antioquia, Caceres, corregimiento de Manizales.</t>
  </si>
  <si>
    <t>s/a</t>
  </si>
  <si>
    <t>N 07°50'</t>
  </si>
  <si>
    <t>07°50' N</t>
  </si>
  <si>
    <t>W 75°25'</t>
  </si>
  <si>
    <t>75°25' W</t>
  </si>
  <si>
    <t>07°50' N, 75°25' W</t>
  </si>
  <si>
    <t>7.8333333</t>
  </si>
  <si>
    <t>-75.4166667</t>
  </si>
  <si>
    <t>7.8333333,-75.4166667</t>
  </si>
  <si>
    <t>Caceres</t>
  </si>
  <si>
    <t>corregimiento de Manizales.</t>
  </si>
  <si>
    <t>Giraldo R. et al., 112</t>
  </si>
  <si>
    <t>HUA 52161</t>
  </si>
  <si>
    <t>Colombia, Antioquia, Mutatá, vereda Caucheras.</t>
  </si>
  <si>
    <t>N 07°14'</t>
  </si>
  <si>
    <t>07°14' N</t>
  </si>
  <si>
    <t>W 76°25'</t>
  </si>
  <si>
    <t>76°25' W</t>
  </si>
  <si>
    <t>07°14' N, 76°25' W</t>
  </si>
  <si>
    <t>7.2333333</t>
  </si>
  <si>
    <t>7.2333333,-76.4166667</t>
  </si>
  <si>
    <t>Mutatá</t>
  </si>
  <si>
    <t>vereda Caucheras.</t>
  </si>
  <si>
    <t>Fernandez J. L. 15960</t>
  </si>
  <si>
    <t>COL 475583</t>
  </si>
  <si>
    <t>Colombia, Cundinamarca, Ubala B. Inspeccion de policia Manbita. Campamento Emgesa.</t>
  </si>
  <si>
    <t>N 04°46'10"</t>
  </si>
  <si>
    <t>04°46'10" N</t>
  </si>
  <si>
    <t>W 73°19'26"</t>
  </si>
  <si>
    <t>73°19'26" W</t>
  </si>
  <si>
    <t>04°46'10" N, 73°19'26" W</t>
  </si>
  <si>
    <t>4.7694444</t>
  </si>
  <si>
    <t>4.7694444,-73.3238889</t>
  </si>
  <si>
    <t>Ubala B. Inspeccion de policia Manbita. Campamento Emgesa.</t>
  </si>
  <si>
    <t>Fernandez J. L. 16217</t>
  </si>
  <si>
    <t>COL 475586</t>
  </si>
  <si>
    <t>Colombia, Cundinamarca, Ubala B. Vereda San Roque, camino a Campo Hermoso.</t>
  </si>
  <si>
    <t>N 04°45'50"</t>
  </si>
  <si>
    <t>04°45'50" N</t>
  </si>
  <si>
    <t>W 73°20'56"</t>
  </si>
  <si>
    <t>73°20'56" W</t>
  </si>
  <si>
    <t>04°45'50" N, 73°20'56" W</t>
  </si>
  <si>
    <t>4.7638889</t>
  </si>
  <si>
    <t>-73.3488889</t>
  </si>
  <si>
    <t>4.7638889,-73.3488889</t>
  </si>
  <si>
    <t>Ubala B. Vereda San Roque</t>
  </si>
  <si>
    <t>camino a Campo Hermoso.</t>
  </si>
  <si>
    <t>Schlim 636</t>
  </si>
  <si>
    <t>BR 697081</t>
  </si>
  <si>
    <t xml:space="preserve">Colombia, Norte de Santander Ocaña, San Pedro, </t>
  </si>
  <si>
    <t>1/05/1846</t>
  </si>
  <si>
    <t>BR697081</t>
  </si>
  <si>
    <t>Norte de Santander Ocaña</t>
  </si>
  <si>
    <t>San Pedro</t>
  </si>
  <si>
    <t>S. X manizalense</t>
  </si>
  <si>
    <t>Serpocaulon x manizalense</t>
  </si>
  <si>
    <t>D. Sanín et al., 2646</t>
  </si>
  <si>
    <t>Colombia, Caldas, vía Neira, cerca del Relleno Sanitario La Esmeralda, zona derecha que se pronostica conservar en la…</t>
  </si>
  <si>
    <t>2070-2200</t>
  </si>
  <si>
    <t xml:space="preserve">N 5°05' </t>
  </si>
  <si>
    <t>5°05' N</t>
  </si>
  <si>
    <t>5°05' N, 75°30'30.5" W</t>
  </si>
  <si>
    <t>5.0833333</t>
  </si>
  <si>
    <t>5.0833333,-75.5084722</t>
  </si>
  <si>
    <t>vía Neira</t>
  </si>
  <si>
    <t>cerca del Relleno Sanitario La Esmeralda, zona derecha que se pronostica conservar en la…</t>
  </si>
  <si>
    <t>S. X semipinnatifidum  (Fée) A.R.Sm.</t>
  </si>
  <si>
    <t>Serpocaulon x semipinnatifidum</t>
  </si>
  <si>
    <t>Hno. Daniel s/n</t>
  </si>
  <si>
    <t>COL 121433</t>
  </si>
  <si>
    <t>Colombia, Antioquia, Jericó.</t>
  </si>
  <si>
    <t>N 05°47'23.24"</t>
  </si>
  <si>
    <t>05°47'23.24" N</t>
  </si>
  <si>
    <t>W 75°47'06.40"</t>
  </si>
  <si>
    <t>75°47'06.40" W</t>
  </si>
  <si>
    <t>05°47'23.24" N, 75°47'06.40" W</t>
  </si>
  <si>
    <t>5.7897889</t>
  </si>
  <si>
    <t>-75.7851111</t>
  </si>
  <si>
    <t>5.7897889,-75.7851111</t>
  </si>
  <si>
    <t>Jericó.</t>
  </si>
  <si>
    <t>Hno. Daniel 42</t>
  </si>
  <si>
    <t>COL 167977</t>
  </si>
  <si>
    <t>Colombia, Antioquia, Rionegro.</t>
  </si>
  <si>
    <t>Rionegro.</t>
  </si>
  <si>
    <t>COL 121923</t>
  </si>
  <si>
    <t>Colombia, Antioquia, Laguna de Guarne.</t>
  </si>
  <si>
    <t>Laguna de Guarne.</t>
  </si>
  <si>
    <t>Little E.L. jr. 9353</t>
  </si>
  <si>
    <t>COL 88434</t>
  </si>
  <si>
    <t>Colombia, Huila, 15 km SE of Garzón.</t>
  </si>
  <si>
    <t>N 02°11'49.77"</t>
  </si>
  <si>
    <t>02°11'49.77" N</t>
  </si>
  <si>
    <t>W 75°38'17.76"</t>
  </si>
  <si>
    <t>75°38'17.76" W</t>
  </si>
  <si>
    <t>02°11'49.77" N, 75°38'17.76" W</t>
  </si>
  <si>
    <t>2.1971583</t>
  </si>
  <si>
    <t>-75.6382667</t>
  </si>
  <si>
    <t>2.1971583,-75.6382667</t>
  </si>
  <si>
    <t>15 km SE of Garzón.</t>
  </si>
  <si>
    <t>Hodge W.H. 6648</t>
  </si>
  <si>
    <t>COL 69516</t>
  </si>
  <si>
    <t>Colombia, Antioquia, Medellín-Las Palmas, bosque bajo de la cumbre de Las Palmas, en la vía entre Medellín-Las Palmas.</t>
  </si>
  <si>
    <t>COL69516</t>
  </si>
  <si>
    <t>Medellín-Las Palmas</t>
  </si>
  <si>
    <t>bosque bajo de la cumbre de Las Palmas, en la vía entre Medellín-Las Palmas.</t>
  </si>
  <si>
    <t>Barkley F.A. &amp; Gutiérrez-V. G. 1498</t>
  </si>
  <si>
    <t>COL 70761</t>
  </si>
  <si>
    <t>Johnson W.M. &amp; F.A. Barkley 18c792</t>
  </si>
  <si>
    <t>COL 43234</t>
  </si>
  <si>
    <t>Colombia, Sonsón, en una area pantanosa</t>
  </si>
  <si>
    <t>en una area pantanosa</t>
  </si>
  <si>
    <t>Murillo M.T. &amp; R. Jaramillo 1324</t>
  </si>
  <si>
    <t>COL 000336480</t>
  </si>
  <si>
    <t>Colombia, Santander del Norte, al oriente de Pamplona, páramo de Fontibón.</t>
  </si>
  <si>
    <t>COL000336480</t>
  </si>
  <si>
    <t>Santander del Norte</t>
  </si>
  <si>
    <t>al oriente de Pamplona</t>
  </si>
  <si>
    <t>páramo de Fontibón.</t>
  </si>
  <si>
    <t>Nee M &amp; S. Mori 3833</t>
  </si>
  <si>
    <t>Colombia, Antioquia, from Medellín-Guarne road, piedras Blancas area, mostly planted to Cupressus, Pinus and other conifers, but with many shrubby Compositae and Melastomataceae (Tibouchina lepidota, Blakea sphaerica).</t>
  </si>
  <si>
    <t>06°17' N, 75°30' W</t>
  </si>
  <si>
    <t>from Medellín-Guarne road</t>
  </si>
  <si>
    <t>piedras Blancas area, mostly planted to Cupressus, Pinus and other conifers, but with many shrubby Compositae and Melastomataceae (Tibouchina lepidota, Blakea sphaerica).</t>
  </si>
  <si>
    <t>HUA 4207</t>
  </si>
  <si>
    <t>Soejarto D.D. et al., 3040</t>
  </si>
  <si>
    <t>HUA 4142</t>
  </si>
  <si>
    <t>Colombia, Antioquia, Guarne, Piedras Blancas submontane Quercus forest.</t>
  </si>
  <si>
    <t>Piedras Blancas submontane Quercus forest.</t>
  </si>
  <si>
    <t>COL 130442</t>
  </si>
  <si>
    <t>Atehortúa L. 117</t>
  </si>
  <si>
    <t>HUA 595</t>
  </si>
  <si>
    <t>Colombia, Antioquia, Medellín, Jardín de los Helechos Maria T. Murillo, Jardín Botánico.</t>
  </si>
  <si>
    <t>Jardín de los Helechos Maria T. Murillo, Jardín Botánico.</t>
  </si>
  <si>
    <t>Albert de Escobar L. et al., 3695</t>
  </si>
  <si>
    <t>HUA 20254</t>
  </si>
  <si>
    <t>Colombia, Antioquia, Caldas, Finca La Oculta, bosque húmedo.</t>
  </si>
  <si>
    <t>Finca La Oculta, bosque húmedo.</t>
  </si>
  <si>
    <t>Roldán F.J. et al., 34</t>
  </si>
  <si>
    <t>HUA 24023</t>
  </si>
  <si>
    <t>Colombia, Antioquia, Guatapé, vereda Pierdas Blancas, carca a la represa, bmhMB.</t>
  </si>
  <si>
    <t>vereda Pierdas Blancas, carca a la represa, bmhMB.</t>
  </si>
  <si>
    <t>Morales S &amp; J.R. Giraldo 3953</t>
  </si>
  <si>
    <t>HUA 20895</t>
  </si>
  <si>
    <t>Colombia, Antioquia, Caldas, vereda La Corrala, Finca La Zarza, bosque húmedo.</t>
  </si>
  <si>
    <t>vereda La Corrala, Finca La Zarza, bosque húmedo.</t>
  </si>
  <si>
    <t>Albert de Escobar L. et al., 3957</t>
  </si>
  <si>
    <t>HUA 20913</t>
  </si>
  <si>
    <t>Albert de Escobar L. et al., 4179</t>
  </si>
  <si>
    <t>HUA 21232</t>
  </si>
  <si>
    <t>Colombia, Tolima, 9 km de Murillo, hacia Líbano, en Bosque perturbado dominado por Quercus.</t>
  </si>
  <si>
    <t>W 75°10'38.47</t>
  </si>
  <si>
    <t>75°10'38.47 W</t>
  </si>
  <si>
    <t>04°52'11.20" N, 75°10'38.47 W</t>
  </si>
  <si>
    <t>9 km de Murillo</t>
  </si>
  <si>
    <t>hacia Líbano, en Bosque perturbado dominado por Quercus.</t>
  </si>
  <si>
    <t>Fonnegra R. et al., 2234</t>
  </si>
  <si>
    <t>HUA 37515</t>
  </si>
  <si>
    <t>Arbelaez A.L. et al., 112</t>
  </si>
  <si>
    <t>HUA 12233</t>
  </si>
  <si>
    <t>Colombia, Antioquia, Sonsón, páramo de Sonsón.</t>
  </si>
  <si>
    <t>páramo de Sonsón.</t>
  </si>
  <si>
    <t>Arbelaez A.L. et al., 108</t>
  </si>
  <si>
    <t>HUA 47281</t>
  </si>
  <si>
    <t>Zarucchi J.L. et al., 6290</t>
  </si>
  <si>
    <t>COL 399039</t>
  </si>
  <si>
    <t>Colombia, Antioquia, San Pedro, kn 10 of road San Pedro-Entrerrios, disturbet montane forest near road.</t>
  </si>
  <si>
    <t>06°30' N, 75°32' W</t>
  </si>
  <si>
    <t>6.5,-75.5333333</t>
  </si>
  <si>
    <t>kn 10 of road San Pedro-Entrerrios, disturbet montane forest near road.</t>
  </si>
  <si>
    <t>MacDougal J.M. &amp; F.J. Roldán 3627</t>
  </si>
  <si>
    <t>HUA 62285</t>
  </si>
  <si>
    <t>Colombia, Antioquia, Entrerios, ca 3 km from Entrerrios on the road to Santa Rosa de Osos, downstream from bridge along banks of Río Grande. Specimen not treated with etanol.</t>
  </si>
  <si>
    <t>N 06°32'</t>
  </si>
  <si>
    <t>06°32' N</t>
  </si>
  <si>
    <t>06°32' N, 75°30' W</t>
  </si>
  <si>
    <t>ca 3 km from Entrerrios on the road to Santa Rosa de Osos, downstream from bridge along banks of Río Grande. Specimen not treated with etanol.</t>
  </si>
  <si>
    <t>Albert de Escobar L. et al., 8809</t>
  </si>
  <si>
    <t>HUA 71697</t>
  </si>
  <si>
    <t>Colombia, Antioquia, San Antonio del Prado, al sur de Medellín, vereda La Cabaña, finca Loma Linda, al oeste del Pueblo San Antonio del Prado, bosque muy perturbado, arriba de la casa.</t>
  </si>
  <si>
    <t>N 06°12'08.09"</t>
  </si>
  <si>
    <t>06°12'08.09" N</t>
  </si>
  <si>
    <t>W 75°31'05.22"</t>
  </si>
  <si>
    <t>75°31'05.22" W</t>
  </si>
  <si>
    <t>06°12'08.09" N, 75°31'05.22" W</t>
  </si>
  <si>
    <t>6.2022472</t>
  </si>
  <si>
    <t>-75.5181167</t>
  </si>
  <si>
    <t>6.2022472,-75.5181167</t>
  </si>
  <si>
    <t>San Antonio del Prado</t>
  </si>
  <si>
    <t>al sur de Medellín, vereda La Cabaña, finca Loma Linda, al oeste del Pueblo San Antonio del Prado, bosque muy perturbado, arriba de la casa.</t>
  </si>
  <si>
    <t>Callejas R. &amp; A. Echeverri 11513</t>
  </si>
  <si>
    <t>HUA 104812</t>
  </si>
  <si>
    <t>Colombia, Antioquia, Medellín, corregimiento de Santa Elena, vereda El Plan-Piedras Blancas, finca El Naranjal, 18 km SE de Medellín en la vía a Santa Elena.</t>
  </si>
  <si>
    <t>corregimiento de Santa Elena, vereda El Plan-Piedras Blancas, finca El Naranjal, 18 km SE de Medellín en la vía a Santa Elena.</t>
  </si>
  <si>
    <t>Correa M. &amp; D. Yarce 1666</t>
  </si>
  <si>
    <t>JAUM 31589</t>
  </si>
  <si>
    <t>Colombia, Antioquia, Envigado, nacimiento quebrada La Miel, Cerro El Higerón, costado sur occidental.</t>
  </si>
  <si>
    <t>N 06°19'19"</t>
  </si>
  <si>
    <t>06°19'19" N</t>
  </si>
  <si>
    <t>06°19'19" N, 75°35'09" W</t>
  </si>
  <si>
    <t>6.3219444</t>
  </si>
  <si>
    <t>6.3219444,-75.5858333</t>
  </si>
  <si>
    <t>JAUM31589</t>
  </si>
  <si>
    <t>nacimiento quebrada La Miel, Cerro El Higerón, costado sur occidental.</t>
  </si>
  <si>
    <t>Ramírez-P. B.R. &amp; D. Rosero 12013</t>
  </si>
  <si>
    <t>CAUP 12528</t>
  </si>
  <si>
    <t>Colombia, Putumayo, San Francisco, vereda Siberia, area de Subpáramo.</t>
  </si>
  <si>
    <t>N 01°10'33.23"</t>
  </si>
  <si>
    <t>01°10'33.23" N</t>
  </si>
  <si>
    <t>01°10'33.23" N, 76°52'45.68" W</t>
  </si>
  <si>
    <t>vereda Siberia, area de Subpáramo.</t>
  </si>
  <si>
    <t>Rodríguez W. 3122</t>
  </si>
  <si>
    <t>HUA 132177</t>
  </si>
  <si>
    <t>Colombia, Antioquia, Medellín, corregimiento de Santa Elena, vereda Mazo, estación Biodiversidad-Corantioquia, camino que conduce de la bocatoma a la carretera, cerca de la quebrada Piedras Blancas, bh MB.</t>
  </si>
  <si>
    <t>N 06°15'43.6"</t>
  </si>
  <si>
    <t>06°15'43.6" N</t>
  </si>
  <si>
    <t>06°15'43.6" N, 75°30'30.5" W</t>
  </si>
  <si>
    <t>6.2621111</t>
  </si>
  <si>
    <t>6.2621111,-75.5084722</t>
  </si>
  <si>
    <t>corregimiento de Santa Elena, vereda Mazo, estación Biodiversidad-Corantioquia, camino que conduce de la bocatoma a la carretera, cerca de la quebrada Piedras Blancas, bh MB.</t>
  </si>
  <si>
    <t>JAUM 37477</t>
  </si>
  <si>
    <t>COL 458811</t>
  </si>
  <si>
    <t>Rodríguez W. 3199</t>
  </si>
  <si>
    <t>COL 458814</t>
  </si>
  <si>
    <t>Colombia, Antioquia, Medellín, corregimiento de Santa Elena, vereda Las Brisas, sector Cerro Verde, bhMB.</t>
  </si>
  <si>
    <t>corregimiento de Santa Elena, vereda Las Brisas, sector Cerro Verde, bhMB.</t>
  </si>
  <si>
    <t>Rodríguez W. et al., 3251</t>
  </si>
  <si>
    <t>HUA 132187</t>
  </si>
  <si>
    <t>Colombia, Antioquia, Medellín, corregimiento de Santa Elena, vereda El Rosario, quebrada El Rosario.</t>
  </si>
  <si>
    <t>N 06°15'39"</t>
  </si>
  <si>
    <t>06°15'39" N</t>
  </si>
  <si>
    <t>N 75°29'26.8"</t>
  </si>
  <si>
    <t>N 75°29'26.8" W</t>
  </si>
  <si>
    <t>06°15'39" N, N 75°29'26.8" W</t>
  </si>
  <si>
    <t>6.2608333</t>
  </si>
  <si>
    <t>-75.4907778</t>
  </si>
  <si>
    <t>6.2608333,-75.4907778</t>
  </si>
  <si>
    <t>HUA132187</t>
  </si>
  <si>
    <t>corregimiento de Santa Elena, vereda El Rosario, quebrada El Rosario.</t>
  </si>
  <si>
    <t xml:space="preserve">Rodríguez W. et al., 3667 </t>
  </si>
  <si>
    <t>HUA 137355</t>
  </si>
  <si>
    <t>Colombia, Antioquia, Belmira, vereda El Yugal, nacimiento de la Quebrada La Aldaña, parte alta, bhMB, rastrojo alto.</t>
  </si>
  <si>
    <t>N 06°35'13.3"</t>
  </si>
  <si>
    <t>06°35'13.3" N</t>
  </si>
  <si>
    <t>W 75°41'48.8"</t>
  </si>
  <si>
    <t>75°41'48.8" W</t>
  </si>
  <si>
    <t>06°35'13.3" N, 75°41'48.8" W</t>
  </si>
  <si>
    <t>6.5870278</t>
  </si>
  <si>
    <t>-75.6968889</t>
  </si>
  <si>
    <t>6.5870278,-75.6968889</t>
  </si>
  <si>
    <t>vereda El Yugal, nacimiento de la Quebrada La Aldaña, parte alta, bhMB, rastrojo alto.</t>
  </si>
  <si>
    <t>JAUM 38648</t>
  </si>
  <si>
    <t>COL 484010</t>
  </si>
  <si>
    <t>David H. &amp; J. Idarraga 484</t>
  </si>
  <si>
    <t>HUA 145193</t>
  </si>
  <si>
    <t>Colombia, Antioquia, Medellín, corregimiento de Santa Elena, Reserva Natural Montevivo, sector Casapalo.</t>
  </si>
  <si>
    <t>corregimiento de Santa Elena, Reserva Natural Montevivo, sector Casapalo.</t>
  </si>
  <si>
    <t>Hernandez-Schmidt M. 1309</t>
  </si>
  <si>
    <t>COL 000009534</t>
  </si>
  <si>
    <t>Colombia, Cundinamarca, Subachoque, La Pradera cerca al río.</t>
  </si>
  <si>
    <t>COL000009534</t>
  </si>
  <si>
    <t>La Pradera cerca al río.</t>
  </si>
  <si>
    <t xml:space="preserve">Rodríguez W. et al., 4875 </t>
  </si>
  <si>
    <t>HUA 153829</t>
  </si>
  <si>
    <t>Colombia, Antioquia, Freonia, vereda Erbe-Microcuenca La Chaparrala, bhMB, bosque secundario.</t>
  </si>
  <si>
    <t>HUA153829</t>
  </si>
  <si>
    <t>Freonia</t>
  </si>
  <si>
    <t>vereda Erbe-Microcuenca La Chaparrala, bhMB, bosque secundario.</t>
  </si>
  <si>
    <t>Rodríguez W. et al., 5987</t>
  </si>
  <si>
    <t>HUA 158382</t>
  </si>
  <si>
    <t>Colombia, Antioquia, Medellín, corregimeinto de San Antonio del Prado, vereda Yarumalito, divisoria de aguas con el municipio Heliconia, cerca al relleno sanitairo El Guacal.</t>
  </si>
  <si>
    <t>corregimeinto de San Antonio del Prado, vereda Yarumalito, divisoria de aguas con el municipio Heliconia, cerca al relleno sanitairo El Guacal.</t>
  </si>
  <si>
    <t>Rodríguez W. Et al., 6006</t>
  </si>
  <si>
    <t>HUA 158386</t>
  </si>
  <si>
    <t>Colombia, Antioquia, Medellín, corregimiento de San Antonio del Prado, vereda Yarumalito, divisoria de aguas con el municipio de Heliconia, cerca al relleno sanitario El Guacal.</t>
  </si>
  <si>
    <t>N 06°15'3.46"</t>
  </si>
  <si>
    <t>06°15'3.46" N</t>
  </si>
  <si>
    <t>W 75°42'45.04"</t>
  </si>
  <si>
    <t>75°42'45.04" W</t>
  </si>
  <si>
    <t>06°15'3.46" N, 75°42'45.04" W</t>
  </si>
  <si>
    <t>6.2509611</t>
  </si>
  <si>
    <t>-75.7125111</t>
  </si>
  <si>
    <t>6.2509611,-75.7125111</t>
  </si>
  <si>
    <t>corregimiento de San Antonio del Prado, vereda Yarumalito, divisoria de aguas con el municipio de Heliconia, cerca al relleno sanitario El Guacal.</t>
  </si>
  <si>
    <t>Otálora N. 278</t>
  </si>
  <si>
    <t>CAUP 20639</t>
  </si>
  <si>
    <t>Colombia, Huila, Nátaga, Serrania de las Nieves, vereda El Socorro, La Torre.</t>
  </si>
  <si>
    <t>N 02°32'42.30"</t>
  </si>
  <si>
    <t>02°32'42.30" N</t>
  </si>
  <si>
    <t>W 75°48'30.15"</t>
  </si>
  <si>
    <t>75°48'30.15" W</t>
  </si>
  <si>
    <t>02°32'42.30" N, 75°48'30.15" W</t>
  </si>
  <si>
    <t>2.5450833</t>
  </si>
  <si>
    <t>-75.808375</t>
  </si>
  <si>
    <t>2.5450833,-75.808375</t>
  </si>
  <si>
    <t>Serrania de las Nieves, vereda El Socorro, La Torre.</t>
  </si>
  <si>
    <t>Rodríguez W. 6103</t>
  </si>
  <si>
    <t>HUA 158401</t>
  </si>
  <si>
    <t>Colombia, Antioquia, Medellín, corregimiento de San Antonio del Prado, vereda La Verde, sectores Montes del Encanto.</t>
  </si>
  <si>
    <t>corregimiento de San Antonio del Prado, vereda La Verde, sectores Montes del Encanto.</t>
  </si>
  <si>
    <t>Sanín D. &amp; E. Sanín 3282</t>
  </si>
  <si>
    <t>Colombia, Huila, San Agustin, vereda Platanares, relicto arriba de la escuela Platanares.</t>
  </si>
  <si>
    <t>01°59'59.5" N, 76°17'7.81" W</t>
  </si>
  <si>
    <t>1.9998611</t>
  </si>
  <si>
    <t>1.9998611,-76.2855028</t>
  </si>
  <si>
    <t>vereda Platanares, relicto arriba de la escuela Platanares.</t>
  </si>
  <si>
    <t>Sanín D. &amp; E. Sanín 3208</t>
  </si>
  <si>
    <t>Colombia, Huila, Pitalito, vereda Charguayaco, reserva de la comunidad El Arroyuelo.</t>
  </si>
  <si>
    <t>vereda Charguayaco, reserva de la comunidad El Arroyuelo.</t>
  </si>
  <si>
    <t>Echeverri D.L. 426</t>
  </si>
  <si>
    <t>HUA 72797</t>
  </si>
  <si>
    <t>Colombia, Antioquia, Guatapé, vereda Santa Rita, Finca Monte Pinar.</t>
  </si>
  <si>
    <t>N 06° 15'</t>
  </si>
  <si>
    <t>06° 15' N, 75°10 W</t>
  </si>
  <si>
    <t>vereda Santa Rita, Finca Monte Pinar.</t>
  </si>
  <si>
    <t>Murillo M.T. 1500</t>
  </si>
  <si>
    <t>COL 000336482</t>
  </si>
  <si>
    <t>Colombia, Boyacá, entre Chiquinquira y Pauna, en Las Fuentes.</t>
  </si>
  <si>
    <t>2300-2000</t>
  </si>
  <si>
    <t>entre Chiquinquira y Pauna</t>
  </si>
  <si>
    <t>en Las Fuentes.</t>
  </si>
  <si>
    <t>Sanín et al., 6396</t>
  </si>
  <si>
    <t>COAH</t>
  </si>
  <si>
    <t>Colombia, Caquetá, Florencia, Vía Guadalupe, El Gabinete, a mano izquierda de  la vía, a 100 m de la estación militar</t>
  </si>
  <si>
    <t>Peña 542</t>
  </si>
  <si>
    <t>Colombia, Huila, Suaza, vía Neiva, vereda Campo Hermoso, costado izquierdo de la vía, Km. 40</t>
  </si>
  <si>
    <t>Barbosa 7935</t>
  </si>
  <si>
    <t>Colombia, Caldas, Florencia, dirección este Quebrada Las Mercedes</t>
  </si>
  <si>
    <t>5.5266667</t>
  </si>
  <si>
    <t>-75.0405556</t>
  </si>
  <si>
    <t>1500,890</t>
  </si>
  <si>
    <t>Haught 4336</t>
  </si>
  <si>
    <t>Colombia, Magdalena, cerca a Manaure</t>
  </si>
  <si>
    <t>H. H. Smith 1036</t>
  </si>
  <si>
    <t>UNA 40484</t>
  </si>
  <si>
    <t>Colombia, Magdalena, Sierra Nevada de Santa Marta.</t>
  </si>
  <si>
    <t>Andrés Barona 3998</t>
  </si>
  <si>
    <t>COAH 92038</t>
  </si>
  <si>
    <t>Colombia, Guaviare, San José del Guaviare, vda. El Capricho, sector cerro El Capricho, bosque de tierra firme con dosel cerrado de hasta 30-35m de altura, capa de hojarasca medianamente gruesa de hasta 5-10cm de espesor. Sotobosque denso a medianamente denso, con menor densidad hacia la parte alta del cerro. Capa de hojarasca medianamente gruesa de hasta 5-10 cm de espesor. Presencia de piedras (sienita nefelinica), con presencia de lajas y rocas aisladas.</t>
  </si>
  <si>
    <t>Dairon Cárdenas 	15941</t>
  </si>
  <si>
    <t>COAH 61369</t>
  </si>
  <si>
    <t>Colombia, Meta, La Macarena, vereda Cachivera, margen izquierda del camino del río Guayabero a caño Cristales, sector de afloramiento rocoso con dominancia de Byrsonima sp., Vellozia, Syagrus orinocensis y Curatella americana.</t>
  </si>
  <si>
    <t>2.2329444, -73.7976944</t>
  </si>
  <si>
    <t>2438,564</t>
  </si>
  <si>
    <t>Dairon Cárdenas 48764</t>
  </si>
  <si>
    <t>COAH 100126</t>
  </si>
  <si>
    <t>Colombia, Guaviare, San José del Guaviare, vereda Los Alpes, finca El Porvenir, Serranía La Lindosa, vegetación sobre afloramiento rocoso con presencia de Acanthella sprucei, Ficus albert-smithii y Clusia sp.</t>
  </si>
  <si>
    <t>Jamson 	565</t>
  </si>
  <si>
    <t>BOT</t>
  </si>
  <si>
    <t>Colombia, Meta, Puerto López, cerca al río Guayuriba.</t>
  </si>
  <si>
    <t>D. Sanín 6151</t>
  </si>
  <si>
    <t>Colombia, Caquetá, Florencia, corregimiento El Caraño, vereda El Caraño, finca Las Brisas, relictos en la cima de la montaña.</t>
  </si>
  <si>
    <t>Croat T. B. 71395</t>
  </si>
  <si>
    <t>JAUM 46863</t>
  </si>
  <si>
    <t>Colombia, Nariño, Reserva Natural La Planada, 7 km above Chucunés (on road between Tuquerres and Ricaurte); along sendero La rosa to potrero de Hermógenes.</t>
  </si>
  <si>
    <t>Gentry 16759</t>
  </si>
  <si>
    <t>MO</t>
  </si>
  <si>
    <t>Colombia, Chocó, Río Tigre near base of Serranía del Darién, E of Unguía</t>
  </si>
  <si>
    <t>Betancur 1388</t>
  </si>
  <si>
    <t>Colombia, Meta, Mesetas, Inspección de Policía La Uribe, Vereda La Lagartija.</t>
  </si>
  <si>
    <t>FASE 1 · Normalización de coordenadas</t>
  </si>
  <si>
    <t>Indicador</t>
  </si>
  <si>
    <t>Resultado</t>
  </si>
  <si>
    <t>Filas de datos</t>
  </si>
  <si>
    <t>Latitudes numéricas finales</t>
  </si>
  <si>
    <t>Longitudes numéricas finales</t>
  </si>
  <si>
    <t>Pares completos y válidos</t>
  </si>
  <si>
    <t>Filas sin latitud y longitud</t>
  </si>
  <si>
    <t>Filas con solo una coordenada ausente</t>
  </si>
  <si>
    <t>Valores no convertibles</t>
  </si>
  <si>
    <t>Pares de coordenadas únicos</t>
  </si>
  <si>
    <t>Registros adicionales en coordenadas repetidas</t>
  </si>
  <si>
    <t>Columnas corregidas</t>
  </si>
  <si>
    <t>W = Latitud; X = Longitud</t>
  </si>
  <si>
    <t>Reglas aplicadas</t>
  </si>
  <si>
    <t>1. Se eliminaron espacios, tabulaciones y espacios no separables únicamente dentro de las coordenadas.</t>
  </si>
  <si>
    <t>2. La coma decimal se sustituyó por punto antes de convertir el valor.</t>
  </si>
  <si>
    <t>3. Los valores no vacíos se almacenaron como números reales, no como texto.</t>
  </si>
  <si>
    <t>4. Se validó latitud entre −90 y 90 y longitud entre −180 y 180.</t>
  </si>
  <si>
    <t>5. No se corrigieron signos, posiciones, localidades ni duplicados por inferencia.</t>
  </si>
  <si>
    <t>6. Los valores originales y cada acción de conversión quedaron registrados en QC_Coordenadas.</t>
  </si>
  <si>
    <t>Interpretación</t>
  </si>
  <si>
    <t>Las coordenadas están listas para importarse en R como variables numéricas. Los registros sin coordenadas permanecen vacíos y deberán georreferenciarse o excluirse posteriormente mediante una regla explícita.</t>
  </si>
  <si>
    <t>Los registros repetidos solo se contabilizaron; no se eliminaron, porque cada fila representa un ejemplar de herbario.</t>
  </si>
  <si>
    <t>La validación espacial contra límites de Colombia, localidades y capas de QGIS corresponde a una fase posterior.</t>
  </si>
  <si>
    <t>Fila_excel</t>
  </si>
  <si>
    <t>Latitud_original</t>
  </si>
  <si>
    <t>Longitud_original</t>
  </si>
  <si>
    <t>Latitud_final</t>
  </si>
  <si>
    <t>Longitud_final</t>
  </si>
  <si>
    <t>Acción_latitud</t>
  </si>
  <si>
    <t>Acción_longitud</t>
  </si>
  <si>
    <t>Estado_QC</t>
  </si>
  <si>
    <t>Observación</t>
  </si>
  <si>
    <t>Par_unico</t>
  </si>
  <si>
    <t>Duplicados_adicionales</t>
  </si>
  <si>
    <t>Texto→número</t>
  </si>
  <si>
    <t>OK</t>
  </si>
  <si>
    <t>1.8767333|-76.2681861</t>
  </si>
  <si>
    <t>1.08259</t>
  </si>
  <si>
    <t>-76.66412</t>
  </si>
  <si>
    <t>1.08259|-76.66412</t>
  </si>
  <si>
    <t>3.44733</t>
  </si>
  <si>
    <t>-76.54198</t>
  </si>
  <si>
    <t>3.44733|-76.54198</t>
  </si>
  <si>
    <t>6.78302</t>
  </si>
  <si>
    <t>-72.0829</t>
  </si>
  <si>
    <t>6.78302|-72.0829</t>
  </si>
  <si>
    <t>4.9794</t>
  </si>
  <si>
    <t>-74.31008</t>
  </si>
  <si>
    <t>4.9794|-74.31008</t>
  </si>
  <si>
    <t>4.41479</t>
  </si>
  <si>
    <t>-74.32969</t>
  </si>
  <si>
    <t>4.41479|-74.32969</t>
  </si>
  <si>
    <t>5.62831</t>
  </si>
  <si>
    <t>-73.90248</t>
  </si>
  <si>
    <t>5.62831|-73.90248</t>
  </si>
  <si>
    <t>4.7552</t>
  </si>
  <si>
    <t>-76.28734</t>
  </si>
  <si>
    <t>4.7552|-76.28734</t>
  </si>
  <si>
    <t>1.53403</t>
  </si>
  <si>
    <t>-78.06769</t>
  </si>
  <si>
    <t>1.53403|-78.06769</t>
  </si>
  <si>
    <t>4.71798</t>
  </si>
  <si>
    <t>-75.07741</t>
  </si>
  <si>
    <t>4.71798|-75.07741</t>
  </si>
  <si>
    <t>1.96004</t>
  </si>
  <si>
    <t>-76.08114</t>
  </si>
  <si>
    <t>1.96004|-76.08114</t>
  </si>
  <si>
    <t>4.74141</t>
  </si>
  <si>
    <t>-76.11797</t>
  </si>
  <si>
    <t>4.74141|-76.11797</t>
  </si>
  <si>
    <t>3.96918</t>
  </si>
  <si>
    <t>-76.0801</t>
  </si>
  <si>
    <t>3.96918|-76.0801</t>
  </si>
  <si>
    <t>5.0577778|-75.4994444</t>
  </si>
  <si>
    <t>4.40125</t>
  </si>
  <si>
    <t>-75.60015</t>
  </si>
  <si>
    <t>4.40125|-75.60015</t>
  </si>
  <si>
    <t>2.8136111|-74.8386111</t>
  </si>
  <si>
    <t>2.8152778|-74.8419444</t>
  </si>
  <si>
    <t>4.89964</t>
  </si>
  <si>
    <t>-74.42438</t>
  </si>
  <si>
    <t>4.89964|-74.42438</t>
  </si>
  <si>
    <t>7.14189</t>
  </si>
  <si>
    <t>-73.02469</t>
  </si>
  <si>
    <t>7.14189|-73.02469</t>
  </si>
  <si>
    <t>-75.49528</t>
  </si>
  <si>
    <t>5.1625|-75.49528</t>
  </si>
  <si>
    <t>1.809|-76.0165</t>
  </si>
  <si>
    <t>2.2122222|-75.9397222</t>
  </si>
  <si>
    <t>2.2130556|-75.9472222</t>
  </si>
  <si>
    <t>2.51058</t>
  </si>
  <si>
    <t>-76.98421</t>
  </si>
  <si>
    <t>2.51058|-76.98421</t>
  </si>
  <si>
    <t>1.9849861|-76.2855028</t>
  </si>
  <si>
    <t>4.98488</t>
  </si>
  <si>
    <t>-75.45116</t>
  </si>
  <si>
    <t>4.98488|-75.45116</t>
  </si>
  <si>
    <t>4.68067</t>
  </si>
  <si>
    <t>-75.63452</t>
  </si>
  <si>
    <t>4.68067|-75.63452</t>
  </si>
  <si>
    <t>1.76895|-76.0187333</t>
  </si>
  <si>
    <t>1.9033</t>
  </si>
  <si>
    <t>-76.26571</t>
  </si>
  <si>
    <t>1.9033|-76.26571</t>
  </si>
  <si>
    <t>4.55835</t>
  </si>
  <si>
    <t>-75.32021</t>
  </si>
  <si>
    <t>4.55835|-75.32021</t>
  </si>
  <si>
    <t>4.72879</t>
  </si>
  <si>
    <t>-75.5779</t>
  </si>
  <si>
    <t>4.72879|-75.5779</t>
  </si>
  <si>
    <t>5.12169</t>
  </si>
  <si>
    <t>-76.00899</t>
  </si>
  <si>
    <t>5.12169|-76.00899</t>
  </si>
  <si>
    <t>4.76574</t>
  </si>
  <si>
    <t>-76.48307</t>
  </si>
  <si>
    <t>4.76574|-76.48307</t>
  </si>
  <si>
    <t>4.68312</t>
  </si>
  <si>
    <t>-74.38963</t>
  </si>
  <si>
    <t>4.68312|-74.38963</t>
  </si>
  <si>
    <t>6.01479</t>
  </si>
  <si>
    <t>-75.39219</t>
  </si>
  <si>
    <t>6.01479|-75.39219</t>
  </si>
  <si>
    <t>1.80071</t>
  </si>
  <si>
    <t>-75.74261</t>
  </si>
  <si>
    <t>1.80071|-75.74261</t>
  </si>
  <si>
    <t>Espacios eliminados; Texto→número</t>
  </si>
  <si>
    <t>6.2166667|-75.5</t>
  </si>
  <si>
    <t>6.21667</t>
  </si>
  <si>
    <t>6.21667|-75.5</t>
  </si>
  <si>
    <t>1.1758972|-76.8793556</t>
  </si>
  <si>
    <t>2.5291667|-76.4686111</t>
  </si>
  <si>
    <t>6.17624</t>
  </si>
  <si>
    <t>-75.45785</t>
  </si>
  <si>
    <t>6.17624|-75.45785</t>
  </si>
  <si>
    <t>5.5259389|-75.4592333</t>
  </si>
  <si>
    <t>5.52802</t>
  </si>
  <si>
    <t>-75.44232</t>
  </si>
  <si>
    <t>5.52802|-75.44232</t>
  </si>
  <si>
    <t>5.0724639|-75.9623472</t>
  </si>
  <si>
    <t>6.04939</t>
  </si>
  <si>
    <t>-75.59898</t>
  </si>
  <si>
    <t>6.04939|-75.59898</t>
  </si>
  <si>
    <t>6.27657</t>
  </si>
  <si>
    <t>-75.47632</t>
  </si>
  <si>
    <t>6.27657|-75.47632</t>
  </si>
  <si>
    <t>6.08067</t>
  </si>
  <si>
    <t>-75.59585</t>
  </si>
  <si>
    <t>6.08067|-75.59585</t>
  </si>
  <si>
    <t>5.0671333|-75.5182889</t>
  </si>
  <si>
    <t>5.07803</t>
  </si>
  <si>
    <t>-75.4967</t>
  </si>
  <si>
    <t>5.07803|-75.4967</t>
  </si>
  <si>
    <t>4.98575</t>
  </si>
  <si>
    <t>-75.60696</t>
  </si>
  <si>
    <t>4.98575|-75.60696</t>
  </si>
  <si>
    <t>5.92288</t>
  </si>
  <si>
    <t>-75.30358</t>
  </si>
  <si>
    <t>5.92288|-75.30358</t>
  </si>
  <si>
    <t>5.5|-75.8333333</t>
  </si>
  <si>
    <t>5.9609972|-75.974625</t>
  </si>
  <si>
    <t>1.1666667|-77.9666667</t>
  </si>
  <si>
    <t>4.72086</t>
  </si>
  <si>
    <t>-75.56629</t>
  </si>
  <si>
    <t>4.72086|-75.56629</t>
  </si>
  <si>
    <t>1.14345</t>
  </si>
  <si>
    <t>-77.99567</t>
  </si>
  <si>
    <t>1.14345|-77.99567</t>
  </si>
  <si>
    <t>3.5899</t>
  </si>
  <si>
    <t>-74.70934</t>
  </si>
  <si>
    <t>3.5899|-74.70934</t>
  </si>
  <si>
    <t>2.4333333|-76.5166667</t>
  </si>
  <si>
    <t>5.4333333|-76.0333333</t>
  </si>
  <si>
    <t>7.21026</t>
  </si>
  <si>
    <t>-75.33591</t>
  </si>
  <si>
    <t>7.21026|-75.33591</t>
  </si>
  <si>
    <t>2.7806583|-75.2566556</t>
  </si>
  <si>
    <t>2.77707</t>
  </si>
  <si>
    <t>-75.19954</t>
  </si>
  <si>
    <t>2.77707|-75.19954</t>
  </si>
  <si>
    <t>6.30362</t>
  </si>
  <si>
    <t>-75.51861</t>
  </si>
  <si>
    <t>6.30362|-75.51861</t>
  </si>
  <si>
    <t>2.45|-76.6166667</t>
  </si>
  <si>
    <t>2.4333333|-76.6166667</t>
  </si>
  <si>
    <t>2.5039278|-76.3912278</t>
  </si>
  <si>
    <t>4.6666667|-75.5</t>
  </si>
  <si>
    <t>6.2833333|-75.5333333</t>
  </si>
  <si>
    <t>6.29835</t>
  </si>
  <si>
    <t>-75.50933</t>
  </si>
  <si>
    <t>6.29835|-75.50933</t>
  </si>
  <si>
    <t>5.05678</t>
  </si>
  <si>
    <t>-75.49541</t>
  </si>
  <si>
    <t>5.05678|-75.49541</t>
  </si>
  <si>
    <t>6.69603</t>
  </si>
  <si>
    <t>-75.59755</t>
  </si>
  <si>
    <t>6.69603|-75.59755</t>
  </si>
  <si>
    <t>6.77278</t>
  </si>
  <si>
    <t>-75.79203</t>
  </si>
  <si>
    <t>6.77278|-75.79203</t>
  </si>
  <si>
    <t>6.60408</t>
  </si>
  <si>
    <t>-75.73611</t>
  </si>
  <si>
    <t>6.60408|-75.73611</t>
  </si>
  <si>
    <t>5.06348</t>
  </si>
  <si>
    <t>-75.48487</t>
  </si>
  <si>
    <t>5.06348|-75.48487</t>
  </si>
  <si>
    <t>1.9963</t>
  </si>
  <si>
    <t>-76.93901</t>
  </si>
  <si>
    <t>1.9963|-76.93901</t>
  </si>
  <si>
    <t>4.9031117|-75.1773528</t>
  </si>
  <si>
    <t>1.8244444|-76.8833333</t>
  </si>
  <si>
    <t>6.20892</t>
  </si>
  <si>
    <t>-75.49086</t>
  </si>
  <si>
    <t>6.20892|-75.49086</t>
  </si>
  <si>
    <t>5.03103</t>
  </si>
  <si>
    <t>-75.51113</t>
  </si>
  <si>
    <t>5.03103|-75.51113</t>
  </si>
  <si>
    <t>5.1661667|-75.4019444</t>
  </si>
  <si>
    <t>1.554116667</t>
  </si>
  <si>
    <t>-76.2945333333333</t>
  </si>
  <si>
    <t>1.554116667|-76.2945333333333</t>
  </si>
  <si>
    <t>5.98504</t>
  </si>
  <si>
    <t>-75.6293</t>
  </si>
  <si>
    <t>5.98504|-75.6293</t>
  </si>
  <si>
    <t>1.5551944|-76.3051667</t>
  </si>
  <si>
    <t>5.5845</t>
  </si>
  <si>
    <t>-75.77684</t>
  </si>
  <si>
    <t>5.5845|-75.77684</t>
  </si>
  <si>
    <t>5.36289</t>
  </si>
  <si>
    <t>-75.68087</t>
  </si>
  <si>
    <t>5.36289|-75.68087</t>
  </si>
  <si>
    <t>5.08133</t>
  </si>
  <si>
    <t>-75.50632</t>
  </si>
  <si>
    <t>5.08133|-75.50632</t>
  </si>
  <si>
    <t>5.0845833|-75.5084167</t>
  </si>
  <si>
    <t>5.1830556|-75.458</t>
  </si>
  <si>
    <t>4.9848806|-75.4511389</t>
  </si>
  <si>
    <t>1.3166667|-77.9166667</t>
  </si>
  <si>
    <t>5.35989</t>
  </si>
  <si>
    <t>-75.21129</t>
  </si>
  <si>
    <t>5.35989|-75.21129</t>
  </si>
  <si>
    <t>4.68573</t>
  </si>
  <si>
    <t>-75.57803</t>
  </si>
  <si>
    <t>4.68573|-75.57803</t>
  </si>
  <si>
    <t>5.12739</t>
  </si>
  <si>
    <t>-75.7784</t>
  </si>
  <si>
    <t>5.12739|-75.7784</t>
  </si>
  <si>
    <t>7.29167</t>
  </si>
  <si>
    <t>-75.06623</t>
  </si>
  <si>
    <t>7.29167|-75.06623</t>
  </si>
  <si>
    <t>5.98799</t>
  </si>
  <si>
    <t>-74.92925</t>
  </si>
  <si>
    <t>5.98799|-74.92925</t>
  </si>
  <si>
    <t>6.05|-75</t>
  </si>
  <si>
    <t>7.2662778|-75.0741667</t>
  </si>
  <si>
    <t>7.2934722|-75.0674722</t>
  </si>
  <si>
    <t>7.25460</t>
  </si>
  <si>
    <t>-75.04881</t>
  </si>
  <si>
    <t>7.2546|-75.04881</t>
  </si>
  <si>
    <t>7.2833889|-75.05</t>
  </si>
  <si>
    <t>5.90007</t>
  </si>
  <si>
    <t>-74.85718</t>
  </si>
  <si>
    <t>5.90007|-74.85718</t>
  </si>
  <si>
    <t>0.72566</t>
  </si>
  <si>
    <t>-75.26382</t>
  </si>
  <si>
    <t>0.72566|-75.26382</t>
  </si>
  <si>
    <t>11.10533</t>
  </si>
  <si>
    <t>-74.10126</t>
  </si>
  <si>
    <t>11.10533|-74.10126</t>
  </si>
  <si>
    <t>7.01107</t>
  </si>
  <si>
    <t>-72.12883</t>
  </si>
  <si>
    <t>7.01107|-72.12883</t>
  </si>
  <si>
    <t>4.91813</t>
  </si>
  <si>
    <t>-74.41784</t>
  </si>
  <si>
    <t>4.91813|-74.41784</t>
  </si>
  <si>
    <t>4.1569</t>
  </si>
  <si>
    <t>-77.13704</t>
  </si>
  <si>
    <t>4.1569|-77.13704</t>
  </si>
  <si>
    <t>1.73467</t>
  </si>
  <si>
    <t>-76.00001</t>
  </si>
  <si>
    <t>1.73467|-76.00001</t>
  </si>
  <si>
    <t>4.57909</t>
  </si>
  <si>
    <t>-73.36074</t>
  </si>
  <si>
    <t>4.57909|-73.36074</t>
  </si>
  <si>
    <t>3.58688</t>
  </si>
  <si>
    <t>-76.78254</t>
  </si>
  <si>
    <t>3.58688|-76.78254</t>
  </si>
  <si>
    <t>6.74418</t>
  </si>
  <si>
    <t>-76.36816</t>
  </si>
  <si>
    <t>6.74418|-76.36816</t>
  </si>
  <si>
    <t>1.20902</t>
  </si>
  <si>
    <t>-76.52748</t>
  </si>
  <si>
    <t>1.20902|-76.52748</t>
  </si>
  <si>
    <t>4.8692722|-76.2506472</t>
  </si>
  <si>
    <t>6.13166</t>
  </si>
  <si>
    <t>-77.30382</t>
  </si>
  <si>
    <t>6.13166|-77.30382</t>
  </si>
  <si>
    <t>3.06074</t>
  </si>
  <si>
    <t>-74.46275</t>
  </si>
  <si>
    <t>3.06074|-74.46275</t>
  </si>
  <si>
    <t>2.29504</t>
  </si>
  <si>
    <t>-73.88051</t>
  </si>
  <si>
    <t>2.29504|-73.88051</t>
  </si>
  <si>
    <t>6.6869444|-73.4371944</t>
  </si>
  <si>
    <t>6.5866</t>
  </si>
  <si>
    <t>-73.5182</t>
  </si>
  <si>
    <t>6.5866|-73.5182</t>
  </si>
  <si>
    <t>6.7383333|-73.4279722</t>
  </si>
  <si>
    <t>0.83831</t>
  </si>
  <si>
    <t>-77.61692</t>
  </si>
  <si>
    <t>0.83831|-77.61692</t>
  </si>
  <si>
    <t>4.78131</t>
  </si>
  <si>
    <t>-76.49498</t>
  </si>
  <si>
    <t>4.78131|-76.49498</t>
  </si>
  <si>
    <t>1.1716667|-78.0025</t>
  </si>
  <si>
    <t>6.54619</t>
  </si>
  <si>
    <t>-75.2327</t>
  </si>
  <si>
    <t>6.54619|-75.2327</t>
  </si>
  <si>
    <t>6.0333333|-75.1333333</t>
  </si>
  <si>
    <t>6.53815</t>
  </si>
  <si>
    <t>-76.3222</t>
  </si>
  <si>
    <t>6.53815|-76.3222</t>
  </si>
  <si>
    <t>5.5751167|-74.8901833</t>
  </si>
  <si>
    <t>5.0588889|-75.7354444</t>
  </si>
  <si>
    <t>1.2331444|-76.5328444</t>
  </si>
  <si>
    <t>4.96954</t>
  </si>
  <si>
    <t>-74.39447</t>
  </si>
  <si>
    <t>4.96954|-74.39447</t>
  </si>
  <si>
    <t>4.91823</t>
  </si>
  <si>
    <t>-74.41781</t>
  </si>
  <si>
    <t>4.91823|-74.41781</t>
  </si>
  <si>
    <t>4.76809</t>
  </si>
  <si>
    <t>-73.3272</t>
  </si>
  <si>
    <t>4.76809|-73.3272</t>
  </si>
  <si>
    <t>1.8562917|-76.0393917</t>
  </si>
  <si>
    <t>1.8038028|-75.8897028</t>
  </si>
  <si>
    <t>3.377|-74.8024583</t>
  </si>
  <si>
    <t>1.25195</t>
  </si>
  <si>
    <t>-77.99668</t>
  </si>
  <si>
    <t>1.25195|-77.99668</t>
  </si>
  <si>
    <t>3.63879</t>
  </si>
  <si>
    <t>-77.00698</t>
  </si>
  <si>
    <t>3.63879|-77.00698</t>
  </si>
  <si>
    <t>6.43758</t>
  </si>
  <si>
    <t>-76.1159</t>
  </si>
  <si>
    <t>6.43758|-76.1159</t>
  </si>
  <si>
    <t>6.5|-76.1166667</t>
  </si>
  <si>
    <t>6.6858611|-75.6748889</t>
  </si>
  <si>
    <t>6.77175|-75.6946944</t>
  </si>
  <si>
    <t>5.0000194|-75.3499833</t>
  </si>
  <si>
    <t>4.9817667|-75.3602389</t>
  </si>
  <si>
    <t>5.0586389|-75.3834444</t>
  </si>
  <si>
    <t>5.0039167|-75.3834444</t>
  </si>
  <si>
    <t>4.9722</t>
  </si>
  <si>
    <t>-75.38059</t>
  </si>
  <si>
    <t>4.9722|-75.38059</t>
  </si>
  <si>
    <t>4.9652778|-75.36825</t>
  </si>
  <si>
    <t>5.38329</t>
  </si>
  <si>
    <t>-75.35331</t>
  </si>
  <si>
    <t>5.38329|-75.35331</t>
  </si>
  <si>
    <t>5.06275|-75.3823889</t>
  </si>
  <si>
    <t>5.37045</t>
  </si>
  <si>
    <t>-75.38595</t>
  </si>
  <si>
    <t>5.37045|-75.38595</t>
  </si>
  <si>
    <t>2.3666667|-76.4166667</t>
  </si>
  <si>
    <t>1.92153</t>
  </si>
  <si>
    <t>-76.63351</t>
  </si>
  <si>
    <t>1.92153|-76.63351</t>
  </si>
  <si>
    <t>2.82844</t>
  </si>
  <si>
    <t>-76.06299</t>
  </si>
  <si>
    <t>2.82844|-76.06299</t>
  </si>
  <si>
    <t>2.3812444|-76.4548639</t>
  </si>
  <si>
    <t>2.3811111|-76.4548639</t>
  </si>
  <si>
    <t>2.43397</t>
  </si>
  <si>
    <t>-76.41676</t>
  </si>
  <si>
    <t>2.43397|-76.41676</t>
  </si>
  <si>
    <t>1.7598611|-76.9058333</t>
  </si>
  <si>
    <t>2.3807667|-76.4440833</t>
  </si>
  <si>
    <t>5.20044</t>
  </si>
  <si>
    <t>-73.88017</t>
  </si>
  <si>
    <t>5.20044|-73.88017</t>
  </si>
  <si>
    <t>4.83701</t>
  </si>
  <si>
    <t>-73.81069</t>
  </si>
  <si>
    <t>4.83701|-73.81069</t>
  </si>
  <si>
    <t>4.47614</t>
  </si>
  <si>
    <t>-73.80811</t>
  </si>
  <si>
    <t>4.47614|-73.80811</t>
  </si>
  <si>
    <t>4.5458</t>
  </si>
  <si>
    <t>-73.95736</t>
  </si>
  <si>
    <t>4.5458|-73.95736</t>
  </si>
  <si>
    <t>4.63205</t>
  </si>
  <si>
    <t>-74.03504</t>
  </si>
  <si>
    <t>4.63205|-74.03504</t>
  </si>
  <si>
    <t>4.08126</t>
  </si>
  <si>
    <t>-74.24773</t>
  </si>
  <si>
    <t>4.08126|-74.24773</t>
  </si>
  <si>
    <t>5.15819</t>
  </si>
  <si>
    <t>-73.94455</t>
  </si>
  <si>
    <t>5.15819|-73.94455</t>
  </si>
  <si>
    <t>1.91706</t>
  </si>
  <si>
    <t>-76.60006</t>
  </si>
  <si>
    <t>1.91706|-76.60006</t>
  </si>
  <si>
    <t>1.2136917|-77.2726361</t>
  </si>
  <si>
    <t>1.36601</t>
  </si>
  <si>
    <t>-77.79836</t>
  </si>
  <si>
    <t>1.36601|-77.79836</t>
  </si>
  <si>
    <t>1.18713</t>
  </si>
  <si>
    <t>-77.32423</t>
  </si>
  <si>
    <t>1.18713|-77.32423</t>
  </si>
  <si>
    <t>1.20048</t>
  </si>
  <si>
    <t>-77.31593</t>
  </si>
  <si>
    <t>1.20048|-77.31593</t>
  </si>
  <si>
    <t>1.21832</t>
  </si>
  <si>
    <t>-77.17091</t>
  </si>
  <si>
    <t>1.21832|-77.17091</t>
  </si>
  <si>
    <t>7.39297</t>
  </si>
  <si>
    <t>-72.42921</t>
  </si>
  <si>
    <t>7.39297|-72.42921</t>
  </si>
  <si>
    <t>1.14804</t>
  </si>
  <si>
    <t>-77.09808</t>
  </si>
  <si>
    <t>1.14804|-77.09808</t>
  </si>
  <si>
    <t>4.6415|-75.4867778</t>
  </si>
  <si>
    <t>4.65|-75.4833333</t>
  </si>
  <si>
    <t>4.8666667|-75.6166667</t>
  </si>
  <si>
    <t>5.1286</t>
  </si>
  <si>
    <t>-76.04844</t>
  </si>
  <si>
    <t>5.1286|-76.04844</t>
  </si>
  <si>
    <t>5.1208051</t>
  </si>
  <si>
    <t>-76.0594532</t>
  </si>
  <si>
    <t>5.1208051|-76.0594532</t>
  </si>
  <si>
    <t>6.19988</t>
  </si>
  <si>
    <t>-72.8334</t>
  </si>
  <si>
    <t>6.19988|-72.8334</t>
  </si>
  <si>
    <t>4.7189417|-75.1007306</t>
  </si>
  <si>
    <t>4.8697778|-75.1773528</t>
  </si>
  <si>
    <t>4.90585</t>
  </si>
  <si>
    <t>-75.19701</t>
  </si>
  <si>
    <t>4.90585|-75.19701</t>
  </si>
  <si>
    <t>4.58039</t>
  </si>
  <si>
    <t>-75.3754</t>
  </si>
  <si>
    <t>4.58039|-75.3754</t>
  </si>
  <si>
    <t>4.4400389|-75.4301028</t>
  </si>
  <si>
    <t>6.24140</t>
  </si>
  <si>
    <t>-75.53411</t>
  </si>
  <si>
    <t>6.2414|-75.53411</t>
  </si>
  <si>
    <t>6.29824</t>
  </si>
  <si>
    <t>-75.49924</t>
  </si>
  <si>
    <t>6.29824|-75.49924</t>
  </si>
  <si>
    <t>5.62978</t>
  </si>
  <si>
    <t>-75.16745</t>
  </si>
  <si>
    <t>5.62978|-75.16745</t>
  </si>
  <si>
    <t>6.31122</t>
  </si>
  <si>
    <t>-75.14609</t>
  </si>
  <si>
    <t>6.31122|-75.14609</t>
  </si>
  <si>
    <t>6.29604</t>
  </si>
  <si>
    <t>-75.49909</t>
  </si>
  <si>
    <t>6.29604|-75.49909</t>
  </si>
  <si>
    <t>6.0461</t>
  </si>
  <si>
    <t>-75.60367</t>
  </si>
  <si>
    <t>6.0461|-75.60367</t>
  </si>
  <si>
    <t>6.08811</t>
  </si>
  <si>
    <t>-75.59638</t>
  </si>
  <si>
    <t>6.08811|-75.59638</t>
  </si>
  <si>
    <t>6.08912</t>
  </si>
  <si>
    <t>-75.5913</t>
  </si>
  <si>
    <t>6.08912|-75.5913</t>
  </si>
  <si>
    <t>6.33376</t>
  </si>
  <si>
    <t>-75.64393</t>
  </si>
  <si>
    <t>6.33376|-75.64393</t>
  </si>
  <si>
    <t>6.3119</t>
  </si>
  <si>
    <t>-75.14621</t>
  </si>
  <si>
    <t>6.3119|-75.14621</t>
  </si>
  <si>
    <t>6.72857</t>
  </si>
  <si>
    <t>-76.38452</t>
  </si>
  <si>
    <t>6.72857|-76.38452</t>
  </si>
  <si>
    <t>6.26153</t>
  </si>
  <si>
    <t>-75.52237</t>
  </si>
  <si>
    <t>6.26153|-75.52237</t>
  </si>
  <si>
    <t>5.97599</t>
  </si>
  <si>
    <t>-75.32827</t>
  </si>
  <si>
    <t>5.97599|-75.32827</t>
  </si>
  <si>
    <t>5.6833333|-75.2333333</t>
  </si>
  <si>
    <t>5.5166667|-75.8</t>
  </si>
  <si>
    <t>5.6166667|-75.8333333</t>
  </si>
  <si>
    <t>6.5333333|-75.5</t>
  </si>
  <si>
    <t>7.02106</t>
  </si>
  <si>
    <t>-75.30811</t>
  </si>
  <si>
    <t>7.02106|-75.30811</t>
  </si>
  <si>
    <t>5.84579</t>
  </si>
  <si>
    <t>-74.97354</t>
  </si>
  <si>
    <t>5.84579|-74.97354</t>
  </si>
  <si>
    <t>6.3|-75.4833333</t>
  </si>
  <si>
    <t>6.25|-75.5833333</t>
  </si>
  <si>
    <t>6.0833333|-75.6333333</t>
  </si>
  <si>
    <t>6.1719444|-75.5858333</t>
  </si>
  <si>
    <t>5.85|-75.3666667</t>
  </si>
  <si>
    <t>6.2616667|-75.5091111</t>
  </si>
  <si>
    <t>6.5959167|-75.6536111</t>
  </si>
  <si>
    <t>6.78444</t>
  </si>
  <si>
    <t>-75.66938</t>
  </si>
  <si>
    <t>6.78444|-75.66938</t>
  </si>
  <si>
    <t>6.78175|-75.7928333</t>
  </si>
  <si>
    <t>6.7727778|-75.7920278</t>
  </si>
  <si>
    <t>6.2133333|-75.4922778</t>
  </si>
  <si>
    <t>5.93646</t>
  </si>
  <si>
    <t>-75.70248</t>
  </si>
  <si>
    <t>5.93646|-75.70248</t>
  </si>
  <si>
    <t>6.9820556|-75.1328889</t>
  </si>
  <si>
    <t>5.9835556|-75.6352222</t>
  </si>
  <si>
    <t>5.487|-75.8977778</t>
  </si>
  <si>
    <t>6.1153|-75.6983778</t>
  </si>
  <si>
    <t>6.1580556|-75.7013889</t>
  </si>
  <si>
    <t>6.2110278|-75.6551389</t>
  </si>
  <si>
    <t>6.2927</t>
  </si>
  <si>
    <t>-75.50709</t>
  </si>
  <si>
    <t>6.2927|-75.50709</t>
  </si>
  <si>
    <t>5.7076</t>
  </si>
  <si>
    <t>-73.46126</t>
  </si>
  <si>
    <t>5.7076|-73.46126</t>
  </si>
  <si>
    <t>5.37946</t>
  </si>
  <si>
    <t>-75.16631</t>
  </si>
  <si>
    <t>5.37946|-75.16631</t>
  </si>
  <si>
    <t>5.5188</t>
  </si>
  <si>
    <t>-75.04518</t>
  </si>
  <si>
    <t>5.5188|-75.04518</t>
  </si>
  <si>
    <t>5.06287</t>
  </si>
  <si>
    <t>-75.48212</t>
  </si>
  <si>
    <t>5.06287|-75.48212</t>
  </si>
  <si>
    <t>4.9517</t>
  </si>
  <si>
    <t>-75.43127</t>
  </si>
  <si>
    <t>4.9517|-75.43127</t>
  </si>
  <si>
    <t>5.4581</t>
  </si>
  <si>
    <t>-75.69852</t>
  </si>
  <si>
    <t>5.4581|-75.69852</t>
  </si>
  <si>
    <t>5.4228</t>
  </si>
  <si>
    <t>-75.06335</t>
  </si>
  <si>
    <t>5.4228|-75.06335</t>
  </si>
  <si>
    <t>2.50998</t>
  </si>
  <si>
    <t>-76.9786</t>
  </si>
  <si>
    <t>2.50998|-76.9786</t>
  </si>
  <si>
    <t>2.43372</t>
  </si>
  <si>
    <t>-76.8005</t>
  </si>
  <si>
    <t>2.43372|-76.8005</t>
  </si>
  <si>
    <t>2.81911</t>
  </si>
  <si>
    <t>-76.50968</t>
  </si>
  <si>
    <t>2.81911|-76.50968</t>
  </si>
  <si>
    <t>2.4666667|-76.6166667</t>
  </si>
  <si>
    <t>10.38155</t>
  </si>
  <si>
    <t>-72.94482</t>
  </si>
  <si>
    <t>10.38155|-72.94482</t>
  </si>
  <si>
    <t>4.86026</t>
  </si>
  <si>
    <t>-76.27122</t>
  </si>
  <si>
    <t>4.86026|-76.27122</t>
  </si>
  <si>
    <t>5.08588</t>
  </si>
  <si>
    <t>-76.71616</t>
  </si>
  <si>
    <t>5.08588|-76.71616</t>
  </si>
  <si>
    <t>5.87752</t>
  </si>
  <si>
    <t>-76.10609</t>
  </si>
  <si>
    <t>5.87752|-76.10609</t>
  </si>
  <si>
    <t>4.38045</t>
  </si>
  <si>
    <t>-74.34658</t>
  </si>
  <si>
    <t>4.38045|-74.34658</t>
  </si>
  <si>
    <t>4.57476</t>
  </si>
  <si>
    <t>-74.29338</t>
  </si>
  <si>
    <t>4.57476|-74.29338</t>
  </si>
  <si>
    <t>4.58475</t>
  </si>
  <si>
    <t>-74.30317</t>
  </si>
  <si>
    <t>4.58475|-74.30317</t>
  </si>
  <si>
    <t>4.84652</t>
  </si>
  <si>
    <t>-73.79624</t>
  </si>
  <si>
    <t>4.84652|-73.79624</t>
  </si>
  <si>
    <t>4.44067</t>
  </si>
  <si>
    <t>-74.32067</t>
  </si>
  <si>
    <t>4.44067|-74.32067</t>
  </si>
  <si>
    <t>1.87648</t>
  </si>
  <si>
    <t>-76.2594</t>
  </si>
  <si>
    <t>1.87648|-76.2594</t>
  </si>
  <si>
    <t>2.21928</t>
  </si>
  <si>
    <t>-76.11453</t>
  </si>
  <si>
    <t>2.21928|-76.11453</t>
  </si>
  <si>
    <t>2.60932</t>
  </si>
  <si>
    <t>-75.21208</t>
  </si>
  <si>
    <t>2.60932|-75.21208</t>
  </si>
  <si>
    <t>2.6252</t>
  </si>
  <si>
    <t>-75.23544</t>
  </si>
  <si>
    <t>2.6252|-75.23544</t>
  </si>
  <si>
    <t>1.88558</t>
  </si>
  <si>
    <t>-76.2943</t>
  </si>
  <si>
    <t>1.88558|-76.2943</t>
  </si>
  <si>
    <t>2.54735</t>
  </si>
  <si>
    <t>-75.78877</t>
  </si>
  <si>
    <t>2.54735|-75.78877</t>
  </si>
  <si>
    <t>1.7689806|-76.0187333</t>
  </si>
  <si>
    <t>1.9833333|-76.2833333</t>
  </si>
  <si>
    <t>11.10282</t>
  </si>
  <si>
    <t>-74.07327</t>
  </si>
  <si>
    <t>11.10282|-74.07327</t>
  </si>
  <si>
    <t>11.09336</t>
  </si>
  <si>
    <t>-74.03356</t>
  </si>
  <si>
    <t>11.09336|-74.03356</t>
  </si>
  <si>
    <t>10.9333333|-73.9666667</t>
  </si>
  <si>
    <t>10.9166</t>
  </si>
  <si>
    <t>-73.83329</t>
  </si>
  <si>
    <t>10.9166|-73.83329</t>
  </si>
  <si>
    <t>2.9627</t>
  </si>
  <si>
    <t>-73.88673</t>
  </si>
  <si>
    <t>2.9627|-73.88673</t>
  </si>
  <si>
    <t>4.00502</t>
  </si>
  <si>
    <t>-73.77921</t>
  </si>
  <si>
    <t>4.00502|-73.77921</t>
  </si>
  <si>
    <t>1.21378</t>
  </si>
  <si>
    <t>-76.90825</t>
  </si>
  <si>
    <t>1.21378|-76.90825</t>
  </si>
  <si>
    <t>1.11576</t>
  </si>
  <si>
    <t>-76.9701</t>
  </si>
  <si>
    <t>1.11576|-76.9701</t>
  </si>
  <si>
    <t>4.68718</t>
  </si>
  <si>
    <t>-75.61751</t>
  </si>
  <si>
    <t>4.68718|-75.61751</t>
  </si>
  <si>
    <t>4.31714</t>
  </si>
  <si>
    <t>-75.72606</t>
  </si>
  <si>
    <t>4.31714|-75.72606</t>
  </si>
  <si>
    <t>4.22672</t>
  </si>
  <si>
    <t>-75.70312</t>
  </si>
  <si>
    <t>4.22672|-75.70312</t>
  </si>
  <si>
    <t>4.62529</t>
  </si>
  <si>
    <t>-75.45309</t>
  </si>
  <si>
    <t>4.62529|-75.45309</t>
  </si>
  <si>
    <t>4.4564</t>
  </si>
  <si>
    <t>-75.61963</t>
  </si>
  <si>
    <t>4.4564|-75.61963</t>
  </si>
  <si>
    <t>4.10998</t>
  </si>
  <si>
    <t>-75.80861</t>
  </si>
  <si>
    <t>4.10998|-75.80861</t>
  </si>
  <si>
    <t>5.15043</t>
  </si>
  <si>
    <t>-76.02159</t>
  </si>
  <si>
    <t>5.15043|-76.02159</t>
  </si>
  <si>
    <t>4.70767</t>
  </si>
  <si>
    <t>-75.49291</t>
  </si>
  <si>
    <t>4.70767|-75.49291</t>
  </si>
  <si>
    <t>4.81915</t>
  </si>
  <si>
    <t>-75.54521667</t>
  </si>
  <si>
    <t>4.81915|-75.54521667</t>
  </si>
  <si>
    <t>4.813416667</t>
  </si>
  <si>
    <t>-75.53271667</t>
  </si>
  <si>
    <t>4.813416667|-75.53271667</t>
  </si>
  <si>
    <t>5.1244244</t>
  </si>
  <si>
    <t>-76.0416654</t>
  </si>
  <si>
    <t>5.1244244|-76.0416654</t>
  </si>
  <si>
    <t>5.1225913</t>
  </si>
  <si>
    <t>-76.0459684</t>
  </si>
  <si>
    <t>5.1225913|-76.0459684</t>
  </si>
  <si>
    <t>6.31987</t>
  </si>
  <si>
    <t>-73.88549</t>
  </si>
  <si>
    <t>6.31987|-73.88549</t>
  </si>
  <si>
    <t>6.10629</t>
  </si>
  <si>
    <t>-73.19712</t>
  </si>
  <si>
    <t>6.10629|-73.19712</t>
  </si>
  <si>
    <t>7.27828</t>
  </si>
  <si>
    <t>-72.96731</t>
  </si>
  <si>
    <t>7.27828|-72.96731</t>
  </si>
  <si>
    <t>6.0166667|-73.15</t>
  </si>
  <si>
    <t>4.71544</t>
  </si>
  <si>
    <t>-75.1369</t>
  </si>
  <si>
    <t>4.71544|-75.1369</t>
  </si>
  <si>
    <t>4.71771</t>
  </si>
  <si>
    <t>-75.10414</t>
  </si>
  <si>
    <t>4.71771|-75.10414</t>
  </si>
  <si>
    <t>4.89285</t>
  </si>
  <si>
    <t>-75.1272</t>
  </si>
  <si>
    <t>4.89285|-75.1272</t>
  </si>
  <si>
    <t>3.43452</t>
  </si>
  <si>
    <t>-76.60242</t>
  </si>
  <si>
    <t>3.43452|-76.60242</t>
  </si>
  <si>
    <t>3.5|-76.8666667</t>
  </si>
  <si>
    <t>3.46144</t>
  </si>
  <si>
    <t>-76.63748</t>
  </si>
  <si>
    <t>3.46144|-76.63748</t>
  </si>
  <si>
    <t>3.74114</t>
  </si>
  <si>
    <t>-76.96741</t>
  </si>
  <si>
    <t>3.74114|-76.96741</t>
  </si>
  <si>
    <t>3.4358</t>
  </si>
  <si>
    <t>-76.64097</t>
  </si>
  <si>
    <t>3.4358|-76.64097</t>
  </si>
  <si>
    <t>3.50579</t>
  </si>
  <si>
    <t>-76.10426</t>
  </si>
  <si>
    <t>3.50579|-76.10426</t>
  </si>
  <si>
    <t>3.34415</t>
  </si>
  <si>
    <t>-76.69581</t>
  </si>
  <si>
    <t>3.34415|-76.69581</t>
  </si>
  <si>
    <t>6.9876667|-75.1432222</t>
  </si>
  <si>
    <t>6.4627778|-75.5563889</t>
  </si>
  <si>
    <t>6.147|-75.188</t>
  </si>
  <si>
    <t>5.42103</t>
  </si>
  <si>
    <t>-73.54418</t>
  </si>
  <si>
    <t>5.42103|-73.54418</t>
  </si>
  <si>
    <t>4.11722</t>
  </si>
  <si>
    <t>-74.44062</t>
  </si>
  <si>
    <t>4.11722|-74.44062</t>
  </si>
  <si>
    <t>7.43993</t>
  </si>
  <si>
    <t>-72.45095</t>
  </si>
  <si>
    <t>7.43993|-72.45095</t>
  </si>
  <si>
    <t>5.2277056|-76.030475</t>
  </si>
  <si>
    <t>6.9166667|-75.0833333</t>
  </si>
  <si>
    <t>6.9097222|-75.1345</t>
  </si>
  <si>
    <t>6.16954</t>
  </si>
  <si>
    <t>-75.46082</t>
  </si>
  <si>
    <t>6.16954|-75.46082</t>
  </si>
  <si>
    <t>6.235925|-75.5751361</t>
  </si>
  <si>
    <t>6.4563056|-75.2681111</t>
  </si>
  <si>
    <t>6.3055556|-75.5151667</t>
  </si>
  <si>
    <t>7.133|-75.1596944</t>
  </si>
  <si>
    <t>5.9836111|-75.6411944</t>
  </si>
  <si>
    <t>6.5125556|-76.2615</t>
  </si>
  <si>
    <t>6.5503611|-76.3150833</t>
  </si>
  <si>
    <t>6.2035|-75.48725</t>
  </si>
  <si>
    <t>4.87828</t>
  </si>
  <si>
    <t>-76.23353</t>
  </si>
  <si>
    <t>4.87828|-76.23353</t>
  </si>
  <si>
    <t>6.2833333|-75.5</t>
  </si>
  <si>
    <t>6.25|-75.1666667</t>
  </si>
  <si>
    <t>6.2007778|-75.4662222</t>
  </si>
  <si>
    <t>2.57474</t>
  </si>
  <si>
    <t>-76.54821</t>
  </si>
  <si>
    <t>2.57474|-76.54821</t>
  </si>
  <si>
    <t>2.5|-76.5833333</t>
  </si>
  <si>
    <t>2.45|-76.4833333</t>
  </si>
  <si>
    <t>2.4441667|-76.5902778</t>
  </si>
  <si>
    <t>2.45228</t>
  </si>
  <si>
    <t>-76.52246</t>
  </si>
  <si>
    <t>2.45228|-76.52246</t>
  </si>
  <si>
    <t>5.11310</t>
  </si>
  <si>
    <t>-73.84495</t>
  </si>
  <si>
    <t>5.1131|-73.84495</t>
  </si>
  <si>
    <t>4.82077</t>
  </si>
  <si>
    <t>-73.63934</t>
  </si>
  <si>
    <t>4.82077|-73.63934</t>
  </si>
  <si>
    <t>5.12055</t>
  </si>
  <si>
    <t>-73.83689</t>
  </si>
  <si>
    <t>5.12055|-73.83689</t>
  </si>
  <si>
    <t>4.49991</t>
  </si>
  <si>
    <t>-73.93678</t>
  </si>
  <si>
    <t>4.49991|-73.93678</t>
  </si>
  <si>
    <t>5.30378</t>
  </si>
  <si>
    <t>-74.08687</t>
  </si>
  <si>
    <t>5.30378|-74.08687</t>
  </si>
  <si>
    <t>4.68968</t>
  </si>
  <si>
    <t>-74.27968</t>
  </si>
  <si>
    <t>4.68968|-74.27968</t>
  </si>
  <si>
    <t>-0.992</t>
  </si>
  <si>
    <t>-70.44361</t>
  </si>
  <si>
    <t>-0.992|-70.44361</t>
  </si>
  <si>
    <t>7.31676</t>
  </si>
  <si>
    <t>-75.05643</t>
  </si>
  <si>
    <t>7.31676|-75.05643</t>
  </si>
  <si>
    <t>7.0764389|-75.1565389</t>
  </si>
  <si>
    <t>7.2166667|-75.05</t>
  </si>
  <si>
    <t>7.5783889|-75.3485056</t>
  </si>
  <si>
    <t>5.5998333|-75.8198333</t>
  </si>
  <si>
    <t>6.1067139|-74.9608528</t>
  </si>
  <si>
    <t>7.25|-75.2</t>
  </si>
  <si>
    <t>7.2668056|-75.0644167</t>
  </si>
  <si>
    <t>7.2836667|-75.0880833</t>
  </si>
  <si>
    <t>7.2535|-75.0432778</t>
  </si>
  <si>
    <t>6.5398611|-76.3193611</t>
  </si>
  <si>
    <t>6.5352222|-76.3128611</t>
  </si>
  <si>
    <t>2.67839</t>
  </si>
  <si>
    <t>-77.90774</t>
  </si>
  <si>
    <t>2.67839|-77.90774</t>
  </si>
  <si>
    <t>6.21507</t>
  </si>
  <si>
    <t>-77.35771</t>
  </si>
  <si>
    <t>6.21507|-77.35771</t>
  </si>
  <si>
    <t>5.73269</t>
  </si>
  <si>
    <t>-76.63017</t>
  </si>
  <si>
    <t>5.73269|-76.63017</t>
  </si>
  <si>
    <t>5|-76.7333333</t>
  </si>
  <si>
    <t>-76.7</t>
  </si>
  <si>
    <t>5.1|-76.7</t>
  </si>
  <si>
    <t>7.96955</t>
  </si>
  <si>
    <t>-77.16071</t>
  </si>
  <si>
    <t>7.96955|-77.16071</t>
  </si>
  <si>
    <t>6.02912</t>
  </si>
  <si>
    <t>-77.36486</t>
  </si>
  <si>
    <t>6.02912|-77.36486</t>
  </si>
  <si>
    <t>5.2177806|-76.6348667</t>
  </si>
  <si>
    <t>5.42165</t>
  </si>
  <si>
    <t>-76.74507</t>
  </si>
  <si>
    <t>5.42165|-76.74507</t>
  </si>
  <si>
    <t>1.9998611|-76.2855028</t>
  </si>
  <si>
    <t>1.25|-78.1166667</t>
  </si>
  <si>
    <t>1.7738</t>
  </si>
  <si>
    <t>-78.8333</t>
  </si>
  <si>
    <t>1.7738|-78.8333</t>
  </si>
  <si>
    <t>-0.49493</t>
  </si>
  <si>
    <t>-74.41941</t>
  </si>
  <si>
    <t>-0.49493|-74.41941</t>
  </si>
  <si>
    <t>0.65795|-76.6929861</t>
  </si>
  <si>
    <t>1.1666667|-76.55</t>
  </si>
  <si>
    <t>6.75739</t>
  </si>
  <si>
    <t>-74.1218</t>
  </si>
  <si>
    <t>6.75739|-74.1218</t>
  </si>
  <si>
    <t>4.00206</t>
  </si>
  <si>
    <t>-76.97832</t>
  </si>
  <si>
    <t>4.00206|-76.97832</t>
  </si>
  <si>
    <t>6.6288</t>
  </si>
  <si>
    <t>-75.68897</t>
  </si>
  <si>
    <t>6.6288|-75.68897</t>
  </si>
  <si>
    <t>5.9280194|-75.6717194</t>
  </si>
  <si>
    <t>6.0572222|-75.5025</t>
  </si>
  <si>
    <t>6.3|-75.6833333</t>
  </si>
  <si>
    <t>6.33435</t>
  </si>
  <si>
    <t>-75.65691</t>
  </si>
  <si>
    <t>6.33435|-75.65691</t>
  </si>
  <si>
    <t>6.9616833|-75.426825</t>
  </si>
  <si>
    <t>6.2833333|-75.6333333</t>
  </si>
  <si>
    <t>6.2800111|-75.4427333</t>
  </si>
  <si>
    <t>6.09|-75.638</t>
  </si>
  <si>
    <t>6.95|-75.4666667</t>
  </si>
  <si>
    <t>5.9736111|-75.3613833</t>
  </si>
  <si>
    <t>6.2801111|-75.4427333</t>
  </si>
  <si>
    <t>5.6833333|-75.35</t>
  </si>
  <si>
    <t>6.75|-76.3833333</t>
  </si>
  <si>
    <t>7.1136111|-75.55</t>
  </si>
  <si>
    <t>7.1164</t>
  </si>
  <si>
    <t>-75.41691</t>
  </si>
  <si>
    <t>7.1164|-75.41691</t>
  </si>
  <si>
    <t>7.0333333|-75.4</t>
  </si>
  <si>
    <t>5.7097222|-75.3108333</t>
  </si>
  <si>
    <t>6.78125|-76.1250611</t>
  </si>
  <si>
    <t>7.0166667|-75.5833333</t>
  </si>
  <si>
    <t>5.65|-75.3</t>
  </si>
  <si>
    <t>5.7839</t>
  </si>
  <si>
    <t>-75.27997</t>
  </si>
  <si>
    <t>5.7839|-75.27997</t>
  </si>
  <si>
    <t>6.2666667|-75.5666667</t>
  </si>
  <si>
    <t>6.27804</t>
  </si>
  <si>
    <t>-75.49653</t>
  </si>
  <si>
    <t>6.27804|-75.49653</t>
  </si>
  <si>
    <t>6.0289722|-75.3262778</t>
  </si>
  <si>
    <t>6.22788</t>
  </si>
  <si>
    <t>-75.50634</t>
  </si>
  <si>
    <t>6.22788|-75.50634</t>
  </si>
  <si>
    <t>6.2616667|-75.5089722</t>
  </si>
  <si>
    <t>6.6108889|-75.6661389</t>
  </si>
  <si>
    <t>6.76799</t>
  </si>
  <si>
    <t>-75.49219</t>
  </si>
  <si>
    <t>6.76799|-75.49219</t>
  </si>
  <si>
    <t>5.9856944|-75.6352222</t>
  </si>
  <si>
    <t>5.5417778|-75.8075278</t>
  </si>
  <si>
    <t>6.3416667|-75.6472222</t>
  </si>
  <si>
    <t>6.2551444|-75.7112889</t>
  </si>
  <si>
    <t>6.21818</t>
  </si>
  <si>
    <t>-75.5003</t>
  </si>
  <si>
    <t>6.21818|-75.5003</t>
  </si>
  <si>
    <t>6.50788</t>
  </si>
  <si>
    <t>-76.23337</t>
  </si>
  <si>
    <t>6.50788|-76.23337</t>
  </si>
  <si>
    <t>6.34918</t>
  </si>
  <si>
    <t>-72.75461</t>
  </si>
  <si>
    <t>6.34918|-72.75461</t>
  </si>
  <si>
    <t>6.26282</t>
  </si>
  <si>
    <t>-72.55623</t>
  </si>
  <si>
    <t>6.26282|-72.55623</t>
  </si>
  <si>
    <t>5.6872222|-73.4930556</t>
  </si>
  <si>
    <t>5.3858972|-75.1609194</t>
  </si>
  <si>
    <t>5.0294444|-75.3905556</t>
  </si>
  <si>
    <t>5.0821056|-75.4633806</t>
  </si>
  <si>
    <t>5.1661667|-75.4113056</t>
  </si>
  <si>
    <t>5|-75.5</t>
  </si>
  <si>
    <t>5.2603056|-75.4253889</t>
  </si>
  <si>
    <t>5.0433583|-75.4835528</t>
  </si>
  <si>
    <t>2.58873</t>
  </si>
  <si>
    <t>-76.64044</t>
  </si>
  <si>
    <t>2.58873|-76.64044</t>
  </si>
  <si>
    <t>2.36016</t>
  </si>
  <si>
    <t>-76.61537</t>
  </si>
  <si>
    <t>2.36016|-76.61537</t>
  </si>
  <si>
    <t>2.49123</t>
  </si>
  <si>
    <t>-76.97235</t>
  </si>
  <si>
    <t>2.49123|-76.97235</t>
  </si>
  <si>
    <t>2.4582083|-76.8086611</t>
  </si>
  <si>
    <t>2.2559333|-77.2484167</t>
  </si>
  <si>
    <t>2.9580556|-76.2713889</t>
  </si>
  <si>
    <t>2.46374</t>
  </si>
  <si>
    <t>-76.00659</t>
  </si>
  <si>
    <t>2.46374|-76.00659</t>
  </si>
  <si>
    <t>2.3853333|-76.4416667</t>
  </si>
  <si>
    <t>2.4373889|-76.4304722</t>
  </si>
  <si>
    <t>2.55|-76.0666667</t>
  </si>
  <si>
    <t>4.83538</t>
  </si>
  <si>
    <t>-76.18943</t>
  </si>
  <si>
    <t>4.83538|-76.18943</t>
  </si>
  <si>
    <t>4.88201</t>
  </si>
  <si>
    <t>-76.18287</t>
  </si>
  <si>
    <t>4.88201|-76.18287</t>
  </si>
  <si>
    <t>4.85951</t>
  </si>
  <si>
    <t>-74.42246</t>
  </si>
  <si>
    <t>4.85951|-74.42246</t>
  </si>
  <si>
    <t>4.9428</t>
  </si>
  <si>
    <t>-74.41477</t>
  </si>
  <si>
    <t>4.9428|-74.41477</t>
  </si>
  <si>
    <t>4.67415</t>
  </si>
  <si>
    <t>-74.03844</t>
  </si>
  <si>
    <t>4.67415|-74.03844</t>
  </si>
  <si>
    <t>4.11004</t>
  </si>
  <si>
    <t>-74.43547</t>
  </si>
  <si>
    <t>4.11004|-74.43547</t>
  </si>
  <si>
    <t>3.96377</t>
  </si>
  <si>
    <t>-74.49804</t>
  </si>
  <si>
    <t>3.96377|-74.49804</t>
  </si>
  <si>
    <t>4.99789</t>
  </si>
  <si>
    <t>-74.14903</t>
  </si>
  <si>
    <t>4.99789|-74.14903</t>
  </si>
  <si>
    <t>2.3971694|-75.8931806</t>
  </si>
  <si>
    <t>1.74723</t>
  </si>
  <si>
    <t>-75.98338</t>
  </si>
  <si>
    <t>1.74723|-75.98338</t>
  </si>
  <si>
    <t>2.21863</t>
  </si>
  <si>
    <t>-75.93424</t>
  </si>
  <si>
    <t>2.21863|-75.93424</t>
  </si>
  <si>
    <t>2.5451222|-75.8083611</t>
  </si>
  <si>
    <t>2.80854</t>
  </si>
  <si>
    <t>-75.05777</t>
  </si>
  <si>
    <t>2.80854|-75.05777</t>
  </si>
  <si>
    <t>2.6904806|-75.3282694</t>
  </si>
  <si>
    <t>1.6010056|-76.9715083</t>
  </si>
  <si>
    <t>10.00286</t>
  </si>
  <si>
    <t>-73.01576</t>
  </si>
  <si>
    <t>10.00286|-73.01576</t>
  </si>
  <si>
    <t>10.8833333|-74.0166667</t>
  </si>
  <si>
    <t>10.9833333|-73.9833333</t>
  </si>
  <si>
    <t>5.02952</t>
  </si>
  <si>
    <t>-75.43439</t>
  </si>
  <si>
    <t>5.02952|-75.43439</t>
  </si>
  <si>
    <t>4.11235</t>
  </si>
  <si>
    <t>-73.76649</t>
  </si>
  <si>
    <t>4.11235|-73.76649</t>
  </si>
  <si>
    <t>4.08481</t>
  </si>
  <si>
    <t>-73.76841</t>
  </si>
  <si>
    <t>4.08481|-73.76841</t>
  </si>
  <si>
    <t>4.02519</t>
  </si>
  <si>
    <t>-73.8265</t>
  </si>
  <si>
    <t>4.02519|-73.8265</t>
  </si>
  <si>
    <t>0.8217611|-77.6416778</t>
  </si>
  <si>
    <t>1.12957</t>
  </si>
  <si>
    <t>-77.14944</t>
  </si>
  <si>
    <t>1.12957|-77.14944</t>
  </si>
  <si>
    <t>1.6051556|-77.1336361</t>
  </si>
  <si>
    <t>1.32669</t>
  </si>
  <si>
    <t>-77.25978</t>
  </si>
  <si>
    <t>1.32669|-77.25978</t>
  </si>
  <si>
    <t>1.2862778|-77.4710528</t>
  </si>
  <si>
    <t>1.26251</t>
  </si>
  <si>
    <t>-77.2602</t>
  </si>
  <si>
    <t>1.26251|-77.2602</t>
  </si>
  <si>
    <t>7.02477</t>
  </si>
  <si>
    <t>-72.03329</t>
  </si>
  <si>
    <t>7.02477|-72.03329</t>
  </si>
  <si>
    <t>7.2752</t>
  </si>
  <si>
    <t>-72.55276</t>
  </si>
  <si>
    <t>7.2752|-72.55276</t>
  </si>
  <si>
    <t>7.3666667|-72.6333333</t>
  </si>
  <si>
    <t>8.24997</t>
  </si>
  <si>
    <t>-73.24998</t>
  </si>
  <si>
    <t>8.24997|-73.24998</t>
  </si>
  <si>
    <t>1.11202</t>
  </si>
  <si>
    <t>-76.96968</t>
  </si>
  <si>
    <t>1.11202|-76.96968</t>
  </si>
  <si>
    <t>1.2017417|-76.9153278</t>
  </si>
  <si>
    <t>1.14918</t>
  </si>
  <si>
    <t>-77.00543</t>
  </si>
  <si>
    <t>1.14918|-77.00543</t>
  </si>
  <si>
    <t>1.1436</t>
  </si>
  <si>
    <t>-76.78623</t>
  </si>
  <si>
    <t>1.1436|-76.78623</t>
  </si>
  <si>
    <t>4.47808</t>
  </si>
  <si>
    <t>-75.62875</t>
  </si>
  <si>
    <t>4.47808|-75.62875</t>
  </si>
  <si>
    <t>4.30167</t>
  </si>
  <si>
    <t>-75.68655</t>
  </si>
  <si>
    <t>4.30167|-75.68655</t>
  </si>
  <si>
    <t>4.534825|-75.6315222</t>
  </si>
  <si>
    <t>4.1435</t>
  </si>
  <si>
    <t>-75.75188</t>
  </si>
  <si>
    <t>4.1435|-75.75188</t>
  </si>
  <si>
    <t>4.85|-75.5333333</t>
  </si>
  <si>
    <t>4.9637833|-75.7269722</t>
  </si>
  <si>
    <t>4.71453</t>
  </si>
  <si>
    <t>-75.67197</t>
  </si>
  <si>
    <t>4.71453|-75.67197</t>
  </si>
  <si>
    <t>5.11358</t>
  </si>
  <si>
    <t>-76.05836</t>
  </si>
  <si>
    <t>5.11358|-76.05836</t>
  </si>
  <si>
    <t>4.802236111</t>
  </si>
  <si>
    <t>-75.53600833</t>
  </si>
  <si>
    <t>4.802236111|-75.53600833</t>
  </si>
  <si>
    <t>6.78619</t>
  </si>
  <si>
    <t>-73.05688</t>
  </si>
  <si>
    <t>6.78619|-73.05688</t>
  </si>
  <si>
    <t>4.5959167|-75.1615306</t>
  </si>
  <si>
    <t>4.53037</t>
  </si>
  <si>
    <t>-75.44538</t>
  </si>
  <si>
    <t>4.53037|-75.44538</t>
  </si>
  <si>
    <t>4.53679</t>
  </si>
  <si>
    <t>-75.45058</t>
  </si>
  <si>
    <t>4.53679|-75.45058</t>
  </si>
  <si>
    <t>3.55349</t>
  </si>
  <si>
    <t>-76.11423</t>
  </si>
  <si>
    <t>3.55349|-76.11423</t>
  </si>
  <si>
    <t>3.86054</t>
  </si>
  <si>
    <t>-76.13128</t>
  </si>
  <si>
    <t>3.86054|-76.13128</t>
  </si>
  <si>
    <t>3.22768</t>
  </si>
  <si>
    <t>-76.13953</t>
  </si>
  <si>
    <t>3.22768|-76.13953</t>
  </si>
  <si>
    <t>4.97597</t>
  </si>
  <si>
    <t>-73.77301</t>
  </si>
  <si>
    <t>4.97597|-73.77301</t>
  </si>
  <si>
    <t>7.04334</t>
  </si>
  <si>
    <t>-73.00302</t>
  </si>
  <si>
    <t>7.04334|-73.00302</t>
  </si>
  <si>
    <t>6.5397222|-76.2997222</t>
  </si>
  <si>
    <t>1.08283</t>
  </si>
  <si>
    <t>-76.82111</t>
  </si>
  <si>
    <t>1.08283|-76.82111</t>
  </si>
  <si>
    <t>5.09902</t>
  </si>
  <si>
    <t>-76.70063</t>
  </si>
  <si>
    <t>5.09902|-76.70063</t>
  </si>
  <si>
    <t>3.61633</t>
  </si>
  <si>
    <t>-76.89806</t>
  </si>
  <si>
    <t>3.61633|-76.89806</t>
  </si>
  <si>
    <t>1.36416</t>
  </si>
  <si>
    <t>-78.10056</t>
  </si>
  <si>
    <t>1.36416|-78.10056</t>
  </si>
  <si>
    <t>12.13776</t>
  </si>
  <si>
    <t>-71.33838</t>
  </si>
  <si>
    <t>12.13776|-71.33838</t>
  </si>
  <si>
    <t>5.1|-76.6666667</t>
  </si>
  <si>
    <t>4.87585</t>
  </si>
  <si>
    <t>-76.44222</t>
  </si>
  <si>
    <t>4.87585|-76.44222</t>
  </si>
  <si>
    <t>4.89255</t>
  </si>
  <si>
    <t>-76.27434</t>
  </si>
  <si>
    <t>4.89255|-76.27434</t>
  </si>
  <si>
    <t>11.29186</t>
  </si>
  <si>
    <t>-74.05682</t>
  </si>
  <si>
    <t>11.29186|-74.05682</t>
  </si>
  <si>
    <t>3.5|-76.75</t>
  </si>
  <si>
    <t>-78.0166667</t>
  </si>
  <si>
    <t>1.0833333|-78.0166667</t>
  </si>
  <si>
    <t>6.6073444|-75.6659028</t>
  </si>
  <si>
    <t>6.3166667|-75.6833333</t>
  </si>
  <si>
    <t>6.6218611|-75.675</t>
  </si>
  <si>
    <t>5.487|-75.8979444</t>
  </si>
  <si>
    <t>6.5999444|-75.6906111</t>
  </si>
  <si>
    <t>6.49881</t>
  </si>
  <si>
    <t>-75.63637</t>
  </si>
  <si>
    <t>6.49881|-75.63637</t>
  </si>
  <si>
    <t>6.2546472|-75.7113861</t>
  </si>
  <si>
    <t>6.621966667</t>
  </si>
  <si>
    <t>-75.64495</t>
  </si>
  <si>
    <t>6.621966667|-75.64495</t>
  </si>
  <si>
    <t>5.64016</t>
  </si>
  <si>
    <t>-72.79209</t>
  </si>
  <si>
    <t>5.64016|-72.79209</t>
  </si>
  <si>
    <t>4.4642</t>
  </si>
  <si>
    <t>-74.29754</t>
  </si>
  <si>
    <t>4.4642|-74.29754</t>
  </si>
  <si>
    <t>4.93365</t>
  </si>
  <si>
    <t>-74.0504</t>
  </si>
  <si>
    <t>4.93365|-74.0504</t>
  </si>
  <si>
    <t>4.44382</t>
  </si>
  <si>
    <t>-74.30207</t>
  </si>
  <si>
    <t>4.44382|-74.30207</t>
  </si>
  <si>
    <t>1.1213</t>
  </si>
  <si>
    <t>-77.18953</t>
  </si>
  <si>
    <t>1.1213|-77.18953</t>
  </si>
  <si>
    <t>7.51532</t>
  </si>
  <si>
    <t>-72.47675</t>
  </si>
  <si>
    <t>7.51532|-72.47675</t>
  </si>
  <si>
    <t>1.23373</t>
  </si>
  <si>
    <t>-76.92627</t>
  </si>
  <si>
    <t>1.23373|-76.92627</t>
  </si>
  <si>
    <t>6.7692</t>
  </si>
  <si>
    <t>-76.24974</t>
  </si>
  <si>
    <t>6.7692|-76.24974</t>
  </si>
  <si>
    <t>6.7523</t>
  </si>
  <si>
    <t>-76.28958</t>
  </si>
  <si>
    <t>6.7523|-76.28958</t>
  </si>
  <si>
    <t>1.1602778|-77.9869444</t>
  </si>
  <si>
    <t>1.1652778|-77.9788889</t>
  </si>
  <si>
    <t>3.5361111|-76.6102778</t>
  </si>
  <si>
    <t>6.13331</t>
  </si>
  <si>
    <t>-75.69901</t>
  </si>
  <si>
    <t>6.13331|-75.69901</t>
  </si>
  <si>
    <t>5.51811</t>
  </si>
  <si>
    <t>-75.04391</t>
  </si>
  <si>
    <t>5.51811|-75.04391</t>
  </si>
  <si>
    <t>Vacío</t>
  </si>
  <si>
    <t>FALTA_COORDENADA</t>
  </si>
  <si>
    <t>Latitud y longitud vacías</t>
  </si>
  <si>
    <t>7.17362</t>
  </si>
  <si>
    <t>-72.39430</t>
  </si>
  <si>
    <t>7.17362|-72.3943</t>
  </si>
  <si>
    <t>-1.50668</t>
  </si>
  <si>
    <t>-70.01698</t>
  </si>
  <si>
    <t>-1.50668|-70.01698</t>
  </si>
  <si>
    <t>6.30172</t>
  </si>
  <si>
    <t>-75.07573</t>
  </si>
  <si>
    <t>6.30172|-75.07573</t>
  </si>
  <si>
    <t>6.9|-75.1</t>
  </si>
  <si>
    <t>6.5|-75.3</t>
  </si>
  <si>
    <t>6.79257</t>
  </si>
  <si>
    <t>-75.12252</t>
  </si>
  <si>
    <t>6.79257|-75.12252</t>
  </si>
  <si>
    <t>6.44112</t>
  </si>
  <si>
    <t>-75.31479</t>
  </si>
  <si>
    <t>6.44112|-75.31479</t>
  </si>
  <si>
    <t>5.6524</t>
  </si>
  <si>
    <t>-74.03534</t>
  </si>
  <si>
    <t>5.6524|-74.03534</t>
  </si>
  <si>
    <t>0.9375|-72.7016667</t>
  </si>
  <si>
    <t>10.05|-73.05</t>
  </si>
  <si>
    <t>4.92729</t>
  </si>
  <si>
    <t>-74.42441</t>
  </si>
  <si>
    <t>4.92729|-74.42441</t>
  </si>
  <si>
    <t>4.20474</t>
  </si>
  <si>
    <t>-73.89205</t>
  </si>
  <si>
    <t>4.20474|-73.89205</t>
  </si>
  <si>
    <t>5.55832</t>
  </si>
  <si>
    <t>-74.29157</t>
  </si>
  <si>
    <t>5.55832|-74.29157</t>
  </si>
  <si>
    <t>2.1833333|-74.05</t>
  </si>
  <si>
    <t>1.7284722|-76.1152222</t>
  </si>
  <si>
    <t>6.9058333|-75.1345</t>
  </si>
  <si>
    <t>6.30387</t>
  </si>
  <si>
    <t>-75.51813</t>
  </si>
  <si>
    <t>6.30387|-75.51813</t>
  </si>
  <si>
    <t>6.3056111|-75.5151667</t>
  </si>
  <si>
    <t>6.1301</t>
  </si>
  <si>
    <t>-75.41415</t>
  </si>
  <si>
    <t>6.1301|-75.41415</t>
  </si>
  <si>
    <t>1.16918</t>
  </si>
  <si>
    <t>-76.69335</t>
  </si>
  <si>
    <t>1.16918|-76.69335</t>
  </si>
  <si>
    <t>4.96950</t>
  </si>
  <si>
    <t>-74.39396</t>
  </si>
  <si>
    <t>4.9695|-74.39396</t>
  </si>
  <si>
    <t>5.81850</t>
  </si>
  <si>
    <t>-74.07841</t>
  </si>
  <si>
    <t>5.8185|-74.07841</t>
  </si>
  <si>
    <t>1.08696</t>
  </si>
  <si>
    <t>-76.63255</t>
  </si>
  <si>
    <t>1.08696|-76.63255</t>
  </si>
  <si>
    <t>6.6259722|-75.6666667</t>
  </si>
  <si>
    <t>6.6928333|-75.6967222</t>
  </si>
  <si>
    <t>6.6259722|-75.6567222</t>
  </si>
  <si>
    <t>6.8886111|-75.3555556</t>
  </si>
  <si>
    <t>6.2536111|-75.6694444</t>
  </si>
  <si>
    <t>4.85489</t>
  </si>
  <si>
    <t>-73.30046</t>
  </si>
  <si>
    <t>4.85489|-73.30046</t>
  </si>
  <si>
    <t>2.2902722|-76.3813278</t>
  </si>
  <si>
    <t>2.7827111|-76.2504556</t>
  </si>
  <si>
    <t>2.5931444|-76.3293222</t>
  </si>
  <si>
    <t>1.8183333|-76.8894444</t>
  </si>
  <si>
    <t>2.380766666666667</t>
  </si>
  <si>
    <t>-76.44408333333334</t>
  </si>
  <si>
    <t>Ya numérico</t>
  </si>
  <si>
    <t>2.380766666666667|-76.44408333333334</t>
  </si>
  <si>
    <t>4.56936</t>
  </si>
  <si>
    <t>-73.82628</t>
  </si>
  <si>
    <t>4.56936|-73.82628</t>
  </si>
  <si>
    <t>2.395325|-75.8912028</t>
  </si>
  <si>
    <t>1.8527417|-76.0355833</t>
  </si>
  <si>
    <t>2.1968194|-75.9769194</t>
  </si>
  <si>
    <t>2.9216333|-75.2765278</t>
  </si>
  <si>
    <t>1.2833333|-78.2333333</t>
  </si>
  <si>
    <t>7.08233</t>
  </si>
  <si>
    <t>-72.99467</t>
  </si>
  <si>
    <t>7.08233|-72.99467</t>
  </si>
  <si>
    <t>3.8401944|-77.1947222</t>
  </si>
  <si>
    <t>5.66577</t>
  </si>
  <si>
    <t>-73.36538</t>
  </si>
  <si>
    <t>5.66577|-73.36538</t>
  </si>
  <si>
    <t>5.95105</t>
  </si>
  <si>
    <t>-73.11839</t>
  </si>
  <si>
    <t>5.95105|-73.11839</t>
  </si>
  <si>
    <t>5.71778</t>
  </si>
  <si>
    <t>-73.45842</t>
  </si>
  <si>
    <t>5.71778|-73.45842</t>
  </si>
  <si>
    <t>4.9268944|-75.4162056</t>
  </si>
  <si>
    <t>2.3112194|-76.3922889</t>
  </si>
  <si>
    <t>2.5500028|-76.0666667</t>
  </si>
  <si>
    <t>2.58621</t>
  </si>
  <si>
    <t>-76.31979</t>
  </si>
  <si>
    <t>2.58621|-76.31979</t>
  </si>
  <si>
    <t>2.3510278|-76.6816972</t>
  </si>
  <si>
    <t>4.44359</t>
  </si>
  <si>
    <t>-74.12862</t>
  </si>
  <si>
    <t>4.44359|-74.12862</t>
  </si>
  <si>
    <t>4.66135</t>
  </si>
  <si>
    <t>-74.02105</t>
  </si>
  <si>
    <t>4.66135|-74.02105</t>
  </si>
  <si>
    <t>5.1134</t>
  </si>
  <si>
    <t>-73.84359</t>
  </si>
  <si>
    <t>5.1134|-73.84359</t>
  </si>
  <si>
    <t>1.14549</t>
  </si>
  <si>
    <t>-77.19798</t>
  </si>
  <si>
    <t>1.14549|-77.19798</t>
  </si>
  <si>
    <t>1.2|-77.2</t>
  </si>
  <si>
    <t>1.1626667|-77.1527472</t>
  </si>
  <si>
    <t>4.63795</t>
  </si>
  <si>
    <t>-75.48913</t>
  </si>
  <si>
    <t>4.63795|-75.48913</t>
  </si>
  <si>
    <t>4.4400361|-75.4301139</t>
  </si>
  <si>
    <t>11.15513</t>
  </si>
  <si>
    <t>-74.06847</t>
  </si>
  <si>
    <t>11.15513|-74.06847</t>
  </si>
  <si>
    <t>11.0961944</t>
  </si>
  <si>
    <t>-74.0754167</t>
  </si>
  <si>
    <t>11.0961944|-74.0754167</t>
  </si>
  <si>
    <t>-0.63239</t>
  </si>
  <si>
    <t>-72.33849</t>
  </si>
  <si>
    <t>-0.63239|-72.33849</t>
  </si>
  <si>
    <t>-3.7872</t>
  </si>
  <si>
    <t>-70.29703</t>
  </si>
  <si>
    <t>-3.7872|-70.29703</t>
  </si>
  <si>
    <t>-3.77961</t>
  </si>
  <si>
    <t>-70.20618</t>
  </si>
  <si>
    <t>-3.77961|-70.20618</t>
  </si>
  <si>
    <t>5.96664</t>
  </si>
  <si>
    <t>-74.92114</t>
  </si>
  <si>
    <t>5.96664|-74.92114</t>
  </si>
  <si>
    <t>6.2264</t>
  </si>
  <si>
    <t>-75.5666</t>
  </si>
  <si>
    <t>6.2264|-75.5666</t>
  </si>
  <si>
    <t>6.23099</t>
  </si>
  <si>
    <t>-75.6573</t>
  </si>
  <si>
    <t>6.23099|-75.6573</t>
  </si>
  <si>
    <t>6.439|-75.333</t>
  </si>
  <si>
    <t>6|-74.8333333</t>
  </si>
  <si>
    <t>5.64993</t>
  </si>
  <si>
    <t>-75.90005</t>
  </si>
  <si>
    <t>5.64993|-75.90005</t>
  </si>
  <si>
    <t>5.62418</t>
  </si>
  <si>
    <t>-73.57811</t>
  </si>
  <si>
    <t>5.62418|-73.57811</t>
  </si>
  <si>
    <t>5.62517</t>
  </si>
  <si>
    <t>-73.51368</t>
  </si>
  <si>
    <t>5.62517|-73.51368</t>
  </si>
  <si>
    <t>5.4286111|-75.69935</t>
  </si>
  <si>
    <t>5.0886389|-75.6193056</t>
  </si>
  <si>
    <t>4.9429167|-75.6961111</t>
  </si>
  <si>
    <t>5.2025|-75.5905667</t>
  </si>
  <si>
    <t>4.9833333|-75.5833333</t>
  </si>
  <si>
    <t>5.06099</t>
  </si>
  <si>
    <t>-75.60898</t>
  </si>
  <si>
    <t>5.06099|-75.60898</t>
  </si>
  <si>
    <t>4.925222222</t>
  </si>
  <si>
    <t>-75.45308333</t>
  </si>
  <si>
    <t>4.925222222|-75.45308333</t>
  </si>
  <si>
    <t>1.41731</t>
  </si>
  <si>
    <t>-75.87974</t>
  </si>
  <si>
    <t>1.41731|-75.87974</t>
  </si>
  <si>
    <t>0.9166667|-72.75</t>
  </si>
  <si>
    <t>1.0833333|-72.6666667</t>
  </si>
  <si>
    <t>0.089|-72.4453333</t>
  </si>
  <si>
    <t>0.2730556|-72.5065</t>
  </si>
  <si>
    <t>0.0711111|-72.4466667</t>
  </si>
  <si>
    <t>0.9375|-72.7001667</t>
  </si>
  <si>
    <t>2.2612778|-76.741425</t>
  </si>
  <si>
    <t>2.55212</t>
  </si>
  <si>
    <t>-77.86491</t>
  </si>
  <si>
    <t>2.55212|-77.86491</t>
  </si>
  <si>
    <t>1.8520833|-76.9247222</t>
  </si>
  <si>
    <t>5.40208</t>
  </si>
  <si>
    <t>-77.39632</t>
  </si>
  <si>
    <t>5.40208|-77.39632</t>
  </si>
  <si>
    <t>5.70249</t>
  </si>
  <si>
    <t>-76.76426</t>
  </si>
  <si>
    <t>5.70249|-76.76426</t>
  </si>
  <si>
    <t>5.6294</t>
  </si>
  <si>
    <t>-76.62924</t>
  </si>
  <si>
    <t>5.6294|-76.62924</t>
  </si>
  <si>
    <t>5.7|-77.2666667</t>
  </si>
  <si>
    <t>4.84084</t>
  </si>
  <si>
    <t>-73.65129</t>
  </si>
  <si>
    <t>4.84084|-73.65129</t>
  </si>
  <si>
    <t>4.33948</t>
  </si>
  <si>
    <t>-74.47888</t>
  </si>
  <si>
    <t>4.33948|-74.47888</t>
  </si>
  <si>
    <t>4.8666667|-74.4333333</t>
  </si>
  <si>
    <t>2.73598</t>
  </si>
  <si>
    <t>-67.92102</t>
  </si>
  <si>
    <t>2.73598|-67.92102</t>
  </si>
  <si>
    <t>2.38573</t>
  </si>
  <si>
    <t>-68.61714</t>
  </si>
  <si>
    <t>2.38573|-68.61714</t>
  </si>
  <si>
    <t>2.4744444|-72.6966667</t>
  </si>
  <si>
    <t>2.9287361|-75.28415</t>
  </si>
  <si>
    <t>3.40666</t>
  </si>
  <si>
    <t>-73.45934</t>
  </si>
  <si>
    <t>3.40666|-73.45934</t>
  </si>
  <si>
    <t>2.23431</t>
  </si>
  <si>
    <t>-73.8128</t>
  </si>
  <si>
    <t>2.23431|-73.8128</t>
  </si>
  <si>
    <t>3.99162</t>
  </si>
  <si>
    <t>-73.35912</t>
  </si>
  <si>
    <t>3.99162|-73.35912</t>
  </si>
  <si>
    <t>4.20102</t>
  </si>
  <si>
    <t>-73.74347</t>
  </si>
  <si>
    <t>4.20102|-73.74347</t>
  </si>
  <si>
    <t>4.27123</t>
  </si>
  <si>
    <t>-73.51549</t>
  </si>
  <si>
    <t>4.27123|-73.51549</t>
  </si>
  <si>
    <t>1.1176111|-76.3199722</t>
  </si>
  <si>
    <t>4.4421944|-75.7915722</t>
  </si>
  <si>
    <t>4.64853</t>
  </si>
  <si>
    <t>-75.72979</t>
  </si>
  <si>
    <t>4.64853|-75.72979</t>
  </si>
  <si>
    <t>4.59146</t>
  </si>
  <si>
    <t>-75.68297</t>
  </si>
  <si>
    <t>4.59146|-75.68297</t>
  </si>
  <si>
    <t>4.51003</t>
  </si>
  <si>
    <t>-75.61334</t>
  </si>
  <si>
    <t>4.51003|-75.61334</t>
  </si>
  <si>
    <t>4.68575</t>
  </si>
  <si>
    <t>-75.6327</t>
  </si>
  <si>
    <t>4.68575|-75.6327</t>
  </si>
  <si>
    <t>4.6666667|-75.6333333</t>
  </si>
  <si>
    <t>4.5579278|-75.7545917</t>
  </si>
  <si>
    <t>4.60903</t>
  </si>
  <si>
    <t>-75.69347</t>
  </si>
  <si>
    <t>4.60903|-75.69347</t>
  </si>
  <si>
    <t>6.30231</t>
  </si>
  <si>
    <t>-73.18924</t>
  </si>
  <si>
    <t>6.30231|-73.18924</t>
  </si>
  <si>
    <t>3.94207</t>
  </si>
  <si>
    <t>-74.59131</t>
  </si>
  <si>
    <t>3.94207|-74.59131</t>
  </si>
  <si>
    <t>4.4333333|-75.2333333</t>
  </si>
  <si>
    <t>3.9286</t>
  </si>
  <si>
    <t>-77.35646</t>
  </si>
  <si>
    <t>3.9286|-77.35646</t>
  </si>
  <si>
    <t>4.67096</t>
  </si>
  <si>
    <t>-75.76828</t>
  </si>
  <si>
    <t>4.67096|-75.76828</t>
  </si>
  <si>
    <t>3.91164</t>
  </si>
  <si>
    <t>-76.62072</t>
  </si>
  <si>
    <t>3.91164|-76.62072</t>
  </si>
  <si>
    <t>3.37498</t>
  </si>
  <si>
    <t>-76.53448</t>
  </si>
  <si>
    <t>3.37498|-76.53448</t>
  </si>
  <si>
    <t>3.93678</t>
  </si>
  <si>
    <t>-77.36533</t>
  </si>
  <si>
    <t>3.93678|-77.36533</t>
  </si>
  <si>
    <t>3.75279</t>
  </si>
  <si>
    <t>-76.58179</t>
  </si>
  <si>
    <t>3.75279|-76.58179</t>
  </si>
  <si>
    <t>3.36338</t>
  </si>
  <si>
    <t>-76.52325</t>
  </si>
  <si>
    <t>3.36338|-76.52325</t>
  </si>
  <si>
    <t>3.83698</t>
  </si>
  <si>
    <t>-77.19119</t>
  </si>
  <si>
    <t>3.83698|-77.19119</t>
  </si>
  <si>
    <t>0.25|-70.5</t>
  </si>
  <si>
    <t>4.89466</t>
  </si>
  <si>
    <t>-71.01073</t>
  </si>
  <si>
    <t>4.89466|-71.01073</t>
  </si>
  <si>
    <t>7.8333333|-75.4166667</t>
  </si>
  <si>
    <t>7.2333333|-76.4166667</t>
  </si>
  <si>
    <t>4.7694444|-73.3238889</t>
  </si>
  <si>
    <t>4.7638889|-73.3488889</t>
  </si>
  <si>
    <t>8.39106</t>
  </si>
  <si>
    <t>-73.28801</t>
  </si>
  <si>
    <t>8.39106|-73.28801</t>
  </si>
  <si>
    <t>5.0833333|-75.5084722</t>
  </si>
  <si>
    <t>5.7897889|-75.7851111</t>
  </si>
  <si>
    <t>6.155|-75.3888889</t>
  </si>
  <si>
    <t>2.1971583|-75.6382667</t>
  </si>
  <si>
    <t>6.22059</t>
  </si>
  <si>
    <t>-75.55411</t>
  </si>
  <si>
    <t>6.22059|-75.55411</t>
  </si>
  <si>
    <t>7.34367</t>
  </si>
  <si>
    <t>-72.6416</t>
  </si>
  <si>
    <t>7.34367|-72.6416</t>
  </si>
  <si>
    <t>6.5|-75.5333333</t>
  </si>
  <si>
    <t>6.2022472|-75.5181167</t>
  </si>
  <si>
    <t>6.3219444|-75.5858333</t>
  </si>
  <si>
    <t>6.2621111|-75.5084722</t>
  </si>
  <si>
    <t>6.24974</t>
  </si>
  <si>
    <t>-75.4854</t>
  </si>
  <si>
    <t>6.24974|-75.4854</t>
  </si>
  <si>
    <t>6.5870278|-75.6968889</t>
  </si>
  <si>
    <t>4.99108</t>
  </si>
  <si>
    <t>-74.13834</t>
  </si>
  <si>
    <t>4.99108|-74.13834</t>
  </si>
  <si>
    <t>5.98865</t>
  </si>
  <si>
    <t>-75.63363</t>
  </si>
  <si>
    <t>5.98865|-75.63363</t>
  </si>
  <si>
    <t>6.2509611|-75.7125111</t>
  </si>
  <si>
    <t>2.5450833|-75.808375</t>
  </si>
  <si>
    <t>1.8788889</t>
  </si>
  <si>
    <t>-75.6827778</t>
  </si>
  <si>
    <t>1.8788889|-75.6827778</t>
  </si>
  <si>
    <t>1.7697222</t>
  </si>
  <si>
    <t>-75.7770889</t>
  </si>
  <si>
    <t>1.7697222|-75.7770889</t>
  </si>
  <si>
    <t>5.52821</t>
  </si>
  <si>
    <t>-75.03066</t>
  </si>
  <si>
    <t>5.52821|-75.03066</t>
  </si>
  <si>
    <t>2.3623111</t>
  </si>
  <si>
    <t>-72.8260083</t>
  </si>
  <si>
    <t>2.3623111|-72.8260083</t>
  </si>
  <si>
    <t>2.22486</t>
  </si>
  <si>
    <t>-73,80461</t>
  </si>
  <si>
    <t>Coma→punto; Texto→número</t>
  </si>
  <si>
    <t>2.22486|-73.80461</t>
  </si>
  <si>
    <t>2.5308333</t>
  </si>
  <si>
    <t>-72.8108333</t>
  </si>
  <si>
    <t>2.5308333|-72.8108333</t>
  </si>
  <si>
    <t>3.901155</t>
  </si>
  <si>
    <t>-73.073369</t>
  </si>
  <si>
    <t>3.901155|-73.073369</t>
  </si>
  <si>
    <t>1.7472222</t>
  </si>
  <si>
    <t>-75.6783333</t>
  </si>
  <si>
    <t>1.7472222|-75.6783333</t>
  </si>
  <si>
    <t>1.1</t>
  </si>
  <si>
    <t>-77.8833333</t>
  </si>
  <si>
    <t>1.1|-77.8833333</t>
  </si>
  <si>
    <t>8.12</t>
  </si>
  <si>
    <t>-77.1336111</t>
  </si>
  <si>
    <t>8.12|-77.1336111</t>
  </si>
  <si>
    <t>7.1177778</t>
  </si>
  <si>
    <t>-74.2683333</t>
  </si>
  <si>
    <t>7.1177778|-74.2683333</t>
  </si>
  <si>
    <t>1557,542</t>
  </si>
  <si>
    <t>Franco_1628</t>
  </si>
  <si>
    <t>Arbeláez_534</t>
  </si>
  <si>
    <t>1641,770</t>
  </si>
  <si>
    <t>Lellinger_856</t>
  </si>
  <si>
    <t>761,894</t>
  </si>
  <si>
    <t>11.09632</t>
  </si>
  <si>
    <t>-74.07436</t>
  </si>
  <si>
    <t>1633,582</t>
  </si>
  <si>
    <t>Montero_22</t>
  </si>
  <si>
    <t>Bischler_2144</t>
  </si>
  <si>
    <t>1238,375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</si>
</sst>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"/>
  </numFmts>
  <fonts count="8">
    <font>
      <sz val="11"/>
      <color theme="1"/>
      <name val="Calibri"/>
    </font>
    <font>
      <b/>
      <sz val="1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1F1F1F"/>
      <name val="Calibri"/>
    </font>
    <font>
      <sz val="11"/>
      <color rgb="FF33333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8FC9D8"/>
      </patternFill>
    </fill>
    <fill>
      <patternFill patternType="solid">
        <fgColor rgb="FFD9EAF0"/>
      </patternFill>
    </fill>
    <fill>
      <patternFill patternType="solid">
        <fgColor rgb="FFF2F6F8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A8A7A5"/>
      </left>
      <right style="medium">
        <color rgb="FFA8A7A5"/>
      </right>
      <top style="medium">
        <color rgb="FFA8A7A5"/>
      </top>
      <bottom style="medium">
        <color rgb="FFA8A7A5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1F1F1F"/>
      </left>
      <right/>
      <top style="thin">
        <color rgb="FF1F1F1F"/>
      </top>
      <bottom style="thin">
        <color rgb="FFE7E6E6"/>
      </bottom>
      <diagonal/>
    </border>
    <border>
      <left/>
      <right/>
      <top style="thin">
        <color rgb="FF1F1F1F"/>
      </top>
      <bottom style="thin">
        <color rgb="FFE7E6E6"/>
      </bottom>
      <diagonal/>
    </border>
    <border>
      <left style="thin">
        <color rgb="FF1F1F1F"/>
      </left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1F1F1F"/>
      </left>
      <right/>
      <top style="thin">
        <color rgb="FFE7E6E6"/>
      </top>
      <bottom style="thin">
        <color rgb="FF1F1F1F"/>
      </bottom>
      <diagonal/>
    </border>
    <border>
      <left/>
      <right/>
      <top style="thin">
        <color rgb="FFE7E6E6"/>
      </top>
      <bottom style="thin">
        <color rgb="FF1F1F1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49" fontId="0" fillId="0" borderId="0" xfId="0" applyNumberFormat="1"/>
    <xf numFmtId="0" fontId="1" fillId="4" borderId="1" xfId="0" applyFont="1" applyFill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/>
    <xf numFmtId="49" fontId="1" fillId="4" borderId="1" xfId="0" applyNumberFormat="1" applyFont="1" applyFill="1" applyBorder="1" applyAlignment="1">
      <alignment horizontal="center" vertical="top"/>
    </xf>
    <xf numFmtId="14" fontId="0" fillId="0" borderId="0" xfId="0" applyNumberFormat="1" applyFill="1"/>
    <xf numFmtId="49" fontId="0" fillId="0" borderId="0" xfId="0" applyNumberFormat="1" applyFill="1"/>
    <xf numFmtId="164" fontId="0" fillId="0" borderId="0" xfId="0" applyNumberFormat="1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/>
    <xf numFmtId="0" fontId="5" fillId="7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6" borderId="11" xfId="0" applyNumberFormat="1" applyFont="1" applyFill="1" applyBorder="1" applyAlignment="1">
      <alignment horizontal="center" vertical="center" wrapText="1"/>
    </xf>
    <xf numFmtId="0" fontId="4" fillId="6" borderId="12" xfId="0" applyNumberFormat="1" applyFont="1" applyFill="1" applyBorder="1" applyAlignment="1">
      <alignment horizontal="center" vertical="center" wrapText="1"/>
    </xf>
    <xf numFmtId="0" fontId="0" fillId="0" borderId="14" xfId="0" applyNumberFormat="1" applyFont="1" applyFill="1" applyBorder="1" applyAlignment="1">
      <alignment vertical="center"/>
    </xf>
    <xf numFmtId="0" fontId="0" fillId="0" borderId="16" xfId="0" applyNumberFormat="1" applyFont="1" applyFill="1" applyBorder="1" applyAlignment="1">
      <alignment vertical="center"/>
    </xf>
    <xf numFmtId="0" fontId="0" fillId="0" borderId="13" xfId="0" applyNumberFormat="1" applyFont="1" applyFill="1" applyBorder="1" applyAlignment="1">
      <alignment horizontal="center" vertical="center"/>
    </xf>
    <xf numFmtId="0" fontId="0" fillId="0" borderId="15" xfId="0" applyNumberFormat="1" applyFont="1" applyFill="1" applyBorder="1" applyAlignment="1">
      <alignment horizontal="center" vertical="center"/>
    </xf>
    <xf numFmtId="164" fontId="0" fillId="0" borderId="14" xfId="0" applyNumberFormat="1" applyFont="1" applyFill="1" applyBorder="1" applyAlignment="1">
      <alignment horizontal="right" vertical="center"/>
    </xf>
    <xf numFmtId="164" fontId="0" fillId="0" borderId="16" xfId="0" applyNumberFormat="1" applyFont="1" applyFill="1" applyBorder="1" applyAlignment="1">
      <alignment horizontal="right" vertical="center"/>
    </xf>
    <xf numFmtId="0" fontId="0" fillId="0" borderId="14" xfId="0" applyNumberFormat="1" applyFont="1" applyFill="1" applyBorder="1" applyAlignment="1">
      <alignment horizontal="center" vertical="center"/>
    </xf>
    <xf numFmtId="0" fontId="0" fillId="0" borderId="16" xfId="0" applyNumberFormat="1" applyFont="1" applyFill="1" applyBorder="1" applyAlignment="1">
      <alignment horizontal="center" vertical="center"/>
    </xf>
    <xf numFmtId="1" fontId="0" fillId="0" borderId="14" xfId="0" applyNumberFormat="1" applyFont="1" applyFill="1" applyBorder="1" applyAlignment="1">
      <alignment horizontal="center" vertical="center"/>
    </xf>
    <xf numFmtId="1" fontId="0" fillId="0" borderId="16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7" fillId="9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6" fillId="8" borderId="0" xfId="0" applyNumberFormat="1" applyFont="1" applyFill="1" applyBorder="1" applyAlignment="1">
      <alignment wrapText="1"/>
    </xf>
    <xf numFmtId="0" fontId="4" fillId="6" borderId="0" xfId="0" applyNumberFormat="1" applyFont="1" applyFill="1" applyBorder="1" applyAlignment="1">
      <alignment horizontal="left" vertical="center"/>
    </xf>
    <xf numFmtId="0" fontId="6" fillId="8" borderId="0" xfId="0" applyNumberFormat="1" applyFont="1" applyFill="1" applyBorder="1"/>
  </cellXfs>
  <cellStyles count="1">
    <cellStyle name="Normal" xfId="0" builtinId="0"/>
  </cellStyles>
  <dxfs count="445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QC_Coordenadas" displayName="TablaQC_Coordenadas" ref="A1:K1224" totalsRowShown="0">
  <tableColumns count="11">
    <tableColumn id="1" xr3:uid="{00000000-0010-0000-0000-000001000000}" name="Fila_excel"/>
    <tableColumn id="2" xr3:uid="{00000000-0010-0000-0000-000002000000}" name="Latitud_original"/>
    <tableColumn id="3" xr3:uid="{00000000-0010-0000-0000-000003000000}" name="Longitud_original"/>
    <tableColumn id="4" xr3:uid="{00000000-0010-0000-0000-000004000000}" name="Latitud_final"/>
    <tableColumn id="5" xr3:uid="{00000000-0010-0000-0000-000005000000}" name="Longitud_final"/>
    <tableColumn id="6" xr3:uid="{00000000-0010-0000-0000-000006000000}" name="Acción_latitud"/>
    <tableColumn id="7" xr3:uid="{00000000-0010-0000-0000-000007000000}" name="Acción_longitud"/>
    <tableColumn id="8" xr3:uid="{00000000-0010-0000-0000-000008000000}" name="Estado_QC"/>
    <tableColumn id="9" xr3:uid="{00000000-0010-0000-0000-000009000000}" name="Observación"/>
    <tableColumn id="10" xr3:uid="{00000000-0010-0000-0000-00000A000000}" name="Par_unico"/>
    <tableColumn id="11" xr3:uid="{00000000-0010-0000-0000-00000B000000}" name="Duplicados_adicion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24"/>
  <sheetViews>
    <sheetView tabSelected="1" topLeftCell="A1114" workbookViewId="0">
      <selection activeCell="X920" sqref="X920"/>
    </sheetView>
  </sheetViews>
  <sheetFormatPr defaultColWidth="8.88671875" defaultRowHeight="14.4"/>
  <cols>
    <col min="1" max="1" width="23.109375" customWidth="1"/>
    <col min="2" max="2" width="21.21875" customWidth="1"/>
    <col min="3" max="3" width="20" customWidth="1"/>
    <col min="4" max="4" width="15.6640625" customWidth="1"/>
    <col min="5" max="5" width="55.33203125" customWidth="1"/>
    <col min="9" max="9" width="13.5546875" customWidth="1"/>
    <col min="10" max="10" width="12.6640625" customWidth="1"/>
    <col min="11" max="11" width="12.88671875" customWidth="1"/>
    <col min="12" max="12" width="12.6640625" customWidth="1"/>
    <col min="13" max="13" width="21" customWidth="1"/>
    <col min="14" max="14" width="11.33203125" customWidth="1"/>
    <col min="15" max="15" width="11.5546875" customWidth="1"/>
    <col min="16" max="16" width="20.77734375" customWidth="1"/>
    <col min="17" max="17" width="8.6640625" customWidth="1"/>
    <col min="18" max="18" width="20.33203125" customWidth="1"/>
    <col min="19" max="19" width="6.21875" customWidth="1"/>
    <col min="20" max="20" width="8.88671875" customWidth="1"/>
    <col min="21" max="21" width="17.5546875" customWidth="1"/>
    <col min="22" max="22" width="13.5546875" customWidth="1"/>
    <col min="23" max="23" width="21.109375" customWidth="1"/>
    <col min="24" max="24" width="21.109375" style="5" customWidth="1"/>
    <col min="25" max="25" width="13.109375" customWidth="1"/>
    <col min="26" max="26" width="12.5546875" customWidth="1"/>
    <col min="27" max="27" width="13.5546875" customWidth="1"/>
    <col min="28" max="28" width="18.77734375" customWidth="1"/>
    <col min="30" max="30" width="15.6640625" customWidth="1"/>
    <col min="31" max="31" width="26.109375" customWidth="1"/>
    <col min="33" max="33" width="12.77734375" customWidth="1"/>
  </cols>
  <sheetData>
    <row r="1" spans="1:36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1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8" t="s">
        <v>35</v>
      </c>
    </row>
    <row r="2" spans="1:36" s="2" customFormat="1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1860</v>
      </c>
      <c r="G2">
        <v>1860</v>
      </c>
      <c r="H2">
        <v>1860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/>
      <c r="R2" s="7">
        <v>21425</v>
      </c>
      <c r="S2"/>
      <c r="T2" t="s">
        <v>49</v>
      </c>
      <c r="U2"/>
      <c r="V2"/>
      <c r="W2" s="15">
        <v>1.8767332999999999</v>
      </c>
      <c r="X2" s="15">
        <v>-76.268186099999994</v>
      </c>
      <c r="Y2"/>
      <c r="Z2"/>
      <c r="AA2"/>
      <c r="AB2"/>
      <c r="AC2"/>
      <c r="AD2"/>
      <c r="AE2"/>
      <c r="AF2" t="s">
        <v>50</v>
      </c>
      <c r="AG2" t="s">
        <v>51</v>
      </c>
      <c r="AH2" t="s">
        <v>52</v>
      </c>
      <c r="AI2" t="s">
        <v>53</v>
      </c>
      <c r="AJ2">
        <v>1</v>
      </c>
    </row>
    <row r="3" spans="1:36">
      <c r="A3" t="s">
        <v>36</v>
      </c>
      <c r="B3" t="s">
        <v>37</v>
      </c>
      <c r="C3" t="s">
        <v>54</v>
      </c>
      <c r="D3" t="s">
        <v>55</v>
      </c>
      <c r="E3" t="s">
        <v>56</v>
      </c>
      <c r="F3">
        <v>2280</v>
      </c>
      <c r="G3">
        <v>2280</v>
      </c>
      <c r="H3">
        <v>2280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R3" s="7">
        <v>26625</v>
      </c>
      <c r="T3" t="s">
        <v>65</v>
      </c>
      <c r="W3" s="15">
        <v>1.0825899999999999</v>
      </c>
      <c r="X3" s="15">
        <v>-76.664119999999997</v>
      </c>
      <c r="Y3">
        <v>2639.5639999999999</v>
      </c>
      <c r="Z3">
        <v>696</v>
      </c>
      <c r="AB3" t="s">
        <v>66</v>
      </c>
      <c r="AF3" t="s">
        <v>50</v>
      </c>
      <c r="AG3" t="s">
        <v>67</v>
      </c>
      <c r="AH3" t="s">
        <v>68</v>
      </c>
      <c r="AI3" t="s">
        <v>69</v>
      </c>
      <c r="AJ3">
        <v>2</v>
      </c>
    </row>
    <row r="4" spans="1:36">
      <c r="A4" t="s">
        <v>36</v>
      </c>
      <c r="B4" t="s">
        <v>37</v>
      </c>
      <c r="C4" t="s">
        <v>70</v>
      </c>
      <c r="D4" t="s">
        <v>71</v>
      </c>
      <c r="E4" t="s">
        <v>72</v>
      </c>
      <c r="F4">
        <v>2280</v>
      </c>
      <c r="G4">
        <v>2280</v>
      </c>
      <c r="H4">
        <v>2280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R4" s="7"/>
      <c r="W4" s="15">
        <v>1.0825899999999999</v>
      </c>
      <c r="X4" s="15">
        <v>-76.664119999999997</v>
      </c>
      <c r="Y4">
        <v>2639.5639999999999</v>
      </c>
      <c r="Z4">
        <v>696</v>
      </c>
      <c r="AB4" t="s">
        <v>66</v>
      </c>
      <c r="AF4" t="s">
        <v>50</v>
      </c>
      <c r="AG4" t="s">
        <v>67</v>
      </c>
      <c r="AH4" t="s">
        <v>73</v>
      </c>
      <c r="AJ4">
        <v>3</v>
      </c>
    </row>
    <row r="5" spans="1:36">
      <c r="A5" t="s">
        <v>74</v>
      </c>
      <c r="B5" t="s">
        <v>37</v>
      </c>
      <c r="C5" t="s">
        <v>75</v>
      </c>
      <c r="D5" t="s">
        <v>76</v>
      </c>
      <c r="E5" t="s">
        <v>77</v>
      </c>
      <c r="F5" t="s">
        <v>78</v>
      </c>
      <c r="G5">
        <v>1900</v>
      </c>
      <c r="H5">
        <v>2350</v>
      </c>
      <c r="I5" t="s">
        <v>79</v>
      </c>
      <c r="K5" t="s">
        <v>79</v>
      </c>
      <c r="P5" t="s">
        <v>80</v>
      </c>
      <c r="R5" s="7">
        <v>14330</v>
      </c>
      <c r="T5" t="s">
        <v>81</v>
      </c>
      <c r="W5" s="15">
        <v>3.44733</v>
      </c>
      <c r="X5" s="15">
        <v>-76.541979999999995</v>
      </c>
      <c r="Y5">
        <v>444.16</v>
      </c>
      <c r="Z5">
        <v>1054</v>
      </c>
      <c r="AB5" t="s">
        <v>82</v>
      </c>
      <c r="AF5" t="s">
        <v>50</v>
      </c>
      <c r="AG5" t="s">
        <v>83</v>
      </c>
      <c r="AH5" t="s">
        <v>84</v>
      </c>
      <c r="AI5" t="s">
        <v>85</v>
      </c>
      <c r="AJ5">
        <v>5</v>
      </c>
    </row>
    <row r="6" spans="1:36">
      <c r="A6" t="s">
        <v>74</v>
      </c>
      <c r="B6" t="s">
        <v>37</v>
      </c>
      <c r="C6" t="s">
        <v>86</v>
      </c>
      <c r="D6" t="s">
        <v>87</v>
      </c>
      <c r="E6" t="s">
        <v>88</v>
      </c>
      <c r="F6">
        <v>2200</v>
      </c>
      <c r="G6">
        <v>2200</v>
      </c>
      <c r="H6">
        <v>2200</v>
      </c>
      <c r="P6" t="s">
        <v>80</v>
      </c>
      <c r="R6" s="7">
        <v>21055</v>
      </c>
      <c r="W6" s="15">
        <v>6.7830199999999996</v>
      </c>
      <c r="X6" s="15">
        <v>-72.082899999999995</v>
      </c>
      <c r="Y6">
        <v>3874.6759999999999</v>
      </c>
      <c r="Z6">
        <v>2264</v>
      </c>
      <c r="AB6" t="s">
        <v>89</v>
      </c>
      <c r="AF6" t="s">
        <v>50</v>
      </c>
      <c r="AG6" t="s">
        <v>90</v>
      </c>
      <c r="AH6" t="s">
        <v>91</v>
      </c>
      <c r="AI6" t="s">
        <v>92</v>
      </c>
      <c r="AJ6">
        <v>7</v>
      </c>
    </row>
    <row r="7" spans="1:36">
      <c r="A7" t="s">
        <v>74</v>
      </c>
      <c r="B7" t="s">
        <v>37</v>
      </c>
      <c r="C7" t="s">
        <v>93</v>
      </c>
      <c r="D7" t="s">
        <v>94</v>
      </c>
      <c r="E7" t="s">
        <v>95</v>
      </c>
      <c r="F7" t="s">
        <v>96</v>
      </c>
      <c r="G7">
        <v>1500</v>
      </c>
      <c r="H7">
        <v>1800</v>
      </c>
      <c r="P7" t="s">
        <v>80</v>
      </c>
      <c r="R7" s="7">
        <v>22542</v>
      </c>
      <c r="W7" s="15">
        <v>4.9794</v>
      </c>
      <c r="X7" s="15">
        <v>-74.310079999999999</v>
      </c>
      <c r="Y7">
        <v>928.81299999999999</v>
      </c>
      <c r="Z7">
        <v>1562</v>
      </c>
      <c r="AB7" t="s">
        <v>97</v>
      </c>
      <c r="AF7" t="s">
        <v>50</v>
      </c>
      <c r="AG7" t="s">
        <v>98</v>
      </c>
      <c r="AH7" t="s">
        <v>99</v>
      </c>
      <c r="AJ7">
        <v>8</v>
      </c>
    </row>
    <row r="8" spans="1:36">
      <c r="A8" t="s">
        <v>74</v>
      </c>
      <c r="B8" t="s">
        <v>37</v>
      </c>
      <c r="C8" t="s">
        <v>100</v>
      </c>
      <c r="D8" t="s">
        <v>101</v>
      </c>
      <c r="E8" t="s">
        <v>102</v>
      </c>
      <c r="F8">
        <v>2100</v>
      </c>
      <c r="G8">
        <v>2100</v>
      </c>
      <c r="H8">
        <v>2100</v>
      </c>
      <c r="P8" t="s">
        <v>80</v>
      </c>
      <c r="R8" s="7">
        <v>24736</v>
      </c>
      <c r="T8" t="s">
        <v>81</v>
      </c>
      <c r="W8" s="15">
        <v>4.41479</v>
      </c>
      <c r="X8" s="15">
        <v>-74.329689999999999</v>
      </c>
      <c r="Y8">
        <v>4441.96</v>
      </c>
      <c r="Z8">
        <v>2161</v>
      </c>
      <c r="AA8" t="s">
        <v>103</v>
      </c>
      <c r="AB8" t="s">
        <v>104</v>
      </c>
      <c r="AF8" t="s">
        <v>50</v>
      </c>
      <c r="AG8" t="s">
        <v>98</v>
      </c>
      <c r="AH8" t="s">
        <v>105</v>
      </c>
      <c r="AI8" t="s">
        <v>106</v>
      </c>
      <c r="AJ8">
        <v>11</v>
      </c>
    </row>
    <row r="9" spans="1:36">
      <c r="A9" t="s">
        <v>74</v>
      </c>
      <c r="B9" t="s">
        <v>37</v>
      </c>
      <c r="C9" t="s">
        <v>107</v>
      </c>
      <c r="D9" t="s">
        <v>108</v>
      </c>
      <c r="E9" t="s">
        <v>109</v>
      </c>
      <c r="F9" t="s">
        <v>110</v>
      </c>
      <c r="G9">
        <v>2000</v>
      </c>
      <c r="H9">
        <v>2300</v>
      </c>
      <c r="P9" t="s">
        <v>80</v>
      </c>
      <c r="R9" s="7">
        <v>25914</v>
      </c>
      <c r="T9" t="s">
        <v>111</v>
      </c>
      <c r="W9" s="15">
        <v>5.6283099999999999</v>
      </c>
      <c r="X9" s="15">
        <v>-73.902479999999997</v>
      </c>
      <c r="Y9">
        <v>2202.0929999999998</v>
      </c>
      <c r="Z9">
        <v>2286</v>
      </c>
      <c r="AB9" t="s">
        <v>112</v>
      </c>
      <c r="AF9" t="s">
        <v>50</v>
      </c>
      <c r="AG9" t="s">
        <v>90</v>
      </c>
      <c r="AH9" t="s">
        <v>113</v>
      </c>
      <c r="AI9" t="s">
        <v>114</v>
      </c>
      <c r="AJ9">
        <v>13</v>
      </c>
    </row>
    <row r="10" spans="1:36">
      <c r="A10" t="s">
        <v>74</v>
      </c>
      <c r="B10" t="s">
        <v>37</v>
      </c>
      <c r="C10" t="s">
        <v>115</v>
      </c>
      <c r="D10" t="s">
        <v>116</v>
      </c>
      <c r="E10" t="s">
        <v>117</v>
      </c>
      <c r="F10" t="s">
        <v>118</v>
      </c>
      <c r="G10">
        <v>2150</v>
      </c>
      <c r="H10">
        <v>2200</v>
      </c>
      <c r="P10" t="s">
        <v>80</v>
      </c>
      <c r="R10" s="7">
        <v>26019</v>
      </c>
      <c r="T10" t="s">
        <v>119</v>
      </c>
      <c r="W10" s="15">
        <v>4.7552000000000003</v>
      </c>
      <c r="X10" s="15">
        <v>-76.28734</v>
      </c>
      <c r="Y10">
        <v>1362.0219999999999</v>
      </c>
      <c r="Z10">
        <v>2210</v>
      </c>
      <c r="AB10" t="s">
        <v>120</v>
      </c>
      <c r="AF10" t="s">
        <v>50</v>
      </c>
      <c r="AG10" t="s">
        <v>83</v>
      </c>
      <c r="AH10" t="s">
        <v>121</v>
      </c>
      <c r="AI10" t="s">
        <v>122</v>
      </c>
      <c r="AJ10">
        <v>14</v>
      </c>
    </row>
    <row r="11" spans="1:36">
      <c r="A11" t="s">
        <v>74</v>
      </c>
      <c r="B11" t="s">
        <v>37</v>
      </c>
      <c r="C11" t="s">
        <v>123</v>
      </c>
      <c r="D11" t="s">
        <v>124</v>
      </c>
      <c r="E11" t="s">
        <v>125</v>
      </c>
      <c r="F11">
        <v>350</v>
      </c>
      <c r="G11">
        <v>350</v>
      </c>
      <c r="H11">
        <v>350</v>
      </c>
      <c r="P11" t="s">
        <v>80</v>
      </c>
      <c r="R11" s="7">
        <v>26818</v>
      </c>
      <c r="W11" s="15">
        <v>1.53403</v>
      </c>
      <c r="X11" s="15">
        <v>-78.067689999999999</v>
      </c>
      <c r="Y11">
        <v>996.47500000000002</v>
      </c>
      <c r="Z11">
        <v>411</v>
      </c>
      <c r="AB11" t="s">
        <v>126</v>
      </c>
      <c r="AF11" t="s">
        <v>50</v>
      </c>
      <c r="AG11" t="s">
        <v>127</v>
      </c>
      <c r="AH11" t="s">
        <v>128</v>
      </c>
      <c r="AJ11">
        <v>15</v>
      </c>
    </row>
    <row r="12" spans="1:36">
      <c r="A12" t="s">
        <v>74</v>
      </c>
      <c r="B12" t="s">
        <v>37</v>
      </c>
      <c r="C12" t="s">
        <v>129</v>
      </c>
      <c r="D12" t="s">
        <v>130</v>
      </c>
      <c r="E12" t="s">
        <v>131</v>
      </c>
      <c r="F12">
        <v>2030</v>
      </c>
      <c r="G12">
        <v>2030</v>
      </c>
      <c r="H12">
        <v>2030</v>
      </c>
      <c r="P12" t="s">
        <v>80</v>
      </c>
      <c r="R12" s="7">
        <v>29437</v>
      </c>
      <c r="T12" t="s">
        <v>111</v>
      </c>
      <c r="W12" s="15">
        <v>4.7179799999999998</v>
      </c>
      <c r="X12" s="15">
        <v>-75.07741</v>
      </c>
      <c r="Y12">
        <v>1609.867</v>
      </c>
      <c r="Z12">
        <v>2006</v>
      </c>
      <c r="AB12" t="s">
        <v>132</v>
      </c>
      <c r="AF12" t="s">
        <v>50</v>
      </c>
      <c r="AG12" t="s">
        <v>133</v>
      </c>
      <c r="AH12" t="s">
        <v>134</v>
      </c>
      <c r="AI12" t="s">
        <v>135</v>
      </c>
      <c r="AJ12">
        <v>16</v>
      </c>
    </row>
    <row r="13" spans="1:36">
      <c r="A13" t="s">
        <v>74</v>
      </c>
      <c r="B13" t="s">
        <v>37</v>
      </c>
      <c r="C13" t="s">
        <v>136</v>
      </c>
      <c r="D13" t="s">
        <v>137</v>
      </c>
      <c r="E13" t="s">
        <v>138</v>
      </c>
      <c r="F13">
        <v>1500</v>
      </c>
      <c r="G13">
        <v>1500</v>
      </c>
      <c r="H13">
        <v>1500</v>
      </c>
      <c r="P13" t="s">
        <v>80</v>
      </c>
      <c r="R13" s="7">
        <v>30305</v>
      </c>
      <c r="T13" t="s">
        <v>111</v>
      </c>
      <c r="W13" s="15">
        <v>1.96004</v>
      </c>
      <c r="X13" s="15">
        <v>-76.081140000000005</v>
      </c>
      <c r="Y13">
        <v>956.91600000000005</v>
      </c>
      <c r="Z13">
        <v>1296</v>
      </c>
      <c r="AB13" t="s">
        <v>139</v>
      </c>
      <c r="AF13" t="s">
        <v>50</v>
      </c>
      <c r="AG13" t="s">
        <v>51</v>
      </c>
      <c r="AH13" t="s">
        <v>140</v>
      </c>
      <c r="AI13" t="s">
        <v>141</v>
      </c>
      <c r="AJ13">
        <v>17</v>
      </c>
    </row>
    <row r="14" spans="1:36">
      <c r="A14" t="s">
        <v>74</v>
      </c>
      <c r="B14" t="s">
        <v>37</v>
      </c>
      <c r="C14" t="s">
        <v>142</v>
      </c>
      <c r="D14" t="s">
        <v>143</v>
      </c>
      <c r="E14" t="s">
        <v>144</v>
      </c>
      <c r="F14">
        <v>2140</v>
      </c>
      <c r="G14">
        <v>2140</v>
      </c>
      <c r="H14">
        <v>2140</v>
      </c>
      <c r="I14" t="s">
        <v>79</v>
      </c>
      <c r="K14" t="s">
        <v>79</v>
      </c>
      <c r="P14" t="s">
        <v>80</v>
      </c>
      <c r="R14" s="7">
        <v>30368</v>
      </c>
      <c r="T14" t="s">
        <v>79</v>
      </c>
      <c r="W14" s="15">
        <v>4.7414100000000001</v>
      </c>
      <c r="X14" s="15">
        <v>-76.11797</v>
      </c>
      <c r="Y14">
        <v>5425.3860000000004</v>
      </c>
      <c r="Z14">
        <v>1662</v>
      </c>
      <c r="AB14" t="s">
        <v>145</v>
      </c>
      <c r="AF14" t="s">
        <v>50</v>
      </c>
      <c r="AG14" t="s">
        <v>83</v>
      </c>
      <c r="AH14" t="s">
        <v>146</v>
      </c>
      <c r="AI14" t="s">
        <v>147</v>
      </c>
      <c r="AJ14">
        <v>18</v>
      </c>
    </row>
    <row r="15" spans="1:36">
      <c r="A15" t="s">
        <v>74</v>
      </c>
      <c r="B15" t="s">
        <v>37</v>
      </c>
      <c r="C15" t="s">
        <v>142</v>
      </c>
      <c r="D15" t="s">
        <v>148</v>
      </c>
      <c r="E15" t="s">
        <v>144</v>
      </c>
      <c r="F15">
        <v>2140</v>
      </c>
      <c r="G15">
        <v>2140</v>
      </c>
      <c r="H15">
        <v>2140</v>
      </c>
      <c r="I15" t="s">
        <v>79</v>
      </c>
      <c r="K15" t="s">
        <v>79</v>
      </c>
      <c r="P15" t="s">
        <v>80</v>
      </c>
      <c r="R15" s="7">
        <v>30368</v>
      </c>
      <c r="T15" t="s">
        <v>79</v>
      </c>
      <c r="W15" s="15">
        <v>4.7414100000000001</v>
      </c>
      <c r="X15" s="15">
        <v>-76.11797</v>
      </c>
      <c r="Y15">
        <v>5425.3860000000004</v>
      </c>
      <c r="Z15">
        <v>1662</v>
      </c>
      <c r="AB15" t="s">
        <v>145</v>
      </c>
      <c r="AF15" t="s">
        <v>50</v>
      </c>
      <c r="AG15" t="s">
        <v>83</v>
      </c>
      <c r="AH15" t="s">
        <v>146</v>
      </c>
      <c r="AI15" t="s">
        <v>147</v>
      </c>
      <c r="AJ15">
        <v>19</v>
      </c>
    </row>
    <row r="16" spans="1:36">
      <c r="A16" t="s">
        <v>74</v>
      </c>
      <c r="B16" t="s">
        <v>37</v>
      </c>
      <c r="C16" t="s">
        <v>149</v>
      </c>
      <c r="D16" t="s">
        <v>150</v>
      </c>
      <c r="E16" t="s">
        <v>151</v>
      </c>
      <c r="F16">
        <v>1600</v>
      </c>
      <c r="G16">
        <v>1600</v>
      </c>
      <c r="H16">
        <v>1600</v>
      </c>
      <c r="P16" t="s">
        <v>80</v>
      </c>
      <c r="R16" s="7">
        <v>30949</v>
      </c>
      <c r="W16" s="15">
        <v>3.9691800000000002</v>
      </c>
      <c r="X16" s="15">
        <v>-76.080100000000002</v>
      </c>
      <c r="Y16">
        <v>2011.5350000000001</v>
      </c>
      <c r="Z16">
        <v>1756</v>
      </c>
      <c r="AB16" t="s">
        <v>152</v>
      </c>
      <c r="AF16" t="s">
        <v>50</v>
      </c>
      <c r="AG16" t="s">
        <v>83</v>
      </c>
      <c r="AH16" t="s">
        <v>153</v>
      </c>
      <c r="AI16" t="s">
        <v>154</v>
      </c>
      <c r="AJ16">
        <v>20</v>
      </c>
    </row>
    <row r="17" spans="1:36">
      <c r="A17" t="s">
        <v>74</v>
      </c>
      <c r="B17" t="s">
        <v>37</v>
      </c>
      <c r="C17" t="s">
        <v>155</v>
      </c>
      <c r="D17" t="s">
        <v>156</v>
      </c>
      <c r="E17" t="s">
        <v>157</v>
      </c>
      <c r="F17">
        <v>2150</v>
      </c>
      <c r="G17">
        <v>2150</v>
      </c>
      <c r="H17">
        <v>2150</v>
      </c>
      <c r="I17" t="s">
        <v>158</v>
      </c>
      <c r="J17" t="s">
        <v>159</v>
      </c>
      <c r="K17" t="s">
        <v>160</v>
      </c>
      <c r="L17" t="s">
        <v>161</v>
      </c>
      <c r="M17" t="s">
        <v>162</v>
      </c>
      <c r="N17" t="s">
        <v>163</v>
      </c>
      <c r="O17" t="s">
        <v>164</v>
      </c>
      <c r="P17" t="s">
        <v>165</v>
      </c>
      <c r="R17" s="7">
        <v>31094</v>
      </c>
      <c r="T17" t="s">
        <v>166</v>
      </c>
      <c r="W17" s="15">
        <v>5.0577778000000002</v>
      </c>
      <c r="X17" s="15">
        <v>-75.499444400000002</v>
      </c>
      <c r="AF17" t="s">
        <v>50</v>
      </c>
      <c r="AG17" t="s">
        <v>167</v>
      </c>
      <c r="AH17" t="s">
        <v>168</v>
      </c>
      <c r="AI17" t="s">
        <v>169</v>
      </c>
      <c r="AJ17">
        <v>21</v>
      </c>
    </row>
    <row r="18" spans="1:36">
      <c r="A18" t="s">
        <v>74</v>
      </c>
      <c r="B18" t="s">
        <v>37</v>
      </c>
      <c r="C18" t="s">
        <v>170</v>
      </c>
      <c r="D18" t="s">
        <v>171</v>
      </c>
      <c r="E18" t="s">
        <v>172</v>
      </c>
      <c r="F18">
        <v>2800</v>
      </c>
      <c r="G18">
        <v>2800</v>
      </c>
      <c r="H18">
        <v>2800</v>
      </c>
      <c r="I18" t="s">
        <v>173</v>
      </c>
      <c r="J18" t="s">
        <v>174</v>
      </c>
      <c r="K18" t="s">
        <v>175</v>
      </c>
      <c r="L18" t="s">
        <v>176</v>
      </c>
      <c r="M18" t="s">
        <v>177</v>
      </c>
      <c r="N18" t="s">
        <v>178</v>
      </c>
      <c r="O18" t="s">
        <v>179</v>
      </c>
      <c r="P18" t="s">
        <v>180</v>
      </c>
      <c r="R18" s="7">
        <v>34317</v>
      </c>
      <c r="T18" t="s">
        <v>111</v>
      </c>
      <c r="W18" s="15">
        <v>4.4012500000000001</v>
      </c>
      <c r="X18" s="15">
        <v>-75.600149999999999</v>
      </c>
      <c r="Y18">
        <v>4545.8310000000001</v>
      </c>
      <c r="Z18">
        <v>2938</v>
      </c>
      <c r="AB18" t="s">
        <v>181</v>
      </c>
      <c r="AF18" t="s">
        <v>50</v>
      </c>
      <c r="AG18" t="s">
        <v>182</v>
      </c>
      <c r="AH18" t="s">
        <v>183</v>
      </c>
      <c r="AI18" t="s">
        <v>184</v>
      </c>
      <c r="AJ18">
        <v>22</v>
      </c>
    </row>
    <row r="19" spans="1:36">
      <c r="A19" t="s">
        <v>74</v>
      </c>
      <c r="B19" t="s">
        <v>37</v>
      </c>
      <c r="C19" t="s">
        <v>185</v>
      </c>
      <c r="D19" t="s">
        <v>186</v>
      </c>
      <c r="E19" t="s">
        <v>187</v>
      </c>
      <c r="F19">
        <v>1300</v>
      </c>
      <c r="G19">
        <v>1300</v>
      </c>
      <c r="H19">
        <v>1300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  <c r="N19" t="s">
        <v>193</v>
      </c>
      <c r="O19" t="s">
        <v>194</v>
      </c>
      <c r="P19" t="s">
        <v>195</v>
      </c>
      <c r="R19" s="7">
        <v>35749</v>
      </c>
      <c r="W19" s="15">
        <v>2.8136111000000001</v>
      </c>
      <c r="X19" s="15">
        <v>-74.838611099999994</v>
      </c>
      <c r="AF19" t="s">
        <v>50</v>
      </c>
      <c r="AG19" t="s">
        <v>196</v>
      </c>
      <c r="AH19" t="s">
        <v>197</v>
      </c>
      <c r="AI19" t="s">
        <v>198</v>
      </c>
      <c r="AJ19">
        <v>23</v>
      </c>
    </row>
    <row r="20" spans="1:36">
      <c r="A20" t="s">
        <v>74</v>
      </c>
      <c r="B20" t="s">
        <v>37</v>
      </c>
      <c r="C20" t="s">
        <v>199</v>
      </c>
      <c r="D20" t="s">
        <v>200</v>
      </c>
      <c r="E20" t="s">
        <v>187</v>
      </c>
      <c r="F20">
        <v>1500</v>
      </c>
      <c r="G20">
        <v>1500</v>
      </c>
      <c r="H20">
        <v>1500</v>
      </c>
      <c r="I20" t="s">
        <v>201</v>
      </c>
      <c r="J20" t="s">
        <v>202</v>
      </c>
      <c r="K20" t="s">
        <v>203</v>
      </c>
      <c r="L20" t="s">
        <v>204</v>
      </c>
      <c r="M20" t="s">
        <v>205</v>
      </c>
      <c r="N20" t="s">
        <v>206</v>
      </c>
      <c r="O20" t="s">
        <v>207</v>
      </c>
      <c r="P20" t="s">
        <v>208</v>
      </c>
      <c r="R20" s="7">
        <v>35749</v>
      </c>
      <c r="W20" s="15">
        <v>2.8152778000000001</v>
      </c>
      <c r="X20" s="15">
        <v>-74.841944400000003</v>
      </c>
      <c r="AF20" t="s">
        <v>50</v>
      </c>
      <c r="AG20" t="s">
        <v>196</v>
      </c>
      <c r="AH20" t="s">
        <v>197</v>
      </c>
      <c r="AI20" t="s">
        <v>198</v>
      </c>
      <c r="AJ20">
        <v>24</v>
      </c>
    </row>
    <row r="21" spans="1:36">
      <c r="A21" t="s">
        <v>74</v>
      </c>
      <c r="B21" t="s">
        <v>37</v>
      </c>
      <c r="C21" t="s">
        <v>199</v>
      </c>
      <c r="D21" t="s">
        <v>209</v>
      </c>
      <c r="E21" t="s">
        <v>187</v>
      </c>
      <c r="F21">
        <v>1500</v>
      </c>
      <c r="G21">
        <v>1500</v>
      </c>
      <c r="H21">
        <v>1500</v>
      </c>
      <c r="I21" t="s">
        <v>201</v>
      </c>
      <c r="J21" t="s">
        <v>202</v>
      </c>
      <c r="K21" t="s">
        <v>203</v>
      </c>
      <c r="L21" t="s">
        <v>204</v>
      </c>
      <c r="M21" t="s">
        <v>205</v>
      </c>
      <c r="N21" t="s">
        <v>206</v>
      </c>
      <c r="O21" t="s">
        <v>207</v>
      </c>
      <c r="P21" t="s">
        <v>208</v>
      </c>
      <c r="R21" s="7">
        <v>35749</v>
      </c>
      <c r="W21" s="15">
        <v>2.8152778000000001</v>
      </c>
      <c r="X21" s="15">
        <v>-74.841944400000003</v>
      </c>
      <c r="AF21" t="s">
        <v>50</v>
      </c>
      <c r="AG21" t="s">
        <v>196</v>
      </c>
      <c r="AH21" t="s">
        <v>197</v>
      </c>
      <c r="AI21" t="s">
        <v>198</v>
      </c>
      <c r="AJ21">
        <v>25</v>
      </c>
    </row>
    <row r="22" spans="1:36">
      <c r="A22" t="s">
        <v>74</v>
      </c>
      <c r="B22" t="s">
        <v>37</v>
      </c>
      <c r="C22" t="s">
        <v>210</v>
      </c>
      <c r="D22" t="s">
        <v>211</v>
      </c>
      <c r="E22" t="s">
        <v>212</v>
      </c>
      <c r="F22">
        <v>1900</v>
      </c>
      <c r="G22">
        <v>1900</v>
      </c>
      <c r="H22">
        <v>1900</v>
      </c>
      <c r="P22" t="s">
        <v>80</v>
      </c>
      <c r="R22" s="7">
        <v>37161</v>
      </c>
      <c r="T22" t="s">
        <v>213</v>
      </c>
      <c r="W22" s="15">
        <v>4.8996399999999998</v>
      </c>
      <c r="X22" s="15">
        <v>-74.424379999999999</v>
      </c>
      <c r="Y22">
        <v>130.82400000000001</v>
      </c>
      <c r="Z22">
        <v>2069</v>
      </c>
      <c r="AB22" t="s">
        <v>214</v>
      </c>
      <c r="AF22" t="s">
        <v>50</v>
      </c>
      <c r="AG22" t="s">
        <v>98</v>
      </c>
      <c r="AH22" t="s">
        <v>215</v>
      </c>
      <c r="AI22" t="s">
        <v>216</v>
      </c>
      <c r="AJ22">
        <v>26</v>
      </c>
    </row>
    <row r="23" spans="1:36">
      <c r="A23" t="s">
        <v>74</v>
      </c>
      <c r="B23" t="s">
        <v>37</v>
      </c>
      <c r="C23" t="s">
        <v>210</v>
      </c>
      <c r="D23" t="s">
        <v>217</v>
      </c>
      <c r="E23" t="s">
        <v>212</v>
      </c>
      <c r="F23">
        <v>1900</v>
      </c>
      <c r="G23">
        <v>1900</v>
      </c>
      <c r="H23">
        <v>1900</v>
      </c>
      <c r="P23" t="s">
        <v>80</v>
      </c>
      <c r="R23" s="7">
        <v>37161</v>
      </c>
      <c r="T23" t="s">
        <v>213</v>
      </c>
      <c r="W23" s="15">
        <v>4.8996399999999998</v>
      </c>
      <c r="X23" s="15">
        <v>-74.424379999999999</v>
      </c>
      <c r="Y23">
        <v>130.82400000000001</v>
      </c>
      <c r="Z23">
        <v>2069</v>
      </c>
      <c r="AB23" t="s">
        <v>214</v>
      </c>
      <c r="AF23" t="s">
        <v>50</v>
      </c>
      <c r="AG23" t="s">
        <v>98</v>
      </c>
      <c r="AH23" t="s">
        <v>215</v>
      </c>
      <c r="AI23" t="s">
        <v>216</v>
      </c>
      <c r="AJ23">
        <v>27</v>
      </c>
    </row>
    <row r="24" spans="1:36">
      <c r="A24" t="s">
        <v>74</v>
      </c>
      <c r="B24" t="s">
        <v>37</v>
      </c>
      <c r="C24" t="s">
        <v>210</v>
      </c>
      <c r="D24" t="s">
        <v>218</v>
      </c>
      <c r="E24" t="s">
        <v>212</v>
      </c>
      <c r="F24">
        <v>1900</v>
      </c>
      <c r="G24">
        <v>1900</v>
      </c>
      <c r="H24">
        <v>1900</v>
      </c>
      <c r="P24" t="s">
        <v>80</v>
      </c>
      <c r="R24" s="7">
        <v>37161</v>
      </c>
      <c r="T24" t="s">
        <v>213</v>
      </c>
      <c r="W24" s="15">
        <v>4.8996399999999998</v>
      </c>
      <c r="X24" s="15">
        <v>-74.424379999999999</v>
      </c>
      <c r="Y24">
        <v>130.82400000000001</v>
      </c>
      <c r="Z24">
        <v>2069</v>
      </c>
      <c r="AB24" t="s">
        <v>214</v>
      </c>
      <c r="AF24" t="s">
        <v>50</v>
      </c>
      <c r="AG24" t="s">
        <v>98</v>
      </c>
      <c r="AH24" t="s">
        <v>215</v>
      </c>
      <c r="AI24" t="s">
        <v>216</v>
      </c>
      <c r="AJ24">
        <v>28</v>
      </c>
    </row>
    <row r="25" spans="1:36">
      <c r="A25" t="s">
        <v>74</v>
      </c>
      <c r="B25" t="s">
        <v>37</v>
      </c>
      <c r="C25" t="s">
        <v>219</v>
      </c>
      <c r="D25" t="s">
        <v>220</v>
      </c>
      <c r="E25" t="s">
        <v>221</v>
      </c>
      <c r="F25" t="s">
        <v>222</v>
      </c>
      <c r="G25">
        <v>1800</v>
      </c>
      <c r="H25">
        <v>2700</v>
      </c>
      <c r="P25" t="s">
        <v>80</v>
      </c>
      <c r="R25" s="7">
        <v>38160</v>
      </c>
      <c r="T25" t="s">
        <v>119</v>
      </c>
      <c r="W25" s="15">
        <v>7.1418900000000001</v>
      </c>
      <c r="X25" s="15">
        <v>-73.024690000000007</v>
      </c>
      <c r="Y25">
        <v>2437.4490000000001</v>
      </c>
      <c r="Z25">
        <v>1848</v>
      </c>
      <c r="AB25" t="s">
        <v>223</v>
      </c>
      <c r="AF25" t="s">
        <v>50</v>
      </c>
      <c r="AG25" t="s">
        <v>224</v>
      </c>
      <c r="AH25" t="s">
        <v>225</v>
      </c>
      <c r="AI25" t="s">
        <v>226</v>
      </c>
      <c r="AJ25">
        <v>29</v>
      </c>
    </row>
    <row r="26" spans="1:36">
      <c r="A26" t="s">
        <v>74</v>
      </c>
      <c r="B26" t="s">
        <v>37</v>
      </c>
      <c r="C26" t="s">
        <v>227</v>
      </c>
      <c r="D26" t="s">
        <v>228</v>
      </c>
      <c r="E26" t="s">
        <v>229</v>
      </c>
      <c r="F26">
        <v>2203</v>
      </c>
      <c r="G26">
        <v>2203</v>
      </c>
      <c r="H26">
        <v>2203</v>
      </c>
      <c r="I26" t="s">
        <v>230</v>
      </c>
      <c r="J26" t="s">
        <v>230</v>
      </c>
      <c r="K26" t="s">
        <v>231</v>
      </c>
      <c r="L26" t="s">
        <v>231</v>
      </c>
      <c r="M26" t="s">
        <v>232</v>
      </c>
      <c r="N26" t="s">
        <v>233</v>
      </c>
      <c r="O26" t="s">
        <v>234</v>
      </c>
      <c r="P26" t="s">
        <v>235</v>
      </c>
      <c r="R26" s="7">
        <v>38197</v>
      </c>
      <c r="T26" t="s">
        <v>236</v>
      </c>
      <c r="W26" s="15">
        <v>5.1624999999999996</v>
      </c>
      <c r="X26" s="15">
        <v>-75.495279999999994</v>
      </c>
      <c r="Y26">
        <v>301.459</v>
      </c>
      <c r="Z26">
        <v>2203</v>
      </c>
      <c r="AA26" t="s">
        <v>237</v>
      </c>
      <c r="AB26">
        <v>20</v>
      </c>
      <c r="AF26" t="s">
        <v>50</v>
      </c>
      <c r="AG26" t="s">
        <v>167</v>
      </c>
      <c r="AH26" t="s">
        <v>238</v>
      </c>
      <c r="AI26" t="s">
        <v>239</v>
      </c>
      <c r="AJ26">
        <v>30</v>
      </c>
    </row>
    <row r="27" spans="1:36">
      <c r="A27" t="s">
        <v>74</v>
      </c>
      <c r="B27" t="s">
        <v>37</v>
      </c>
      <c r="C27" t="s">
        <v>240</v>
      </c>
      <c r="D27" t="s">
        <v>241</v>
      </c>
      <c r="E27" t="s">
        <v>242</v>
      </c>
      <c r="F27">
        <v>1550</v>
      </c>
      <c r="G27">
        <v>1550</v>
      </c>
      <c r="H27">
        <v>1550</v>
      </c>
      <c r="I27" t="s">
        <v>243</v>
      </c>
      <c r="J27" t="s">
        <v>244</v>
      </c>
      <c r="K27" t="s">
        <v>245</v>
      </c>
      <c r="L27" t="s">
        <v>246</v>
      </c>
      <c r="M27" t="s">
        <v>247</v>
      </c>
      <c r="N27" t="s">
        <v>248</v>
      </c>
      <c r="O27" t="s">
        <v>249</v>
      </c>
      <c r="P27" t="s">
        <v>250</v>
      </c>
      <c r="R27" s="7">
        <v>38363</v>
      </c>
      <c r="W27" s="15">
        <v>1.8089999999999999</v>
      </c>
      <c r="X27" s="15">
        <v>-76.016499999999994</v>
      </c>
      <c r="AF27" t="s">
        <v>50</v>
      </c>
      <c r="AG27" t="s">
        <v>51</v>
      </c>
      <c r="AH27" t="s">
        <v>140</v>
      </c>
      <c r="AI27" t="s">
        <v>251</v>
      </c>
      <c r="AJ27">
        <v>31</v>
      </c>
    </row>
    <row r="28" spans="1:36">
      <c r="A28" t="s">
        <v>74</v>
      </c>
      <c r="B28" t="s">
        <v>37</v>
      </c>
      <c r="C28" t="s">
        <v>252</v>
      </c>
      <c r="D28" t="s">
        <v>253</v>
      </c>
      <c r="E28" t="s">
        <v>254</v>
      </c>
      <c r="F28">
        <v>1950</v>
      </c>
      <c r="G28">
        <v>1950</v>
      </c>
      <c r="H28">
        <v>1950</v>
      </c>
      <c r="I28" t="s">
        <v>255</v>
      </c>
      <c r="J28" t="s">
        <v>256</v>
      </c>
      <c r="K28" t="s">
        <v>257</v>
      </c>
      <c r="L28" t="s">
        <v>258</v>
      </c>
      <c r="M28" t="s">
        <v>259</v>
      </c>
      <c r="N28" t="s">
        <v>260</v>
      </c>
      <c r="O28" t="s">
        <v>261</v>
      </c>
      <c r="P28" t="s">
        <v>262</v>
      </c>
      <c r="R28" s="7">
        <v>38420</v>
      </c>
      <c r="W28" s="15">
        <v>2.2122221999999998</v>
      </c>
      <c r="X28" s="15">
        <v>-75.939722200000006</v>
      </c>
      <c r="AF28" t="s">
        <v>50</v>
      </c>
      <c r="AG28" t="s">
        <v>51</v>
      </c>
      <c r="AH28" t="s">
        <v>263</v>
      </c>
      <c r="AI28" t="s">
        <v>264</v>
      </c>
      <c r="AJ28">
        <v>32</v>
      </c>
    </row>
    <row r="29" spans="1:36">
      <c r="A29" t="s">
        <v>74</v>
      </c>
      <c r="B29" t="s">
        <v>37</v>
      </c>
      <c r="C29" t="s">
        <v>265</v>
      </c>
      <c r="D29" t="s">
        <v>266</v>
      </c>
      <c r="E29" t="s">
        <v>267</v>
      </c>
      <c r="F29">
        <v>1700</v>
      </c>
      <c r="G29">
        <v>1700</v>
      </c>
      <c r="H29">
        <v>1700</v>
      </c>
      <c r="I29" t="s">
        <v>268</v>
      </c>
      <c r="J29" t="s">
        <v>269</v>
      </c>
      <c r="K29" t="s">
        <v>270</v>
      </c>
      <c r="L29" t="s">
        <v>271</v>
      </c>
      <c r="M29" t="s">
        <v>272</v>
      </c>
      <c r="N29" t="s">
        <v>273</v>
      </c>
      <c r="O29" t="s">
        <v>274</v>
      </c>
      <c r="P29" t="s">
        <v>275</v>
      </c>
      <c r="R29" s="7">
        <v>38573</v>
      </c>
      <c r="W29" s="15">
        <v>2.2130556000000001</v>
      </c>
      <c r="X29" s="15">
        <v>-75.947222199999999</v>
      </c>
      <c r="AF29" t="s">
        <v>50</v>
      </c>
      <c r="AG29" t="s">
        <v>51</v>
      </c>
      <c r="AH29" t="s">
        <v>263</v>
      </c>
      <c r="AI29" t="s">
        <v>276</v>
      </c>
      <c r="AJ29">
        <v>33</v>
      </c>
    </row>
    <row r="30" spans="1:36">
      <c r="A30" t="s">
        <v>74</v>
      </c>
      <c r="B30" t="s">
        <v>37</v>
      </c>
      <c r="C30" t="s">
        <v>265</v>
      </c>
      <c r="D30" t="s">
        <v>277</v>
      </c>
      <c r="E30" t="s">
        <v>267</v>
      </c>
      <c r="F30">
        <v>1700</v>
      </c>
      <c r="G30">
        <v>1700</v>
      </c>
      <c r="H30">
        <v>1700</v>
      </c>
      <c r="I30" t="s">
        <v>268</v>
      </c>
      <c r="J30" t="s">
        <v>269</v>
      </c>
      <c r="K30" t="s">
        <v>270</v>
      </c>
      <c r="L30" t="s">
        <v>271</v>
      </c>
      <c r="M30" t="s">
        <v>272</v>
      </c>
      <c r="N30" t="s">
        <v>273</v>
      </c>
      <c r="O30" t="s">
        <v>274</v>
      </c>
      <c r="P30" t="s">
        <v>275</v>
      </c>
      <c r="R30" s="7">
        <v>38573</v>
      </c>
      <c r="W30" s="15">
        <v>2.2130556000000001</v>
      </c>
      <c r="X30" s="15">
        <v>-75.947222199999999</v>
      </c>
      <c r="AF30" t="s">
        <v>50</v>
      </c>
      <c r="AG30" t="s">
        <v>51</v>
      </c>
      <c r="AH30" t="s">
        <v>263</v>
      </c>
      <c r="AI30" t="s">
        <v>276</v>
      </c>
      <c r="AJ30">
        <v>34</v>
      </c>
    </row>
    <row r="31" spans="1:36">
      <c r="A31" t="s">
        <v>74</v>
      </c>
      <c r="B31" t="s">
        <v>37</v>
      </c>
      <c r="C31" t="s">
        <v>265</v>
      </c>
      <c r="D31" t="s">
        <v>278</v>
      </c>
      <c r="E31" t="s">
        <v>267</v>
      </c>
      <c r="F31">
        <v>1700</v>
      </c>
      <c r="G31">
        <v>1700</v>
      </c>
      <c r="H31">
        <v>1700</v>
      </c>
      <c r="I31" t="s">
        <v>268</v>
      </c>
      <c r="J31" t="s">
        <v>269</v>
      </c>
      <c r="K31" t="s">
        <v>270</v>
      </c>
      <c r="L31" t="s">
        <v>271</v>
      </c>
      <c r="M31" t="s">
        <v>272</v>
      </c>
      <c r="N31" t="s">
        <v>273</v>
      </c>
      <c r="O31" t="s">
        <v>274</v>
      </c>
      <c r="P31" t="s">
        <v>275</v>
      </c>
      <c r="R31" s="7">
        <v>38573</v>
      </c>
      <c r="W31" s="15">
        <v>2.2130556000000001</v>
      </c>
      <c r="X31" s="15">
        <v>-75.947222199999999</v>
      </c>
      <c r="AF31" t="s">
        <v>50</v>
      </c>
      <c r="AG31" t="s">
        <v>51</v>
      </c>
      <c r="AH31" t="s">
        <v>263</v>
      </c>
      <c r="AI31" t="s">
        <v>276</v>
      </c>
      <c r="AJ31">
        <v>35</v>
      </c>
    </row>
    <row r="32" spans="1:36">
      <c r="A32" t="s">
        <v>74</v>
      </c>
      <c r="B32" t="s">
        <v>37</v>
      </c>
      <c r="C32" t="s">
        <v>279</v>
      </c>
      <c r="D32" t="s">
        <v>280</v>
      </c>
      <c r="E32" t="s">
        <v>281</v>
      </c>
      <c r="F32">
        <v>1600</v>
      </c>
      <c r="G32">
        <v>1600</v>
      </c>
      <c r="H32">
        <v>1600</v>
      </c>
      <c r="P32" t="s">
        <v>80</v>
      </c>
      <c r="R32" s="7">
        <v>38825</v>
      </c>
      <c r="T32" t="s">
        <v>119</v>
      </c>
      <c r="W32" s="15">
        <v>2.51058</v>
      </c>
      <c r="X32" s="15">
        <v>-76.984210000000004</v>
      </c>
      <c r="Y32">
        <v>1862.7349999999999</v>
      </c>
      <c r="Z32">
        <v>1783</v>
      </c>
      <c r="AB32" t="s">
        <v>282</v>
      </c>
      <c r="AF32" t="s">
        <v>50</v>
      </c>
      <c r="AG32" t="s">
        <v>283</v>
      </c>
      <c r="AH32" t="s">
        <v>284</v>
      </c>
      <c r="AI32" t="s">
        <v>285</v>
      </c>
      <c r="AJ32">
        <v>36</v>
      </c>
    </row>
    <row r="33" spans="1:36">
      <c r="A33" t="s">
        <v>74</v>
      </c>
      <c r="B33" t="s">
        <v>37</v>
      </c>
      <c r="C33" t="s">
        <v>286</v>
      </c>
      <c r="D33" t="s">
        <v>228</v>
      </c>
      <c r="E33" t="s">
        <v>287</v>
      </c>
      <c r="F33">
        <v>2147</v>
      </c>
      <c r="G33">
        <v>2147</v>
      </c>
      <c r="H33">
        <v>2147</v>
      </c>
      <c r="I33" t="s">
        <v>288</v>
      </c>
      <c r="J33" t="s">
        <v>289</v>
      </c>
      <c r="K33" t="s">
        <v>290</v>
      </c>
      <c r="L33" t="s">
        <v>291</v>
      </c>
      <c r="M33" t="s">
        <v>292</v>
      </c>
      <c r="N33" t="s">
        <v>293</v>
      </c>
      <c r="O33" t="s">
        <v>294</v>
      </c>
      <c r="P33" t="s">
        <v>295</v>
      </c>
      <c r="R33" s="7">
        <v>39820</v>
      </c>
      <c r="T33" t="s">
        <v>81</v>
      </c>
      <c r="W33" s="15">
        <v>1.9849861</v>
      </c>
      <c r="X33" s="15">
        <v>-76.285502800000003</v>
      </c>
      <c r="AF33" t="s">
        <v>50</v>
      </c>
      <c r="AG33" t="s">
        <v>51</v>
      </c>
      <c r="AH33" t="s">
        <v>296</v>
      </c>
      <c r="AI33" t="s">
        <v>297</v>
      </c>
      <c r="AJ33">
        <v>37</v>
      </c>
    </row>
    <row r="34" spans="1:36">
      <c r="A34" t="s">
        <v>74</v>
      </c>
      <c r="B34" t="s">
        <v>37</v>
      </c>
      <c r="C34" t="s">
        <v>298</v>
      </c>
      <c r="D34" t="s">
        <v>299</v>
      </c>
      <c r="E34" t="s">
        <v>300</v>
      </c>
      <c r="F34">
        <v>2526</v>
      </c>
      <c r="G34">
        <v>2526</v>
      </c>
      <c r="H34">
        <v>2526</v>
      </c>
      <c r="I34" t="s">
        <v>301</v>
      </c>
      <c r="J34" t="s">
        <v>301</v>
      </c>
      <c r="K34" t="s">
        <v>302</v>
      </c>
      <c r="L34" t="s">
        <v>302</v>
      </c>
      <c r="M34" t="s">
        <v>303</v>
      </c>
      <c r="N34" t="s">
        <v>304</v>
      </c>
      <c r="O34" t="s">
        <v>305</v>
      </c>
      <c r="P34" t="s">
        <v>306</v>
      </c>
      <c r="R34" s="7">
        <v>40002</v>
      </c>
      <c r="T34" t="s">
        <v>119</v>
      </c>
      <c r="W34" s="15">
        <v>4.9848800000000004</v>
      </c>
      <c r="X34" s="15">
        <v>-75.451160000000002</v>
      </c>
      <c r="Y34">
        <v>1408.049</v>
      </c>
      <c r="Z34">
        <v>2572</v>
      </c>
      <c r="AA34" t="s">
        <v>237</v>
      </c>
      <c r="AB34">
        <v>19</v>
      </c>
      <c r="AF34" t="s">
        <v>50</v>
      </c>
      <c r="AG34" t="s">
        <v>167</v>
      </c>
      <c r="AH34" t="s">
        <v>307</v>
      </c>
      <c r="AI34" t="s">
        <v>308</v>
      </c>
      <c r="AJ34">
        <v>38</v>
      </c>
    </row>
    <row r="35" spans="1:36">
      <c r="A35" t="s">
        <v>74</v>
      </c>
      <c r="B35" t="s">
        <v>37</v>
      </c>
      <c r="C35" t="s">
        <v>309</v>
      </c>
      <c r="D35" t="s">
        <v>228</v>
      </c>
      <c r="E35" t="s">
        <v>310</v>
      </c>
      <c r="F35">
        <v>1950</v>
      </c>
      <c r="G35">
        <v>1950</v>
      </c>
      <c r="H35">
        <v>1950</v>
      </c>
      <c r="I35" t="s">
        <v>311</v>
      </c>
      <c r="J35" t="s">
        <v>311</v>
      </c>
      <c r="K35" t="s">
        <v>312</v>
      </c>
      <c r="L35" t="s">
        <v>313</v>
      </c>
      <c r="M35" t="s">
        <v>314</v>
      </c>
      <c r="N35" t="s">
        <v>315</v>
      </c>
      <c r="O35" t="s">
        <v>316</v>
      </c>
      <c r="P35" t="s">
        <v>317</v>
      </c>
      <c r="R35" s="7">
        <v>40013</v>
      </c>
      <c r="T35" t="s">
        <v>318</v>
      </c>
      <c r="W35" s="15">
        <v>4.6806700000000001</v>
      </c>
      <c r="X35" s="15">
        <v>-75.634519999999995</v>
      </c>
      <c r="Y35">
        <v>2304.893</v>
      </c>
      <c r="Z35">
        <v>1856</v>
      </c>
      <c r="AB35" t="s">
        <v>319</v>
      </c>
      <c r="AF35" t="s">
        <v>50</v>
      </c>
      <c r="AG35" t="s">
        <v>182</v>
      </c>
      <c r="AH35" t="s">
        <v>320</v>
      </c>
      <c r="AI35" t="s">
        <v>321</v>
      </c>
      <c r="AJ35">
        <v>39</v>
      </c>
    </row>
    <row r="36" spans="1:36">
      <c r="A36" t="s">
        <v>74</v>
      </c>
      <c r="B36" t="s">
        <v>37</v>
      </c>
      <c r="C36" t="s">
        <v>322</v>
      </c>
      <c r="D36" t="s">
        <v>228</v>
      </c>
      <c r="E36" t="s">
        <v>323</v>
      </c>
      <c r="F36">
        <v>1925</v>
      </c>
      <c r="G36">
        <v>1925</v>
      </c>
      <c r="H36">
        <v>1925</v>
      </c>
      <c r="I36" t="s">
        <v>324</v>
      </c>
      <c r="J36" t="s">
        <v>325</v>
      </c>
      <c r="K36" t="s">
        <v>326</v>
      </c>
      <c r="L36" t="s">
        <v>326</v>
      </c>
      <c r="M36" t="s">
        <v>327</v>
      </c>
      <c r="N36" t="s">
        <v>328</v>
      </c>
      <c r="O36" t="s">
        <v>329</v>
      </c>
      <c r="P36" t="s">
        <v>330</v>
      </c>
      <c r="R36" s="7">
        <v>40022</v>
      </c>
      <c r="T36" t="s">
        <v>119</v>
      </c>
      <c r="W36" s="15">
        <v>1.76895</v>
      </c>
      <c r="X36" s="15">
        <v>-76.018733299999994</v>
      </c>
      <c r="AF36" t="s">
        <v>50</v>
      </c>
      <c r="AG36" t="s">
        <v>51</v>
      </c>
      <c r="AH36" t="s">
        <v>140</v>
      </c>
      <c r="AI36" t="s">
        <v>331</v>
      </c>
      <c r="AJ36">
        <v>40</v>
      </c>
    </row>
    <row r="37" spans="1:36">
      <c r="A37" t="s">
        <v>74</v>
      </c>
      <c r="B37" t="s">
        <v>37</v>
      </c>
      <c r="C37" t="s">
        <v>332</v>
      </c>
      <c r="D37" t="s">
        <v>228</v>
      </c>
      <c r="E37" t="s">
        <v>333</v>
      </c>
      <c r="F37">
        <v>1535</v>
      </c>
      <c r="G37">
        <v>1535</v>
      </c>
      <c r="H37">
        <v>1535</v>
      </c>
      <c r="I37" t="s">
        <v>334</v>
      </c>
      <c r="J37" t="s">
        <v>335</v>
      </c>
      <c r="K37" t="s">
        <v>336</v>
      </c>
      <c r="L37" t="s">
        <v>336</v>
      </c>
      <c r="M37" t="s">
        <v>337</v>
      </c>
      <c r="P37" t="s">
        <v>80</v>
      </c>
      <c r="R37" s="7">
        <v>40022</v>
      </c>
      <c r="T37" t="s">
        <v>111</v>
      </c>
      <c r="W37" s="15">
        <v>1.9033</v>
      </c>
      <c r="X37" s="15">
        <v>-76.265709999999999</v>
      </c>
      <c r="Y37">
        <v>548.553</v>
      </c>
      <c r="Z37">
        <v>1573</v>
      </c>
      <c r="AB37" t="s">
        <v>338</v>
      </c>
      <c r="AF37" t="s">
        <v>50</v>
      </c>
      <c r="AG37" t="s">
        <v>51</v>
      </c>
      <c r="AH37" t="s">
        <v>296</v>
      </c>
      <c r="AI37" t="s">
        <v>339</v>
      </c>
      <c r="AJ37">
        <v>41</v>
      </c>
    </row>
    <row r="38" spans="1:36">
      <c r="A38" t="s">
        <v>74</v>
      </c>
      <c r="B38" t="s">
        <v>37</v>
      </c>
      <c r="C38" t="s">
        <v>332</v>
      </c>
      <c r="D38" t="s">
        <v>299</v>
      </c>
      <c r="E38" t="s">
        <v>333</v>
      </c>
      <c r="F38">
        <v>1535</v>
      </c>
      <c r="G38">
        <v>1535</v>
      </c>
      <c r="H38">
        <v>1535</v>
      </c>
      <c r="I38" t="s">
        <v>334</v>
      </c>
      <c r="J38" t="s">
        <v>335</v>
      </c>
      <c r="K38" t="s">
        <v>340</v>
      </c>
      <c r="L38" t="s">
        <v>336</v>
      </c>
      <c r="M38" t="s">
        <v>337</v>
      </c>
      <c r="P38" t="s">
        <v>80</v>
      </c>
      <c r="R38" s="7">
        <v>40022</v>
      </c>
      <c r="T38" t="s">
        <v>111</v>
      </c>
      <c r="W38" s="15">
        <v>1.9033</v>
      </c>
      <c r="X38" s="15">
        <v>-76.265709999999999</v>
      </c>
      <c r="Y38">
        <v>548.553</v>
      </c>
      <c r="Z38">
        <v>1573</v>
      </c>
      <c r="AB38" t="s">
        <v>338</v>
      </c>
      <c r="AF38" t="s">
        <v>50</v>
      </c>
      <c r="AG38" t="s">
        <v>51</v>
      </c>
      <c r="AH38" t="s">
        <v>296</v>
      </c>
      <c r="AI38" t="s">
        <v>339</v>
      </c>
      <c r="AJ38">
        <v>42</v>
      </c>
    </row>
    <row r="39" spans="1:36">
      <c r="A39" t="s">
        <v>74</v>
      </c>
      <c r="B39" t="s">
        <v>37</v>
      </c>
      <c r="C39" t="s">
        <v>341</v>
      </c>
      <c r="D39" t="s">
        <v>228</v>
      </c>
      <c r="E39" t="s">
        <v>342</v>
      </c>
      <c r="F39">
        <v>3696</v>
      </c>
      <c r="G39">
        <v>3696</v>
      </c>
      <c r="H39">
        <v>3696</v>
      </c>
      <c r="I39" t="s">
        <v>343</v>
      </c>
      <c r="J39" t="s">
        <v>343</v>
      </c>
      <c r="K39" t="s">
        <v>344</v>
      </c>
      <c r="L39" t="s">
        <v>345</v>
      </c>
      <c r="M39" t="s">
        <v>346</v>
      </c>
      <c r="N39" t="s">
        <v>347</v>
      </c>
      <c r="O39" t="s">
        <v>348</v>
      </c>
      <c r="P39" t="s">
        <v>349</v>
      </c>
      <c r="R39" s="7">
        <v>40022</v>
      </c>
      <c r="T39" t="s">
        <v>65</v>
      </c>
      <c r="W39" s="15">
        <v>4.5583499999999999</v>
      </c>
      <c r="X39" s="15">
        <v>-75.320210000000003</v>
      </c>
      <c r="Y39">
        <v>714.47500000000002</v>
      </c>
      <c r="Z39">
        <v>2033</v>
      </c>
      <c r="AB39" t="s">
        <v>350</v>
      </c>
      <c r="AF39" t="s">
        <v>50</v>
      </c>
      <c r="AG39" t="s">
        <v>133</v>
      </c>
      <c r="AH39" t="s">
        <v>351</v>
      </c>
      <c r="AI39" t="s">
        <v>352</v>
      </c>
      <c r="AJ39">
        <v>43</v>
      </c>
    </row>
    <row r="40" spans="1:36">
      <c r="A40" t="s">
        <v>74</v>
      </c>
      <c r="B40" t="s">
        <v>37</v>
      </c>
      <c r="C40" t="s">
        <v>353</v>
      </c>
      <c r="D40" t="s">
        <v>228</v>
      </c>
      <c r="E40" t="s">
        <v>354</v>
      </c>
      <c r="F40">
        <v>1897</v>
      </c>
      <c r="G40">
        <v>1897</v>
      </c>
      <c r="H40">
        <v>1897</v>
      </c>
      <c r="I40" t="s">
        <v>355</v>
      </c>
      <c r="J40" t="s">
        <v>355</v>
      </c>
      <c r="K40" t="s">
        <v>356</v>
      </c>
      <c r="L40" t="s">
        <v>357</v>
      </c>
      <c r="M40" t="s">
        <v>358</v>
      </c>
      <c r="P40" t="s">
        <v>80</v>
      </c>
      <c r="R40" s="7">
        <v>40154</v>
      </c>
      <c r="T40" t="s">
        <v>119</v>
      </c>
      <c r="W40" s="15">
        <v>4.72879</v>
      </c>
      <c r="X40" s="15">
        <v>-75.5779</v>
      </c>
      <c r="Y40">
        <v>611.64800000000002</v>
      </c>
      <c r="Z40">
        <v>1864</v>
      </c>
      <c r="AB40" t="s">
        <v>359</v>
      </c>
      <c r="AF40" t="s">
        <v>50</v>
      </c>
      <c r="AG40" t="s">
        <v>360</v>
      </c>
      <c r="AH40" t="s">
        <v>361</v>
      </c>
      <c r="AI40" t="s">
        <v>362</v>
      </c>
      <c r="AJ40">
        <v>44</v>
      </c>
    </row>
    <row r="41" spans="1:36">
      <c r="A41" t="s">
        <v>74</v>
      </c>
      <c r="B41" t="s">
        <v>37</v>
      </c>
      <c r="C41" t="s">
        <v>363</v>
      </c>
      <c r="D41" t="s">
        <v>364</v>
      </c>
      <c r="E41" t="s">
        <v>365</v>
      </c>
      <c r="F41">
        <v>2100</v>
      </c>
      <c r="G41">
        <v>2100</v>
      </c>
      <c r="H41">
        <v>2100</v>
      </c>
      <c r="P41" t="s">
        <v>80</v>
      </c>
      <c r="R41" s="7">
        <v>30370</v>
      </c>
      <c r="T41" t="s">
        <v>111</v>
      </c>
      <c r="W41" s="15">
        <v>5.1216900000000001</v>
      </c>
      <c r="X41" s="15">
        <v>-76.008989999999997</v>
      </c>
      <c r="Y41">
        <v>3027.2240000000002</v>
      </c>
      <c r="Z41">
        <v>2308</v>
      </c>
      <c r="AB41" t="s">
        <v>366</v>
      </c>
      <c r="AF41" t="s">
        <v>50</v>
      </c>
      <c r="AG41" t="s">
        <v>360</v>
      </c>
      <c r="AH41" t="s">
        <v>367</v>
      </c>
      <c r="AI41" t="s">
        <v>368</v>
      </c>
      <c r="AJ41">
        <v>45</v>
      </c>
    </row>
    <row r="42" spans="1:36">
      <c r="A42" t="s">
        <v>74</v>
      </c>
      <c r="B42" t="s">
        <v>37</v>
      </c>
      <c r="C42" t="s">
        <v>369</v>
      </c>
      <c r="D42" t="s">
        <v>370</v>
      </c>
      <c r="E42" t="s">
        <v>371</v>
      </c>
      <c r="F42">
        <v>1800</v>
      </c>
      <c r="G42">
        <v>1800</v>
      </c>
      <c r="H42">
        <v>1800</v>
      </c>
      <c r="I42" t="s">
        <v>79</v>
      </c>
      <c r="K42" t="s">
        <v>79</v>
      </c>
      <c r="P42" t="s">
        <v>80</v>
      </c>
      <c r="R42" s="7">
        <v>32367</v>
      </c>
      <c r="T42" t="s">
        <v>79</v>
      </c>
      <c r="W42" s="15">
        <v>4.7657400000000001</v>
      </c>
      <c r="X42" s="15">
        <v>-76.483069999999998</v>
      </c>
      <c r="Y42">
        <v>3505.3739999999998</v>
      </c>
      <c r="Z42">
        <v>1856</v>
      </c>
      <c r="AA42" t="s">
        <v>372</v>
      </c>
      <c r="AB42" t="s">
        <v>373</v>
      </c>
      <c r="AF42" t="s">
        <v>50</v>
      </c>
      <c r="AG42" t="s">
        <v>374</v>
      </c>
      <c r="AH42" t="s">
        <v>375</v>
      </c>
      <c r="AI42" t="s">
        <v>376</v>
      </c>
      <c r="AJ42">
        <v>46</v>
      </c>
    </row>
    <row r="43" spans="1:36">
      <c r="A43" t="s">
        <v>74</v>
      </c>
      <c r="B43" t="s">
        <v>37</v>
      </c>
      <c r="C43" t="s">
        <v>377</v>
      </c>
      <c r="D43" t="s">
        <v>378</v>
      </c>
      <c r="E43" t="s">
        <v>379</v>
      </c>
      <c r="F43" t="s">
        <v>380</v>
      </c>
      <c r="G43">
        <v>2000</v>
      </c>
      <c r="H43">
        <v>2500</v>
      </c>
      <c r="I43" t="s">
        <v>79</v>
      </c>
      <c r="K43" t="s">
        <v>79</v>
      </c>
      <c r="P43" t="s">
        <v>80</v>
      </c>
      <c r="R43" s="7">
        <v>21661</v>
      </c>
      <c r="T43" t="s">
        <v>81</v>
      </c>
      <c r="W43" s="15">
        <v>4.6831199999999997</v>
      </c>
      <c r="X43" s="15">
        <v>-74.389629999999997</v>
      </c>
      <c r="Y43">
        <v>286.28899999999999</v>
      </c>
      <c r="Z43">
        <v>2029</v>
      </c>
      <c r="AB43" t="s">
        <v>381</v>
      </c>
      <c r="AF43" t="s">
        <v>50</v>
      </c>
      <c r="AG43" t="s">
        <v>98</v>
      </c>
      <c r="AH43" t="s">
        <v>382</v>
      </c>
      <c r="AJ43">
        <v>47</v>
      </c>
    </row>
    <row r="44" spans="1:36">
      <c r="A44" t="s">
        <v>74</v>
      </c>
      <c r="B44" t="s">
        <v>37</v>
      </c>
      <c r="C44" t="s">
        <v>383</v>
      </c>
      <c r="D44" t="s">
        <v>384</v>
      </c>
      <c r="E44" t="s">
        <v>385</v>
      </c>
      <c r="F44">
        <v>1950</v>
      </c>
      <c r="G44">
        <v>1950</v>
      </c>
      <c r="H44">
        <v>1950</v>
      </c>
      <c r="I44" t="s">
        <v>79</v>
      </c>
      <c r="K44" t="s">
        <v>79</v>
      </c>
      <c r="P44" t="s">
        <v>80</v>
      </c>
      <c r="R44" s="7">
        <v>30338</v>
      </c>
      <c r="T44" t="s">
        <v>79</v>
      </c>
      <c r="W44" s="15">
        <v>4.7414100000000001</v>
      </c>
      <c r="X44" s="15">
        <v>-76.11797</v>
      </c>
      <c r="Y44">
        <v>5425.3860000000004</v>
      </c>
      <c r="Z44">
        <v>1662</v>
      </c>
      <c r="AB44" t="s">
        <v>145</v>
      </c>
      <c r="AF44" t="s">
        <v>50</v>
      </c>
      <c r="AG44" t="s">
        <v>83</v>
      </c>
      <c r="AH44" t="s">
        <v>146</v>
      </c>
      <c r="AI44" t="s">
        <v>386</v>
      </c>
      <c r="AJ44">
        <v>48</v>
      </c>
    </row>
    <row r="45" spans="1:36">
      <c r="A45" t="s">
        <v>387</v>
      </c>
      <c r="B45" t="s">
        <v>37</v>
      </c>
      <c r="C45" t="s">
        <v>388</v>
      </c>
      <c r="D45" t="s">
        <v>389</v>
      </c>
      <c r="E45" t="s">
        <v>390</v>
      </c>
      <c r="F45">
        <v>2220</v>
      </c>
      <c r="G45">
        <v>2220</v>
      </c>
      <c r="H45">
        <v>2220</v>
      </c>
      <c r="I45" t="s">
        <v>391</v>
      </c>
      <c r="J45" t="s">
        <v>392</v>
      </c>
      <c r="K45" t="s">
        <v>393</v>
      </c>
      <c r="L45" t="s">
        <v>394</v>
      </c>
      <c r="M45" t="s">
        <v>395</v>
      </c>
      <c r="N45" t="s">
        <v>396</v>
      </c>
      <c r="O45" t="s">
        <v>397</v>
      </c>
      <c r="P45" t="s">
        <v>398</v>
      </c>
      <c r="R45" s="7">
        <v>13058</v>
      </c>
      <c r="T45" t="s">
        <v>399</v>
      </c>
      <c r="W45" s="15">
        <v>6.0147899999999996</v>
      </c>
      <c r="X45" s="15">
        <v>-75.392189999999999</v>
      </c>
      <c r="Y45">
        <v>2681.366</v>
      </c>
      <c r="Z45">
        <v>2260</v>
      </c>
      <c r="AA45" t="s">
        <v>400</v>
      </c>
      <c r="AB45">
        <v>5</v>
      </c>
      <c r="AD45" t="s">
        <v>401</v>
      </c>
      <c r="AF45" t="s">
        <v>50</v>
      </c>
      <c r="AG45" t="s">
        <v>402</v>
      </c>
      <c r="AH45" t="s">
        <v>403</v>
      </c>
      <c r="AI45" t="s">
        <v>404</v>
      </c>
      <c r="AJ45">
        <v>49</v>
      </c>
    </row>
    <row r="46" spans="1:36">
      <c r="A46" t="s">
        <v>387</v>
      </c>
      <c r="B46" t="s">
        <v>37</v>
      </c>
      <c r="C46" t="s">
        <v>405</v>
      </c>
      <c r="D46" t="s">
        <v>406</v>
      </c>
      <c r="E46" t="s">
        <v>407</v>
      </c>
      <c r="F46" t="s">
        <v>408</v>
      </c>
      <c r="G46">
        <v>1900</v>
      </c>
      <c r="H46">
        <v>2100</v>
      </c>
      <c r="P46" t="s">
        <v>80</v>
      </c>
      <c r="R46" s="7">
        <v>14694</v>
      </c>
      <c r="T46" t="s">
        <v>399</v>
      </c>
      <c r="W46" s="15">
        <v>1.80071</v>
      </c>
      <c r="X46" s="15">
        <v>-75.742609999999999</v>
      </c>
      <c r="Y46">
        <v>3553.6190000000001</v>
      </c>
      <c r="Z46">
        <v>2157</v>
      </c>
      <c r="AA46" t="s">
        <v>409</v>
      </c>
      <c r="AB46" t="s">
        <v>410</v>
      </c>
      <c r="AF46" t="s">
        <v>50</v>
      </c>
      <c r="AG46" t="s">
        <v>51</v>
      </c>
      <c r="AH46" t="s">
        <v>411</v>
      </c>
      <c r="AI46" t="s">
        <v>412</v>
      </c>
      <c r="AJ46">
        <v>50</v>
      </c>
    </row>
    <row r="47" spans="1:36">
      <c r="A47" t="s">
        <v>387</v>
      </c>
      <c r="B47" t="s">
        <v>37</v>
      </c>
      <c r="C47" t="s">
        <v>413</v>
      </c>
      <c r="D47" t="s">
        <v>414</v>
      </c>
      <c r="E47" t="s">
        <v>415</v>
      </c>
      <c r="F47" t="s">
        <v>416</v>
      </c>
      <c r="G47">
        <v>2300</v>
      </c>
      <c r="H47">
        <v>2500</v>
      </c>
      <c r="I47" t="s">
        <v>417</v>
      </c>
      <c r="J47" t="s">
        <v>418</v>
      </c>
      <c r="K47" t="s">
        <v>419</v>
      </c>
      <c r="L47" t="s">
        <v>419</v>
      </c>
      <c r="M47" t="s">
        <v>420</v>
      </c>
      <c r="N47" t="s">
        <v>421</v>
      </c>
      <c r="O47" t="s">
        <v>422</v>
      </c>
      <c r="P47" t="s">
        <v>423</v>
      </c>
      <c r="R47" s="7">
        <v>17442</v>
      </c>
      <c r="T47" t="s">
        <v>399</v>
      </c>
      <c r="W47" s="15">
        <v>6.2166667000000002</v>
      </c>
      <c r="X47" s="15">
        <v>-75.5</v>
      </c>
      <c r="Y47">
        <v>136.76900000000001</v>
      </c>
      <c r="AA47" t="s">
        <v>400</v>
      </c>
      <c r="AB47">
        <v>9</v>
      </c>
      <c r="AE47">
        <v>1</v>
      </c>
      <c r="AF47" t="s">
        <v>50</v>
      </c>
      <c r="AG47" t="s">
        <v>402</v>
      </c>
      <c r="AH47" t="s">
        <v>424</v>
      </c>
      <c r="AI47" t="s">
        <v>425</v>
      </c>
      <c r="AJ47">
        <v>51</v>
      </c>
    </row>
    <row r="48" spans="1:36">
      <c r="A48" t="s">
        <v>387</v>
      </c>
      <c r="B48" t="s">
        <v>37</v>
      </c>
      <c r="C48" t="s">
        <v>413</v>
      </c>
      <c r="D48" t="s">
        <v>426</v>
      </c>
      <c r="E48" t="s">
        <v>415</v>
      </c>
      <c r="F48" t="s">
        <v>416</v>
      </c>
      <c r="G48">
        <v>2300</v>
      </c>
      <c r="H48">
        <v>2500</v>
      </c>
      <c r="I48" t="s">
        <v>417</v>
      </c>
      <c r="J48" t="s">
        <v>418</v>
      </c>
      <c r="K48" t="s">
        <v>419</v>
      </c>
      <c r="L48" t="s">
        <v>419</v>
      </c>
      <c r="M48" t="s">
        <v>420</v>
      </c>
      <c r="N48" t="s">
        <v>421</v>
      </c>
      <c r="O48" t="s">
        <v>422</v>
      </c>
      <c r="P48" t="s">
        <v>423</v>
      </c>
      <c r="R48" s="7">
        <v>17442</v>
      </c>
      <c r="T48" t="s">
        <v>399</v>
      </c>
      <c r="W48" s="15">
        <v>6.2166667000000002</v>
      </c>
      <c r="X48" s="15">
        <v>-75.5</v>
      </c>
      <c r="Y48">
        <v>136.76900000000001</v>
      </c>
      <c r="AA48" t="s">
        <v>400</v>
      </c>
      <c r="AB48">
        <v>9</v>
      </c>
      <c r="AE48">
        <v>1</v>
      </c>
      <c r="AF48" t="s">
        <v>50</v>
      </c>
      <c r="AG48" t="s">
        <v>402</v>
      </c>
      <c r="AH48" t="s">
        <v>424</v>
      </c>
      <c r="AI48" t="s">
        <v>425</v>
      </c>
      <c r="AJ48">
        <v>52</v>
      </c>
    </row>
    <row r="49" spans="1:36">
      <c r="A49" t="s">
        <v>387</v>
      </c>
      <c r="B49" t="s">
        <v>37</v>
      </c>
      <c r="C49" t="s">
        <v>427</v>
      </c>
      <c r="D49" t="s">
        <v>428</v>
      </c>
      <c r="E49" t="s">
        <v>429</v>
      </c>
      <c r="F49">
        <v>2500</v>
      </c>
      <c r="G49">
        <v>2500</v>
      </c>
      <c r="H49">
        <v>2500</v>
      </c>
      <c r="I49" t="s">
        <v>430</v>
      </c>
      <c r="J49" t="s">
        <v>431</v>
      </c>
      <c r="K49" t="s">
        <v>432</v>
      </c>
      <c r="L49" t="s">
        <v>433</v>
      </c>
      <c r="M49" t="s">
        <v>434</v>
      </c>
      <c r="N49" t="s">
        <v>421</v>
      </c>
      <c r="O49" t="s">
        <v>422</v>
      </c>
      <c r="P49" t="s">
        <v>423</v>
      </c>
      <c r="R49" s="7">
        <v>17990</v>
      </c>
      <c r="W49" s="15">
        <v>6.2166699999999997</v>
      </c>
      <c r="X49" s="15">
        <v>-75.5</v>
      </c>
      <c r="Y49">
        <v>136.76900000000001</v>
      </c>
      <c r="AA49" t="s">
        <v>435</v>
      </c>
      <c r="AB49">
        <v>9</v>
      </c>
      <c r="AE49">
        <v>1</v>
      </c>
      <c r="AF49" t="s">
        <v>50</v>
      </c>
      <c r="AG49" t="s">
        <v>402</v>
      </c>
      <c r="AH49" t="s">
        <v>436</v>
      </c>
      <c r="AI49" t="s">
        <v>437</v>
      </c>
      <c r="AJ49">
        <v>53</v>
      </c>
    </row>
    <row r="50" spans="1:36">
      <c r="A50" t="s">
        <v>387</v>
      </c>
      <c r="B50" t="s">
        <v>37</v>
      </c>
      <c r="C50" t="s">
        <v>438</v>
      </c>
      <c r="D50" t="s">
        <v>439</v>
      </c>
      <c r="E50" t="s">
        <v>440</v>
      </c>
      <c r="F50">
        <v>2600</v>
      </c>
      <c r="G50">
        <v>2600</v>
      </c>
      <c r="H50">
        <v>2600</v>
      </c>
      <c r="I50" t="s">
        <v>441</v>
      </c>
      <c r="J50" t="s">
        <v>442</v>
      </c>
      <c r="K50" t="s">
        <v>443</v>
      </c>
      <c r="L50" t="s">
        <v>444</v>
      </c>
      <c r="M50" t="s">
        <v>445</v>
      </c>
      <c r="N50" t="s">
        <v>446</v>
      </c>
      <c r="O50" t="s">
        <v>447</v>
      </c>
      <c r="P50" t="s">
        <v>448</v>
      </c>
      <c r="R50" s="7">
        <v>24281</v>
      </c>
      <c r="T50" t="s">
        <v>399</v>
      </c>
      <c r="W50" s="15">
        <v>1.1758972000000001</v>
      </c>
      <c r="X50" s="15">
        <v>-76.879355599999997</v>
      </c>
      <c r="AF50" t="s">
        <v>50</v>
      </c>
      <c r="AG50" t="s">
        <v>67</v>
      </c>
      <c r="AH50" t="s">
        <v>449</v>
      </c>
      <c r="AI50" t="s">
        <v>450</v>
      </c>
      <c r="AJ50">
        <v>54</v>
      </c>
    </row>
    <row r="51" spans="1:36">
      <c r="A51" t="s">
        <v>387</v>
      </c>
      <c r="B51" t="s">
        <v>37</v>
      </c>
      <c r="C51" t="s">
        <v>451</v>
      </c>
      <c r="D51" t="s">
        <v>452</v>
      </c>
      <c r="E51" t="s">
        <v>453</v>
      </c>
      <c r="F51">
        <v>1800</v>
      </c>
      <c r="G51">
        <v>1800</v>
      </c>
      <c r="H51">
        <v>1800</v>
      </c>
      <c r="I51" t="s">
        <v>454</v>
      </c>
      <c r="J51" t="s">
        <v>455</v>
      </c>
      <c r="K51" t="s">
        <v>456</v>
      </c>
      <c r="L51" t="s">
        <v>457</v>
      </c>
      <c r="M51" t="s">
        <v>458</v>
      </c>
      <c r="N51" t="s">
        <v>459</v>
      </c>
      <c r="O51" t="s">
        <v>460</v>
      </c>
      <c r="P51" t="s">
        <v>461</v>
      </c>
      <c r="R51" s="7">
        <v>25344</v>
      </c>
      <c r="T51" t="s">
        <v>399</v>
      </c>
      <c r="W51" s="15">
        <v>2.5291667000000002</v>
      </c>
      <c r="X51" s="15">
        <v>-76.468611100000004</v>
      </c>
      <c r="AF51" t="s">
        <v>50</v>
      </c>
      <c r="AG51" t="s">
        <v>283</v>
      </c>
      <c r="AH51" t="s">
        <v>462</v>
      </c>
      <c r="AJ51">
        <v>55</v>
      </c>
    </row>
    <row r="52" spans="1:36">
      <c r="A52" t="s">
        <v>387</v>
      </c>
      <c r="B52" t="s">
        <v>37</v>
      </c>
      <c r="C52" t="s">
        <v>451</v>
      </c>
      <c r="D52" t="s">
        <v>463</v>
      </c>
      <c r="E52" t="s">
        <v>453</v>
      </c>
      <c r="F52">
        <v>1800</v>
      </c>
      <c r="G52">
        <v>1800</v>
      </c>
      <c r="H52">
        <v>1800</v>
      </c>
      <c r="I52" t="s">
        <v>454</v>
      </c>
      <c r="J52" t="s">
        <v>455</v>
      </c>
      <c r="K52" t="s">
        <v>456</v>
      </c>
      <c r="L52" t="s">
        <v>457</v>
      </c>
      <c r="M52" t="s">
        <v>458</v>
      </c>
      <c r="N52" t="s">
        <v>459</v>
      </c>
      <c r="O52" t="s">
        <v>460</v>
      </c>
      <c r="P52" t="s">
        <v>461</v>
      </c>
      <c r="R52" s="7">
        <v>25344</v>
      </c>
      <c r="T52" t="s">
        <v>399</v>
      </c>
      <c r="W52" s="15">
        <v>2.5291667000000002</v>
      </c>
      <c r="X52" s="15">
        <v>-76.468611100000004</v>
      </c>
      <c r="AF52" t="s">
        <v>50</v>
      </c>
      <c r="AG52" t="s">
        <v>283</v>
      </c>
      <c r="AH52" t="s">
        <v>462</v>
      </c>
      <c r="AJ52">
        <v>56</v>
      </c>
    </row>
    <row r="53" spans="1:36">
      <c r="A53" t="s">
        <v>387</v>
      </c>
      <c r="B53" t="s">
        <v>37</v>
      </c>
      <c r="C53" t="s">
        <v>464</v>
      </c>
      <c r="D53" t="s">
        <v>465</v>
      </c>
      <c r="E53" t="s">
        <v>466</v>
      </c>
      <c r="I53" t="s">
        <v>430</v>
      </c>
      <c r="J53" t="s">
        <v>431</v>
      </c>
      <c r="K53" t="s">
        <v>432</v>
      </c>
      <c r="L53" t="s">
        <v>433</v>
      </c>
      <c r="M53" t="s">
        <v>434</v>
      </c>
      <c r="N53" t="s">
        <v>421</v>
      </c>
      <c r="O53" t="s">
        <v>422</v>
      </c>
      <c r="P53" t="s">
        <v>423</v>
      </c>
      <c r="R53" s="7">
        <v>28254</v>
      </c>
      <c r="T53" t="s">
        <v>119</v>
      </c>
      <c r="W53" s="15">
        <v>6.17624</v>
      </c>
      <c r="X53" s="15">
        <v>-75.457849999999993</v>
      </c>
      <c r="Y53">
        <v>474.19</v>
      </c>
      <c r="AA53" t="s">
        <v>467</v>
      </c>
      <c r="AB53" t="s">
        <v>468</v>
      </c>
      <c r="AE53">
        <v>1</v>
      </c>
      <c r="AF53" t="s">
        <v>50</v>
      </c>
      <c r="AG53" t="s">
        <v>402</v>
      </c>
      <c r="AH53" t="s">
        <v>469</v>
      </c>
      <c r="AI53" t="s">
        <v>470</v>
      </c>
      <c r="AJ53">
        <v>57</v>
      </c>
    </row>
    <row r="54" spans="1:36">
      <c r="A54" t="s">
        <v>387</v>
      </c>
      <c r="B54" t="s">
        <v>37</v>
      </c>
      <c r="C54" t="s">
        <v>471</v>
      </c>
      <c r="D54" t="s">
        <v>472</v>
      </c>
      <c r="E54" t="s">
        <v>473</v>
      </c>
      <c r="F54">
        <v>2250</v>
      </c>
      <c r="G54">
        <v>2250</v>
      </c>
      <c r="H54">
        <v>2250</v>
      </c>
      <c r="I54" t="s">
        <v>474</v>
      </c>
      <c r="J54" t="s">
        <v>475</v>
      </c>
      <c r="K54" t="s">
        <v>476</v>
      </c>
      <c r="L54" t="s">
        <v>476</v>
      </c>
      <c r="M54" t="s">
        <v>477</v>
      </c>
      <c r="N54" t="s">
        <v>478</v>
      </c>
      <c r="O54" t="s">
        <v>479</v>
      </c>
      <c r="P54" t="s">
        <v>480</v>
      </c>
      <c r="R54" s="7">
        <v>28321</v>
      </c>
      <c r="T54" t="s">
        <v>481</v>
      </c>
      <c r="V54" t="s">
        <v>482</v>
      </c>
      <c r="W54" s="15">
        <v>6.17624</v>
      </c>
      <c r="X54" s="15">
        <v>-75.457849999999993</v>
      </c>
      <c r="Y54">
        <v>474.19</v>
      </c>
      <c r="AA54" t="s">
        <v>467</v>
      </c>
      <c r="AB54" t="s">
        <v>468</v>
      </c>
      <c r="AE54">
        <v>1</v>
      </c>
      <c r="AF54" t="s">
        <v>50</v>
      </c>
      <c r="AG54" t="s">
        <v>402</v>
      </c>
      <c r="AH54" t="s">
        <v>483</v>
      </c>
      <c r="AI54" t="s">
        <v>484</v>
      </c>
      <c r="AJ54">
        <v>58</v>
      </c>
    </row>
    <row r="55" spans="1:36">
      <c r="A55" t="s">
        <v>387</v>
      </c>
      <c r="B55" t="s">
        <v>37</v>
      </c>
      <c r="C55" t="s">
        <v>485</v>
      </c>
      <c r="D55" t="s">
        <v>486</v>
      </c>
      <c r="E55" t="s">
        <v>466</v>
      </c>
      <c r="F55">
        <v>2250</v>
      </c>
      <c r="G55">
        <v>2250</v>
      </c>
      <c r="H55">
        <v>2250</v>
      </c>
      <c r="P55" t="s">
        <v>80</v>
      </c>
      <c r="R55" s="7">
        <v>28369</v>
      </c>
      <c r="T55" t="s">
        <v>119</v>
      </c>
      <c r="W55" s="15">
        <v>6.17624</v>
      </c>
      <c r="X55" s="15">
        <v>-75.457849999999993</v>
      </c>
      <c r="Y55">
        <v>474.19</v>
      </c>
      <c r="AA55" t="s">
        <v>467</v>
      </c>
      <c r="AB55" t="s">
        <v>468</v>
      </c>
      <c r="AF55" t="s">
        <v>50</v>
      </c>
      <c r="AG55" t="s">
        <v>402</v>
      </c>
      <c r="AH55" t="s">
        <v>469</v>
      </c>
      <c r="AI55" t="s">
        <v>470</v>
      </c>
      <c r="AJ55">
        <v>59</v>
      </c>
    </row>
    <row r="56" spans="1:36">
      <c r="A56" t="s">
        <v>387</v>
      </c>
      <c r="B56" t="s">
        <v>37</v>
      </c>
      <c r="C56" t="s">
        <v>487</v>
      </c>
      <c r="D56" t="s">
        <v>486</v>
      </c>
      <c r="E56" t="s">
        <v>488</v>
      </c>
      <c r="F56">
        <v>2250</v>
      </c>
      <c r="G56">
        <v>2250</v>
      </c>
      <c r="H56">
        <v>2250</v>
      </c>
      <c r="I56" t="s">
        <v>474</v>
      </c>
      <c r="J56" t="s">
        <v>475</v>
      </c>
      <c r="K56" t="s">
        <v>476</v>
      </c>
      <c r="L56" t="s">
        <v>476</v>
      </c>
      <c r="M56" t="s">
        <v>477</v>
      </c>
      <c r="N56" t="s">
        <v>478</v>
      </c>
      <c r="O56" t="s">
        <v>479</v>
      </c>
      <c r="P56" t="s">
        <v>480</v>
      </c>
      <c r="R56" s="7">
        <v>28383</v>
      </c>
      <c r="T56" t="s">
        <v>119</v>
      </c>
      <c r="V56" t="s">
        <v>489</v>
      </c>
      <c r="W56" s="15">
        <v>6.17624</v>
      </c>
      <c r="X56" s="15">
        <v>-75.457849999999993</v>
      </c>
      <c r="Y56">
        <v>474.19</v>
      </c>
      <c r="AA56" t="s">
        <v>467</v>
      </c>
      <c r="AB56" t="s">
        <v>468</v>
      </c>
      <c r="AD56" t="s">
        <v>490</v>
      </c>
      <c r="AE56">
        <v>1</v>
      </c>
      <c r="AF56" t="s">
        <v>50</v>
      </c>
      <c r="AG56" t="s">
        <v>402</v>
      </c>
      <c r="AH56" t="s">
        <v>483</v>
      </c>
      <c r="AI56" t="s">
        <v>491</v>
      </c>
      <c r="AJ56">
        <v>60</v>
      </c>
    </row>
    <row r="57" spans="1:36">
      <c r="A57" t="s">
        <v>387</v>
      </c>
      <c r="B57" t="s">
        <v>37</v>
      </c>
      <c r="C57" t="s">
        <v>492</v>
      </c>
      <c r="D57" t="s">
        <v>493</v>
      </c>
      <c r="E57" t="s">
        <v>494</v>
      </c>
      <c r="F57" t="s">
        <v>495</v>
      </c>
      <c r="G57">
        <v>1700</v>
      </c>
      <c r="H57">
        <v>1800</v>
      </c>
      <c r="I57" t="s">
        <v>496</v>
      </c>
      <c r="J57" t="s">
        <v>497</v>
      </c>
      <c r="K57" t="s">
        <v>498</v>
      </c>
      <c r="L57" t="s">
        <v>499</v>
      </c>
      <c r="M57" t="s">
        <v>500</v>
      </c>
      <c r="N57" t="s">
        <v>501</v>
      </c>
      <c r="O57" t="s">
        <v>502</v>
      </c>
      <c r="P57" t="s">
        <v>503</v>
      </c>
      <c r="R57" s="7">
        <v>30119</v>
      </c>
      <c r="T57" t="s">
        <v>119</v>
      </c>
      <c r="W57" s="15">
        <v>5.5259388999999999</v>
      </c>
      <c r="X57" s="15">
        <v>-75.459233299999994</v>
      </c>
      <c r="AF57" t="s">
        <v>50</v>
      </c>
      <c r="AG57" t="s">
        <v>167</v>
      </c>
      <c r="AH57" t="s">
        <v>504</v>
      </c>
      <c r="AI57" t="s">
        <v>505</v>
      </c>
      <c r="AJ57">
        <v>62</v>
      </c>
    </row>
    <row r="58" spans="1:36">
      <c r="A58" t="s">
        <v>387</v>
      </c>
      <c r="B58" t="s">
        <v>37</v>
      </c>
      <c r="C58" t="s">
        <v>506</v>
      </c>
      <c r="D58" t="s">
        <v>493</v>
      </c>
      <c r="E58" t="s">
        <v>507</v>
      </c>
      <c r="F58" t="s">
        <v>495</v>
      </c>
      <c r="G58">
        <v>1700</v>
      </c>
      <c r="H58">
        <v>1800</v>
      </c>
      <c r="I58" t="s">
        <v>496</v>
      </c>
      <c r="J58" t="s">
        <v>497</v>
      </c>
      <c r="K58" t="s">
        <v>498</v>
      </c>
      <c r="L58" t="s">
        <v>499</v>
      </c>
      <c r="M58" t="s">
        <v>500</v>
      </c>
      <c r="N58" t="s">
        <v>501</v>
      </c>
      <c r="O58" t="s">
        <v>502</v>
      </c>
      <c r="P58" t="s">
        <v>503</v>
      </c>
      <c r="R58" s="7">
        <v>30149</v>
      </c>
      <c r="S58" t="s">
        <v>508</v>
      </c>
      <c r="T58" t="s">
        <v>509</v>
      </c>
      <c r="W58" s="15">
        <v>5.5280199999999997</v>
      </c>
      <c r="X58" s="15">
        <v>-75.442319999999995</v>
      </c>
      <c r="Y58">
        <v>1887.4839999999999</v>
      </c>
      <c r="Z58">
        <v>1972</v>
      </c>
      <c r="AA58" t="s">
        <v>510</v>
      </c>
      <c r="AB58">
        <v>23</v>
      </c>
      <c r="AF58" t="s">
        <v>50</v>
      </c>
      <c r="AG58" t="s">
        <v>167</v>
      </c>
      <c r="AH58" t="s">
        <v>511</v>
      </c>
      <c r="AJ58">
        <v>63</v>
      </c>
    </row>
    <row r="59" spans="1:36">
      <c r="A59" t="s">
        <v>387</v>
      </c>
      <c r="B59" t="s">
        <v>37</v>
      </c>
      <c r="C59" t="s">
        <v>512</v>
      </c>
      <c r="D59" t="s">
        <v>513</v>
      </c>
      <c r="E59" t="s">
        <v>365</v>
      </c>
      <c r="F59">
        <v>2100</v>
      </c>
      <c r="G59">
        <v>2100</v>
      </c>
      <c r="H59">
        <v>2100</v>
      </c>
      <c r="P59" t="s">
        <v>80</v>
      </c>
      <c r="R59" s="7">
        <v>30370</v>
      </c>
      <c r="T59" t="s">
        <v>111</v>
      </c>
      <c r="W59" s="15">
        <v>5.1216900000000001</v>
      </c>
      <c r="X59" s="15">
        <v>-76.008989999999997</v>
      </c>
      <c r="Y59">
        <v>3027.2240000000002</v>
      </c>
      <c r="Z59">
        <v>2308</v>
      </c>
      <c r="AB59" t="s">
        <v>366</v>
      </c>
      <c r="AF59" t="s">
        <v>50</v>
      </c>
      <c r="AG59" t="s">
        <v>360</v>
      </c>
      <c r="AH59" t="s">
        <v>367</v>
      </c>
      <c r="AI59" t="s">
        <v>368</v>
      </c>
      <c r="AJ59">
        <v>64</v>
      </c>
    </row>
    <row r="60" spans="1:36">
      <c r="A60" t="s">
        <v>387</v>
      </c>
      <c r="B60" t="s">
        <v>37</v>
      </c>
      <c r="C60" t="s">
        <v>514</v>
      </c>
      <c r="D60" t="s">
        <v>513</v>
      </c>
      <c r="E60" t="s">
        <v>515</v>
      </c>
      <c r="F60">
        <v>2100</v>
      </c>
      <c r="G60">
        <v>2100</v>
      </c>
      <c r="H60">
        <v>2100</v>
      </c>
      <c r="I60" t="s">
        <v>516</v>
      </c>
      <c r="J60" t="s">
        <v>517</v>
      </c>
      <c r="K60" t="s">
        <v>518</v>
      </c>
      <c r="L60" t="s">
        <v>519</v>
      </c>
      <c r="M60" t="s">
        <v>520</v>
      </c>
      <c r="N60" t="s">
        <v>521</v>
      </c>
      <c r="O60" t="s">
        <v>522</v>
      </c>
      <c r="P60" t="s">
        <v>523</v>
      </c>
      <c r="R60" s="7">
        <v>30370</v>
      </c>
      <c r="T60" t="s">
        <v>111</v>
      </c>
      <c r="W60" s="15">
        <v>5.0724638999999998</v>
      </c>
      <c r="X60" s="15">
        <v>-75.962347199999996</v>
      </c>
      <c r="AF60" t="s">
        <v>50</v>
      </c>
      <c r="AG60" t="s">
        <v>360</v>
      </c>
      <c r="AH60" t="s">
        <v>367</v>
      </c>
      <c r="AI60" t="s">
        <v>524</v>
      </c>
      <c r="AJ60">
        <v>65</v>
      </c>
    </row>
    <row r="61" spans="1:36">
      <c r="A61" t="s">
        <v>387</v>
      </c>
      <c r="B61" t="s">
        <v>37</v>
      </c>
      <c r="C61" t="s">
        <v>525</v>
      </c>
      <c r="D61" t="s">
        <v>526</v>
      </c>
      <c r="E61" t="s">
        <v>527</v>
      </c>
      <c r="F61" t="s">
        <v>528</v>
      </c>
      <c r="G61">
        <v>2200</v>
      </c>
      <c r="H61">
        <v>2370</v>
      </c>
      <c r="I61" t="s">
        <v>529</v>
      </c>
      <c r="J61" t="s">
        <v>529</v>
      </c>
      <c r="K61" t="s">
        <v>530</v>
      </c>
      <c r="L61" t="s">
        <v>530</v>
      </c>
      <c r="M61" t="s">
        <v>531</v>
      </c>
      <c r="N61" t="s">
        <v>532</v>
      </c>
      <c r="O61" t="s">
        <v>533</v>
      </c>
      <c r="P61" t="s">
        <v>534</v>
      </c>
      <c r="R61" s="7">
        <v>30612</v>
      </c>
      <c r="T61" t="s">
        <v>111</v>
      </c>
      <c r="W61" s="15">
        <v>6.0493899999999998</v>
      </c>
      <c r="X61" s="15">
        <v>-75.598979999999997</v>
      </c>
      <c r="Y61">
        <v>2416.636</v>
      </c>
      <c r="Z61">
        <v>2291</v>
      </c>
      <c r="AB61" t="s">
        <v>535</v>
      </c>
      <c r="AF61" t="s">
        <v>50</v>
      </c>
      <c r="AG61" t="s">
        <v>402</v>
      </c>
      <c r="AH61" t="s">
        <v>536</v>
      </c>
      <c r="AI61" t="s">
        <v>537</v>
      </c>
      <c r="AJ61">
        <v>66</v>
      </c>
    </row>
    <row r="62" spans="1:36">
      <c r="A62" t="s">
        <v>387</v>
      </c>
      <c r="B62" t="s">
        <v>37</v>
      </c>
      <c r="C62" t="s">
        <v>538</v>
      </c>
      <c r="D62" t="s">
        <v>539</v>
      </c>
      <c r="E62" t="s">
        <v>540</v>
      </c>
      <c r="F62">
        <v>2290</v>
      </c>
      <c r="G62">
        <v>2290</v>
      </c>
      <c r="H62">
        <v>2290</v>
      </c>
      <c r="I62" t="s">
        <v>541</v>
      </c>
      <c r="J62" t="s">
        <v>542</v>
      </c>
      <c r="K62" t="s">
        <v>543</v>
      </c>
      <c r="L62" t="s">
        <v>544</v>
      </c>
      <c r="M62" t="s">
        <v>545</v>
      </c>
      <c r="N62" t="s">
        <v>546</v>
      </c>
      <c r="O62" t="s">
        <v>547</v>
      </c>
      <c r="P62" t="s">
        <v>548</v>
      </c>
      <c r="R62" s="7">
        <v>30723</v>
      </c>
      <c r="W62" s="15">
        <v>6.2765700000000004</v>
      </c>
      <c r="X62" s="15">
        <v>-75.476320000000001</v>
      </c>
      <c r="Y62">
        <v>3739.4229999999998</v>
      </c>
      <c r="Z62">
        <v>2426</v>
      </c>
      <c r="AA62" t="s">
        <v>549</v>
      </c>
      <c r="AB62">
        <v>8</v>
      </c>
      <c r="AE62">
        <v>1</v>
      </c>
      <c r="AF62" t="s">
        <v>50</v>
      </c>
      <c r="AG62" t="s">
        <v>402</v>
      </c>
      <c r="AH62" t="s">
        <v>550</v>
      </c>
      <c r="AI62" t="s">
        <v>551</v>
      </c>
      <c r="AJ62">
        <v>67</v>
      </c>
    </row>
    <row r="63" spans="1:36">
      <c r="A63" t="s">
        <v>387</v>
      </c>
      <c r="B63" t="s">
        <v>37</v>
      </c>
      <c r="C63" t="s">
        <v>552</v>
      </c>
      <c r="D63" t="s">
        <v>553</v>
      </c>
      <c r="E63" t="s">
        <v>554</v>
      </c>
      <c r="F63">
        <v>2440</v>
      </c>
      <c r="G63">
        <v>2440</v>
      </c>
      <c r="H63">
        <v>2440</v>
      </c>
      <c r="I63" t="s">
        <v>555</v>
      </c>
      <c r="J63" t="s">
        <v>556</v>
      </c>
      <c r="K63" t="s">
        <v>557</v>
      </c>
      <c r="L63" t="s">
        <v>558</v>
      </c>
      <c r="M63" t="s">
        <v>559</v>
      </c>
      <c r="N63" t="s">
        <v>560</v>
      </c>
      <c r="O63" t="s">
        <v>561</v>
      </c>
      <c r="P63" t="s">
        <v>562</v>
      </c>
      <c r="R63" s="7">
        <v>30764</v>
      </c>
      <c r="T63" t="s">
        <v>119</v>
      </c>
      <c r="W63" s="15">
        <v>6.0806699999999996</v>
      </c>
      <c r="X63" s="15">
        <v>-75.595849999999999</v>
      </c>
      <c r="Y63">
        <v>726.38300000000004</v>
      </c>
      <c r="AA63" t="s">
        <v>549</v>
      </c>
      <c r="AB63">
        <v>7</v>
      </c>
      <c r="AE63">
        <v>1</v>
      </c>
      <c r="AF63" t="s">
        <v>50</v>
      </c>
      <c r="AG63" t="s">
        <v>402</v>
      </c>
      <c r="AH63" t="s">
        <v>167</v>
      </c>
      <c r="AI63" t="s">
        <v>563</v>
      </c>
      <c r="AJ63">
        <v>68</v>
      </c>
    </row>
    <row r="64" spans="1:36">
      <c r="A64" t="s">
        <v>387</v>
      </c>
      <c r="B64" t="s">
        <v>37</v>
      </c>
      <c r="C64" t="s">
        <v>564</v>
      </c>
      <c r="D64" t="s">
        <v>565</v>
      </c>
      <c r="E64" t="s">
        <v>157</v>
      </c>
      <c r="F64">
        <v>2250</v>
      </c>
      <c r="G64">
        <v>2250</v>
      </c>
      <c r="H64">
        <v>2250</v>
      </c>
      <c r="I64" t="s">
        <v>158</v>
      </c>
      <c r="J64" t="s">
        <v>159</v>
      </c>
      <c r="K64" t="s">
        <v>566</v>
      </c>
      <c r="L64" t="s">
        <v>567</v>
      </c>
      <c r="M64" t="s">
        <v>568</v>
      </c>
      <c r="N64" t="s">
        <v>163</v>
      </c>
      <c r="O64" t="s">
        <v>164</v>
      </c>
      <c r="P64" t="s">
        <v>165</v>
      </c>
      <c r="R64" s="7">
        <v>30765</v>
      </c>
      <c r="T64" t="s">
        <v>399</v>
      </c>
      <c r="W64" s="15">
        <v>5.0577778000000002</v>
      </c>
      <c r="X64" s="15">
        <v>-75.499444400000002</v>
      </c>
      <c r="AF64" t="s">
        <v>50</v>
      </c>
      <c r="AG64" t="s">
        <v>167</v>
      </c>
      <c r="AH64" t="s">
        <v>168</v>
      </c>
      <c r="AI64" t="s">
        <v>169</v>
      </c>
      <c r="AJ64">
        <v>69</v>
      </c>
    </row>
    <row r="65" spans="1:36">
      <c r="A65" t="s">
        <v>387</v>
      </c>
      <c r="B65" t="s">
        <v>37</v>
      </c>
      <c r="C65" t="s">
        <v>564</v>
      </c>
      <c r="D65" t="s">
        <v>569</v>
      </c>
      <c r="E65" t="s">
        <v>157</v>
      </c>
      <c r="F65">
        <v>2250</v>
      </c>
      <c r="G65">
        <v>2250</v>
      </c>
      <c r="H65">
        <v>2250</v>
      </c>
      <c r="I65" t="s">
        <v>158</v>
      </c>
      <c r="J65" t="s">
        <v>159</v>
      </c>
      <c r="K65" t="s">
        <v>566</v>
      </c>
      <c r="L65" t="s">
        <v>567</v>
      </c>
      <c r="M65" t="s">
        <v>568</v>
      </c>
      <c r="N65" t="s">
        <v>163</v>
      </c>
      <c r="O65" t="s">
        <v>164</v>
      </c>
      <c r="P65" t="s">
        <v>165</v>
      </c>
      <c r="R65" s="7">
        <v>30765</v>
      </c>
      <c r="W65" s="15">
        <v>5.0577778000000002</v>
      </c>
      <c r="X65" s="15">
        <v>-75.499444400000002</v>
      </c>
      <c r="AF65" t="s">
        <v>50</v>
      </c>
      <c r="AG65" t="s">
        <v>167</v>
      </c>
      <c r="AH65" t="s">
        <v>168</v>
      </c>
      <c r="AI65" t="s">
        <v>169</v>
      </c>
      <c r="AJ65">
        <v>70</v>
      </c>
    </row>
    <row r="66" spans="1:36">
      <c r="A66" t="s">
        <v>387</v>
      </c>
      <c r="B66" t="s">
        <v>37</v>
      </c>
      <c r="C66" t="s">
        <v>570</v>
      </c>
      <c r="D66" t="s">
        <v>571</v>
      </c>
      <c r="E66" t="s">
        <v>157</v>
      </c>
      <c r="F66">
        <v>2250</v>
      </c>
      <c r="G66">
        <v>2250</v>
      </c>
      <c r="H66">
        <v>2250</v>
      </c>
      <c r="I66" t="s">
        <v>572</v>
      </c>
      <c r="J66" t="s">
        <v>573</v>
      </c>
      <c r="K66" t="s">
        <v>574</v>
      </c>
      <c r="L66" t="s">
        <v>575</v>
      </c>
      <c r="M66" t="s">
        <v>576</v>
      </c>
      <c r="N66" t="s">
        <v>577</v>
      </c>
      <c r="O66" t="s">
        <v>578</v>
      </c>
      <c r="P66" t="s">
        <v>579</v>
      </c>
      <c r="R66" s="7">
        <v>30772</v>
      </c>
      <c r="T66" t="s">
        <v>119</v>
      </c>
      <c r="W66" s="15">
        <v>5.0671333000000001</v>
      </c>
      <c r="X66" s="15">
        <v>-75.518288900000002</v>
      </c>
      <c r="AB66">
        <v>21</v>
      </c>
      <c r="AF66" t="s">
        <v>50</v>
      </c>
      <c r="AG66" t="s">
        <v>167</v>
      </c>
      <c r="AH66" t="s">
        <v>168</v>
      </c>
      <c r="AI66" t="s">
        <v>169</v>
      </c>
      <c r="AJ66">
        <v>71</v>
      </c>
    </row>
    <row r="67" spans="1:36">
      <c r="A67" t="s">
        <v>387</v>
      </c>
      <c r="B67" t="s">
        <v>37</v>
      </c>
      <c r="C67" t="s">
        <v>570</v>
      </c>
      <c r="D67" t="s">
        <v>580</v>
      </c>
      <c r="E67" t="s">
        <v>157</v>
      </c>
      <c r="F67">
        <v>2150</v>
      </c>
      <c r="G67">
        <v>2150</v>
      </c>
      <c r="H67">
        <v>2150</v>
      </c>
      <c r="I67" t="s">
        <v>158</v>
      </c>
      <c r="J67" t="s">
        <v>159</v>
      </c>
      <c r="K67" t="s">
        <v>566</v>
      </c>
      <c r="L67" t="s">
        <v>567</v>
      </c>
      <c r="M67" t="s">
        <v>568</v>
      </c>
      <c r="N67" t="s">
        <v>163</v>
      </c>
      <c r="O67" t="s">
        <v>164</v>
      </c>
      <c r="P67" t="s">
        <v>165</v>
      </c>
      <c r="R67" s="7">
        <v>30772</v>
      </c>
      <c r="T67" t="s">
        <v>119</v>
      </c>
      <c r="W67" s="15">
        <v>5.0577778000000002</v>
      </c>
      <c r="X67" s="15">
        <v>-75.499444400000002</v>
      </c>
      <c r="AB67">
        <v>21</v>
      </c>
      <c r="AF67" t="s">
        <v>50</v>
      </c>
      <c r="AG67" t="s">
        <v>167</v>
      </c>
      <c r="AH67" t="s">
        <v>168</v>
      </c>
      <c r="AI67" t="s">
        <v>169</v>
      </c>
      <c r="AJ67">
        <v>72</v>
      </c>
    </row>
    <row r="68" spans="1:36">
      <c r="A68" t="s">
        <v>387</v>
      </c>
      <c r="B68" t="s">
        <v>37</v>
      </c>
      <c r="C68" t="s">
        <v>155</v>
      </c>
      <c r="D68" t="s">
        <v>581</v>
      </c>
      <c r="E68" t="s">
        <v>157</v>
      </c>
      <c r="F68">
        <v>2150</v>
      </c>
      <c r="G68">
        <v>2150</v>
      </c>
      <c r="H68">
        <v>2150</v>
      </c>
      <c r="I68" t="s">
        <v>158</v>
      </c>
      <c r="J68" t="s">
        <v>159</v>
      </c>
      <c r="K68" t="s">
        <v>160</v>
      </c>
      <c r="L68" t="s">
        <v>161</v>
      </c>
      <c r="M68" t="s">
        <v>162</v>
      </c>
      <c r="N68" t="s">
        <v>163</v>
      </c>
      <c r="O68" t="s">
        <v>164</v>
      </c>
      <c r="P68" t="s">
        <v>165</v>
      </c>
      <c r="R68" s="7">
        <v>31094</v>
      </c>
      <c r="T68" t="s">
        <v>166</v>
      </c>
      <c r="W68" s="15">
        <v>5.0577778000000002</v>
      </c>
      <c r="X68" s="15">
        <v>-75.499444400000002</v>
      </c>
      <c r="AF68" t="s">
        <v>50</v>
      </c>
      <c r="AG68" t="s">
        <v>167</v>
      </c>
      <c r="AH68" t="s">
        <v>168</v>
      </c>
      <c r="AI68" t="s">
        <v>169</v>
      </c>
      <c r="AJ68">
        <v>73</v>
      </c>
    </row>
    <row r="69" spans="1:36">
      <c r="A69" t="s">
        <v>387</v>
      </c>
      <c r="B69" t="s">
        <v>37</v>
      </c>
      <c r="C69" t="s">
        <v>582</v>
      </c>
      <c r="D69" t="s">
        <v>583</v>
      </c>
      <c r="E69" t="s">
        <v>554</v>
      </c>
      <c r="F69">
        <v>2440</v>
      </c>
      <c r="G69">
        <v>2440</v>
      </c>
      <c r="H69">
        <v>2440</v>
      </c>
      <c r="I69" t="s">
        <v>555</v>
      </c>
      <c r="J69" t="s">
        <v>556</v>
      </c>
      <c r="K69" t="s">
        <v>557</v>
      </c>
      <c r="L69" t="s">
        <v>558</v>
      </c>
      <c r="M69" t="s">
        <v>559</v>
      </c>
      <c r="N69" t="s">
        <v>560</v>
      </c>
      <c r="O69" t="s">
        <v>561</v>
      </c>
      <c r="P69" t="s">
        <v>562</v>
      </c>
      <c r="R69" s="7">
        <v>31247</v>
      </c>
      <c r="T69" t="s">
        <v>119</v>
      </c>
      <c r="W69" s="15">
        <v>6.0806699999999996</v>
      </c>
      <c r="X69" s="15">
        <v>-75.595849999999999</v>
      </c>
      <c r="Y69">
        <v>726.38300000000004</v>
      </c>
      <c r="Z69">
        <v>2440</v>
      </c>
      <c r="AA69" t="s">
        <v>549</v>
      </c>
      <c r="AB69">
        <v>7</v>
      </c>
      <c r="AD69" t="s">
        <v>584</v>
      </c>
      <c r="AE69">
        <v>1</v>
      </c>
      <c r="AF69" t="s">
        <v>50</v>
      </c>
      <c r="AG69" t="s">
        <v>402</v>
      </c>
      <c r="AH69" t="s">
        <v>167</v>
      </c>
      <c r="AI69" t="s">
        <v>563</v>
      </c>
      <c r="AJ69">
        <v>74</v>
      </c>
    </row>
    <row r="70" spans="1:36">
      <c r="A70" t="s">
        <v>387</v>
      </c>
      <c r="B70" t="s">
        <v>37</v>
      </c>
      <c r="C70" t="s">
        <v>585</v>
      </c>
      <c r="D70" t="s">
        <v>586</v>
      </c>
      <c r="E70" t="s">
        <v>157</v>
      </c>
      <c r="F70">
        <v>2250</v>
      </c>
      <c r="G70">
        <v>2250</v>
      </c>
      <c r="H70">
        <v>2250</v>
      </c>
      <c r="I70" t="s">
        <v>572</v>
      </c>
      <c r="J70" t="s">
        <v>573</v>
      </c>
      <c r="K70" t="s">
        <v>574</v>
      </c>
      <c r="L70" t="s">
        <v>575</v>
      </c>
      <c r="M70" t="s">
        <v>576</v>
      </c>
      <c r="N70" t="s">
        <v>577</v>
      </c>
      <c r="O70" t="s">
        <v>578</v>
      </c>
      <c r="P70" t="s">
        <v>579</v>
      </c>
      <c r="R70" s="7">
        <v>31350</v>
      </c>
      <c r="T70" t="s">
        <v>111</v>
      </c>
      <c r="W70" s="15">
        <v>5.07803</v>
      </c>
      <c r="X70" s="15">
        <v>-75.496700000000004</v>
      </c>
      <c r="Y70">
        <v>2679.9319999999998</v>
      </c>
      <c r="Z70">
        <v>2208</v>
      </c>
      <c r="AA70" t="s">
        <v>587</v>
      </c>
      <c r="AB70">
        <v>21</v>
      </c>
      <c r="AF70" t="s">
        <v>50</v>
      </c>
      <c r="AG70" t="s">
        <v>167</v>
      </c>
      <c r="AH70" t="s">
        <v>168</v>
      </c>
      <c r="AI70" t="s">
        <v>169</v>
      </c>
      <c r="AJ70">
        <v>75</v>
      </c>
    </row>
    <row r="71" spans="1:36">
      <c r="A71" t="s">
        <v>387</v>
      </c>
      <c r="B71" t="s">
        <v>37</v>
      </c>
      <c r="C71" t="s">
        <v>588</v>
      </c>
      <c r="D71" t="s">
        <v>589</v>
      </c>
      <c r="E71" t="s">
        <v>590</v>
      </c>
      <c r="F71">
        <v>1900</v>
      </c>
      <c r="G71">
        <v>1900</v>
      </c>
      <c r="H71">
        <v>1900</v>
      </c>
      <c r="I71" t="s">
        <v>591</v>
      </c>
      <c r="J71" t="s">
        <v>592</v>
      </c>
      <c r="K71" t="s">
        <v>593</v>
      </c>
      <c r="L71" t="s">
        <v>594</v>
      </c>
      <c r="M71" t="s">
        <v>595</v>
      </c>
      <c r="N71" t="s">
        <v>596</v>
      </c>
      <c r="O71" t="s">
        <v>597</v>
      </c>
      <c r="P71" t="s">
        <v>598</v>
      </c>
      <c r="R71" s="7">
        <v>31731</v>
      </c>
      <c r="T71" t="s">
        <v>399</v>
      </c>
      <c r="W71" s="15">
        <v>4.9857500000000003</v>
      </c>
      <c r="X71" s="15">
        <v>-75.606960000000001</v>
      </c>
      <c r="Z71">
        <v>1369</v>
      </c>
      <c r="AB71">
        <v>22</v>
      </c>
      <c r="AD71" t="s">
        <v>599</v>
      </c>
      <c r="AF71" t="s">
        <v>50</v>
      </c>
      <c r="AG71" t="s">
        <v>167</v>
      </c>
      <c r="AH71" t="s">
        <v>600</v>
      </c>
      <c r="AI71" t="s">
        <v>601</v>
      </c>
      <c r="AJ71">
        <v>76</v>
      </c>
    </row>
    <row r="72" spans="1:36">
      <c r="A72" t="s">
        <v>387</v>
      </c>
      <c r="B72" t="s">
        <v>37</v>
      </c>
      <c r="C72" t="s">
        <v>602</v>
      </c>
      <c r="D72" t="s">
        <v>603</v>
      </c>
      <c r="E72" t="s">
        <v>604</v>
      </c>
      <c r="F72" t="s">
        <v>605</v>
      </c>
      <c r="G72">
        <v>2340</v>
      </c>
      <c r="H72">
        <v>2430</v>
      </c>
      <c r="I72" t="s">
        <v>606</v>
      </c>
      <c r="J72" t="s">
        <v>607</v>
      </c>
      <c r="K72" t="s">
        <v>608</v>
      </c>
      <c r="L72" t="s">
        <v>608</v>
      </c>
      <c r="M72" t="s">
        <v>609</v>
      </c>
      <c r="N72" t="s">
        <v>610</v>
      </c>
      <c r="O72" t="s">
        <v>611</v>
      </c>
      <c r="P72" t="s">
        <v>612</v>
      </c>
      <c r="R72" s="7">
        <v>31963</v>
      </c>
      <c r="T72" t="s">
        <v>119</v>
      </c>
      <c r="W72" s="15">
        <v>5.9228800000000001</v>
      </c>
      <c r="X72" s="15">
        <v>-75.303579999999997</v>
      </c>
      <c r="Y72">
        <v>2835.0059999999999</v>
      </c>
      <c r="Z72">
        <v>2431</v>
      </c>
      <c r="AB72" t="s">
        <v>613</v>
      </c>
      <c r="AF72" t="s">
        <v>50</v>
      </c>
      <c r="AG72" t="s">
        <v>402</v>
      </c>
      <c r="AH72" t="s">
        <v>614</v>
      </c>
      <c r="AI72" t="s">
        <v>615</v>
      </c>
      <c r="AJ72">
        <v>77</v>
      </c>
    </row>
    <row r="73" spans="1:36">
      <c r="A73" t="s">
        <v>387</v>
      </c>
      <c r="B73" t="s">
        <v>37</v>
      </c>
      <c r="C73" t="s">
        <v>616</v>
      </c>
      <c r="D73" t="s">
        <v>617</v>
      </c>
      <c r="E73" t="s">
        <v>618</v>
      </c>
      <c r="F73" t="s">
        <v>619</v>
      </c>
      <c r="G73">
        <v>1800</v>
      </c>
      <c r="H73">
        <v>1900</v>
      </c>
      <c r="I73" t="s">
        <v>620</v>
      </c>
      <c r="J73" t="s">
        <v>621</v>
      </c>
      <c r="K73" t="s">
        <v>622</v>
      </c>
      <c r="L73" t="s">
        <v>622</v>
      </c>
      <c r="M73" t="s">
        <v>623</v>
      </c>
      <c r="N73" t="s">
        <v>624</v>
      </c>
      <c r="O73" t="s">
        <v>625</v>
      </c>
      <c r="P73" t="s">
        <v>626</v>
      </c>
      <c r="R73" s="7">
        <v>31966</v>
      </c>
      <c r="T73" t="s">
        <v>111</v>
      </c>
      <c r="W73" s="15">
        <v>5.5</v>
      </c>
      <c r="X73" s="15">
        <v>-75.833333300000007</v>
      </c>
      <c r="AF73" t="s">
        <v>50</v>
      </c>
      <c r="AG73" t="s">
        <v>402</v>
      </c>
      <c r="AH73" t="s">
        <v>627</v>
      </c>
      <c r="AI73" t="s">
        <v>628</v>
      </c>
      <c r="AJ73">
        <v>78</v>
      </c>
    </row>
    <row r="74" spans="1:36">
      <c r="A74" t="s">
        <v>387</v>
      </c>
      <c r="B74" t="s">
        <v>37</v>
      </c>
      <c r="C74" t="s">
        <v>629</v>
      </c>
      <c r="D74" t="s">
        <v>630</v>
      </c>
      <c r="E74" t="s">
        <v>631</v>
      </c>
      <c r="F74">
        <v>2200</v>
      </c>
      <c r="G74">
        <v>2200</v>
      </c>
      <c r="H74">
        <v>2200</v>
      </c>
      <c r="I74" t="s">
        <v>632</v>
      </c>
      <c r="J74" t="s">
        <v>633</v>
      </c>
      <c r="K74" t="s">
        <v>634</v>
      </c>
      <c r="L74" t="s">
        <v>635</v>
      </c>
      <c r="M74" t="s">
        <v>636</v>
      </c>
      <c r="N74" t="s">
        <v>637</v>
      </c>
      <c r="O74" t="s">
        <v>638</v>
      </c>
      <c r="P74" t="s">
        <v>639</v>
      </c>
      <c r="R74" s="7">
        <v>32158</v>
      </c>
      <c r="T74" t="s">
        <v>119</v>
      </c>
      <c r="W74" s="15">
        <v>5.9609972000000004</v>
      </c>
      <c r="X74" s="15">
        <v>-75.974625000000003</v>
      </c>
      <c r="AF74" t="s">
        <v>50</v>
      </c>
      <c r="AG74" t="s">
        <v>402</v>
      </c>
      <c r="AH74" t="s">
        <v>640</v>
      </c>
      <c r="AI74" t="s">
        <v>641</v>
      </c>
      <c r="AJ74">
        <v>79</v>
      </c>
    </row>
    <row r="75" spans="1:36">
      <c r="A75" t="s">
        <v>387</v>
      </c>
      <c r="B75" t="s">
        <v>37</v>
      </c>
      <c r="C75" t="s">
        <v>642</v>
      </c>
      <c r="D75" t="s">
        <v>643</v>
      </c>
      <c r="E75" t="s">
        <v>644</v>
      </c>
      <c r="F75" t="s">
        <v>96</v>
      </c>
      <c r="G75">
        <v>1500</v>
      </c>
      <c r="H75">
        <v>1800</v>
      </c>
      <c r="I75" t="s">
        <v>645</v>
      </c>
      <c r="J75" t="s">
        <v>645</v>
      </c>
      <c r="K75" t="s">
        <v>646</v>
      </c>
      <c r="L75" t="s">
        <v>647</v>
      </c>
      <c r="M75" t="s">
        <v>648</v>
      </c>
      <c r="N75" t="s">
        <v>649</v>
      </c>
      <c r="O75" t="s">
        <v>650</v>
      </c>
      <c r="P75" t="s">
        <v>651</v>
      </c>
      <c r="R75" s="7">
        <v>32186</v>
      </c>
      <c r="T75" t="s">
        <v>111</v>
      </c>
      <c r="W75" s="15">
        <v>1.1666666999999999</v>
      </c>
      <c r="X75" s="15">
        <v>-77.966666700000005</v>
      </c>
      <c r="AF75" t="s">
        <v>50</v>
      </c>
      <c r="AG75" t="s">
        <v>127</v>
      </c>
      <c r="AH75" t="s">
        <v>652</v>
      </c>
      <c r="AI75" t="s">
        <v>653</v>
      </c>
      <c r="AJ75">
        <v>80</v>
      </c>
    </row>
    <row r="76" spans="1:36">
      <c r="A76" t="s">
        <v>387</v>
      </c>
      <c r="B76" t="s">
        <v>37</v>
      </c>
      <c r="C76" t="s">
        <v>654</v>
      </c>
      <c r="D76" t="s">
        <v>655</v>
      </c>
      <c r="E76" t="s">
        <v>644</v>
      </c>
      <c r="F76" t="s">
        <v>96</v>
      </c>
      <c r="G76">
        <v>1500</v>
      </c>
      <c r="H76">
        <v>1800</v>
      </c>
      <c r="I76" t="s">
        <v>645</v>
      </c>
      <c r="J76" t="s">
        <v>645</v>
      </c>
      <c r="K76" t="s">
        <v>646</v>
      </c>
      <c r="L76" t="s">
        <v>647</v>
      </c>
      <c r="M76" t="s">
        <v>648</v>
      </c>
      <c r="N76" t="s">
        <v>649</v>
      </c>
      <c r="O76" t="s">
        <v>650</v>
      </c>
      <c r="P76" t="s">
        <v>651</v>
      </c>
      <c r="R76" s="7">
        <v>32215</v>
      </c>
      <c r="T76" t="s">
        <v>111</v>
      </c>
      <c r="W76" s="15">
        <v>1.1666666999999999</v>
      </c>
      <c r="X76" s="15">
        <v>-77.966666700000005</v>
      </c>
      <c r="AF76" t="s">
        <v>50</v>
      </c>
      <c r="AG76" t="s">
        <v>127</v>
      </c>
      <c r="AH76" t="s">
        <v>652</v>
      </c>
      <c r="AI76" t="s">
        <v>653</v>
      </c>
      <c r="AJ76">
        <v>81</v>
      </c>
    </row>
    <row r="77" spans="1:36">
      <c r="A77" t="s">
        <v>387</v>
      </c>
      <c r="B77" t="s">
        <v>37</v>
      </c>
      <c r="C77" t="s">
        <v>656</v>
      </c>
      <c r="D77" t="s">
        <v>657</v>
      </c>
      <c r="E77" t="s">
        <v>658</v>
      </c>
      <c r="F77" t="s">
        <v>96</v>
      </c>
      <c r="G77">
        <v>1500</v>
      </c>
      <c r="H77">
        <v>1800</v>
      </c>
      <c r="I77" t="s">
        <v>645</v>
      </c>
      <c r="J77" t="s">
        <v>645</v>
      </c>
      <c r="K77" t="s">
        <v>646</v>
      </c>
      <c r="L77" t="s">
        <v>647</v>
      </c>
      <c r="M77" t="s">
        <v>648</v>
      </c>
      <c r="N77" t="s">
        <v>649</v>
      </c>
      <c r="O77" t="s">
        <v>650</v>
      </c>
      <c r="P77" t="s">
        <v>651</v>
      </c>
      <c r="R77" s="7">
        <v>32246</v>
      </c>
      <c r="T77" t="s">
        <v>119</v>
      </c>
      <c r="W77" s="15">
        <v>1.1666666999999999</v>
      </c>
      <c r="X77" s="15">
        <v>-77.966666700000005</v>
      </c>
      <c r="AF77" t="s">
        <v>50</v>
      </c>
      <c r="AG77" t="s">
        <v>127</v>
      </c>
      <c r="AH77" t="s">
        <v>659</v>
      </c>
      <c r="AI77" t="s">
        <v>660</v>
      </c>
      <c r="AJ77">
        <v>82</v>
      </c>
    </row>
    <row r="78" spans="1:36">
      <c r="A78" t="s">
        <v>387</v>
      </c>
      <c r="B78" t="s">
        <v>37</v>
      </c>
      <c r="C78" t="s">
        <v>661</v>
      </c>
      <c r="D78" t="s">
        <v>662</v>
      </c>
      <c r="E78" t="s">
        <v>663</v>
      </c>
      <c r="F78" t="s">
        <v>96</v>
      </c>
      <c r="G78">
        <v>1500</v>
      </c>
      <c r="H78">
        <v>1800</v>
      </c>
      <c r="I78" t="s">
        <v>664</v>
      </c>
      <c r="J78" t="s">
        <v>665</v>
      </c>
      <c r="K78" t="s">
        <v>666</v>
      </c>
      <c r="L78" t="s">
        <v>647</v>
      </c>
      <c r="M78" t="s">
        <v>667</v>
      </c>
      <c r="N78" t="s">
        <v>649</v>
      </c>
      <c r="O78" t="s">
        <v>650</v>
      </c>
      <c r="P78" t="s">
        <v>651</v>
      </c>
      <c r="R78" s="7">
        <v>32262</v>
      </c>
      <c r="W78" s="15">
        <v>1.1666666999999999</v>
      </c>
      <c r="X78" s="15">
        <v>-77.966666700000005</v>
      </c>
      <c r="AF78" t="s">
        <v>50</v>
      </c>
      <c r="AG78" t="s">
        <v>127</v>
      </c>
      <c r="AH78" t="s">
        <v>659</v>
      </c>
      <c r="AI78" t="s">
        <v>668</v>
      </c>
      <c r="AJ78">
        <v>83</v>
      </c>
    </row>
    <row r="79" spans="1:36">
      <c r="A79" t="s">
        <v>387</v>
      </c>
      <c r="B79" t="s">
        <v>37</v>
      </c>
      <c r="C79" t="s">
        <v>669</v>
      </c>
      <c r="D79" t="s">
        <v>670</v>
      </c>
      <c r="E79" t="s">
        <v>671</v>
      </c>
      <c r="F79">
        <v>2140</v>
      </c>
      <c r="G79">
        <v>2140</v>
      </c>
      <c r="H79">
        <v>2140</v>
      </c>
      <c r="I79" t="s">
        <v>672</v>
      </c>
      <c r="J79" t="s">
        <v>673</v>
      </c>
      <c r="K79" t="s">
        <v>674</v>
      </c>
      <c r="L79" t="s">
        <v>675</v>
      </c>
      <c r="M79" t="s">
        <v>676</v>
      </c>
      <c r="N79" t="s">
        <v>677</v>
      </c>
      <c r="O79" t="s">
        <v>678</v>
      </c>
      <c r="P79" t="s">
        <v>679</v>
      </c>
      <c r="R79" s="7">
        <v>32828</v>
      </c>
      <c r="T79" t="s">
        <v>119</v>
      </c>
      <c r="W79" s="15">
        <v>4.7208600000000001</v>
      </c>
      <c r="X79" s="15">
        <v>-75.566289999999995</v>
      </c>
      <c r="Y79">
        <v>2874.5509999999999</v>
      </c>
      <c r="AB79" t="s">
        <v>680</v>
      </c>
      <c r="AF79" t="s">
        <v>50</v>
      </c>
      <c r="AG79" t="s">
        <v>360</v>
      </c>
      <c r="AH79" t="s">
        <v>361</v>
      </c>
      <c r="AI79" t="s">
        <v>681</v>
      </c>
      <c r="AJ79">
        <v>84</v>
      </c>
    </row>
    <row r="80" spans="1:36">
      <c r="A80" t="s">
        <v>387</v>
      </c>
      <c r="B80" t="s">
        <v>37</v>
      </c>
      <c r="C80" t="s">
        <v>682</v>
      </c>
      <c r="D80" t="s">
        <v>683</v>
      </c>
      <c r="E80" t="s">
        <v>684</v>
      </c>
      <c r="F80" t="s">
        <v>685</v>
      </c>
      <c r="G80">
        <v>1800</v>
      </c>
      <c r="H80">
        <v>1850</v>
      </c>
      <c r="P80" t="s">
        <v>80</v>
      </c>
      <c r="R80" s="7">
        <v>32945</v>
      </c>
      <c r="T80" t="s">
        <v>399</v>
      </c>
      <c r="W80" s="15">
        <v>1.1434500000000001</v>
      </c>
      <c r="X80" s="15">
        <v>-77.995670000000004</v>
      </c>
      <c r="Y80">
        <v>7040.8320000000003</v>
      </c>
      <c r="Z80">
        <v>1740</v>
      </c>
      <c r="AB80" t="s">
        <v>686</v>
      </c>
      <c r="AF80" t="s">
        <v>50</v>
      </c>
      <c r="AG80" t="s">
        <v>127</v>
      </c>
      <c r="AH80" t="s">
        <v>687</v>
      </c>
      <c r="AI80" t="s">
        <v>688</v>
      </c>
      <c r="AJ80">
        <v>85</v>
      </c>
    </row>
    <row r="81" spans="1:36">
      <c r="A81" t="s">
        <v>387</v>
      </c>
      <c r="B81" t="s">
        <v>37</v>
      </c>
      <c r="C81" t="s">
        <v>689</v>
      </c>
      <c r="D81" t="s">
        <v>690</v>
      </c>
      <c r="E81" t="s">
        <v>691</v>
      </c>
      <c r="F81">
        <v>1800</v>
      </c>
      <c r="G81">
        <v>1800</v>
      </c>
      <c r="H81">
        <v>1800</v>
      </c>
      <c r="P81" t="s">
        <v>80</v>
      </c>
      <c r="R81" s="7">
        <v>33138</v>
      </c>
      <c r="W81" s="15">
        <v>3.5899000000000001</v>
      </c>
      <c r="X81" s="15">
        <v>-74.709339999999997</v>
      </c>
      <c r="Y81">
        <v>3321.6179999999999</v>
      </c>
      <c r="Z81">
        <v>1607</v>
      </c>
      <c r="AB81" t="s">
        <v>692</v>
      </c>
      <c r="AF81" t="s">
        <v>50</v>
      </c>
      <c r="AG81" t="s">
        <v>51</v>
      </c>
      <c r="AH81" t="s">
        <v>50</v>
      </c>
      <c r="AI81" t="s">
        <v>693</v>
      </c>
      <c r="AJ81">
        <v>86</v>
      </c>
    </row>
    <row r="82" spans="1:36">
      <c r="A82" t="s">
        <v>387</v>
      </c>
      <c r="B82" t="s">
        <v>37</v>
      </c>
      <c r="C82" t="s">
        <v>694</v>
      </c>
      <c r="D82" t="s">
        <v>695</v>
      </c>
      <c r="E82" t="s">
        <v>696</v>
      </c>
      <c r="F82">
        <v>2000</v>
      </c>
      <c r="G82">
        <v>2000</v>
      </c>
      <c r="H82">
        <v>2000</v>
      </c>
      <c r="I82" t="s">
        <v>697</v>
      </c>
      <c r="J82" t="s">
        <v>697</v>
      </c>
      <c r="K82" t="s">
        <v>698</v>
      </c>
      <c r="L82" t="s">
        <v>698</v>
      </c>
      <c r="M82" t="s">
        <v>699</v>
      </c>
      <c r="N82" t="s">
        <v>700</v>
      </c>
      <c r="O82" t="s">
        <v>701</v>
      </c>
      <c r="P82" t="s">
        <v>702</v>
      </c>
      <c r="R82" s="7">
        <v>33250</v>
      </c>
      <c r="T82" t="s">
        <v>111</v>
      </c>
      <c r="W82" s="15">
        <v>2.4333333000000001</v>
      </c>
      <c r="X82" s="15">
        <v>-76.516666700000002</v>
      </c>
      <c r="AF82" t="s">
        <v>50</v>
      </c>
      <c r="AG82" t="s">
        <v>283</v>
      </c>
      <c r="AH82" t="s">
        <v>703</v>
      </c>
      <c r="AI82" t="s">
        <v>704</v>
      </c>
      <c r="AJ82">
        <v>87</v>
      </c>
    </row>
    <row r="83" spans="1:36">
      <c r="A83" t="s">
        <v>387</v>
      </c>
      <c r="B83" t="s">
        <v>37</v>
      </c>
      <c r="C83" t="s">
        <v>705</v>
      </c>
      <c r="D83" t="s">
        <v>706</v>
      </c>
      <c r="E83" t="s">
        <v>707</v>
      </c>
      <c r="F83">
        <v>1500</v>
      </c>
      <c r="G83">
        <v>1500</v>
      </c>
      <c r="H83">
        <v>1500</v>
      </c>
      <c r="I83" t="s">
        <v>708</v>
      </c>
      <c r="J83" t="s">
        <v>709</v>
      </c>
      <c r="K83" t="s">
        <v>710</v>
      </c>
      <c r="L83" t="s">
        <v>711</v>
      </c>
      <c r="M83" t="s">
        <v>712</v>
      </c>
      <c r="N83" t="s">
        <v>713</v>
      </c>
      <c r="O83" t="s">
        <v>714</v>
      </c>
      <c r="P83" t="s">
        <v>715</v>
      </c>
      <c r="R83" s="7">
        <v>33691</v>
      </c>
      <c r="W83" s="15">
        <v>5.4333333000000001</v>
      </c>
      <c r="X83" s="15">
        <v>-76.033333299999995</v>
      </c>
      <c r="AF83" t="s">
        <v>50</v>
      </c>
      <c r="AG83" t="s">
        <v>360</v>
      </c>
      <c r="AH83" t="s">
        <v>716</v>
      </c>
      <c r="AI83" t="s">
        <v>717</v>
      </c>
      <c r="AJ83">
        <v>88</v>
      </c>
    </row>
    <row r="84" spans="1:36">
      <c r="A84" t="s">
        <v>387</v>
      </c>
      <c r="B84" t="s">
        <v>37</v>
      </c>
      <c r="C84" t="s">
        <v>718</v>
      </c>
      <c r="D84" t="s">
        <v>719</v>
      </c>
      <c r="E84" t="s">
        <v>720</v>
      </c>
      <c r="F84" t="s">
        <v>721</v>
      </c>
      <c r="G84">
        <v>1800</v>
      </c>
      <c r="H84">
        <v>2300</v>
      </c>
      <c r="I84" t="s">
        <v>722</v>
      </c>
      <c r="J84" t="s">
        <v>722</v>
      </c>
      <c r="K84" t="s">
        <v>723</v>
      </c>
      <c r="L84" t="s">
        <v>723</v>
      </c>
      <c r="M84" t="s">
        <v>724</v>
      </c>
      <c r="N84" t="s">
        <v>725</v>
      </c>
      <c r="O84" t="s">
        <v>533</v>
      </c>
      <c r="P84" t="s">
        <v>726</v>
      </c>
      <c r="R84" s="7">
        <v>33769</v>
      </c>
      <c r="T84" t="s">
        <v>119</v>
      </c>
      <c r="V84" t="s">
        <v>727</v>
      </c>
      <c r="W84" s="15">
        <v>7.2102599999999999</v>
      </c>
      <c r="X84" s="15">
        <v>-75.335909999999998</v>
      </c>
      <c r="Y84">
        <v>5919.33</v>
      </c>
      <c r="Z84">
        <v>1165</v>
      </c>
      <c r="AB84" t="s">
        <v>728</v>
      </c>
      <c r="AE84">
        <v>1</v>
      </c>
      <c r="AF84" t="s">
        <v>50</v>
      </c>
      <c r="AG84" t="s">
        <v>402</v>
      </c>
      <c r="AH84" t="s">
        <v>729</v>
      </c>
      <c r="AI84" t="s">
        <v>730</v>
      </c>
      <c r="AJ84">
        <v>89</v>
      </c>
    </row>
    <row r="85" spans="1:36">
      <c r="A85" t="s">
        <v>387</v>
      </c>
      <c r="B85" t="s">
        <v>37</v>
      </c>
      <c r="C85" t="s">
        <v>731</v>
      </c>
      <c r="D85" t="s">
        <v>732</v>
      </c>
      <c r="E85" t="s">
        <v>733</v>
      </c>
      <c r="F85">
        <v>1370</v>
      </c>
      <c r="G85">
        <v>1370</v>
      </c>
      <c r="H85">
        <v>1370</v>
      </c>
      <c r="I85" t="s">
        <v>734</v>
      </c>
      <c r="J85" t="s">
        <v>735</v>
      </c>
      <c r="K85" t="s">
        <v>736</v>
      </c>
      <c r="L85" t="s">
        <v>737</v>
      </c>
      <c r="M85" t="s">
        <v>738</v>
      </c>
      <c r="N85" t="s">
        <v>739</v>
      </c>
      <c r="O85" t="s">
        <v>740</v>
      </c>
      <c r="P85" t="s">
        <v>741</v>
      </c>
      <c r="R85" s="7">
        <v>33895</v>
      </c>
      <c r="T85" t="s">
        <v>399</v>
      </c>
      <c r="W85" s="15">
        <v>2.7806582999999998</v>
      </c>
      <c r="X85" s="15">
        <v>-75.256655600000002</v>
      </c>
      <c r="AF85" t="s">
        <v>50</v>
      </c>
      <c r="AG85" t="s">
        <v>51</v>
      </c>
      <c r="AH85" t="s">
        <v>742</v>
      </c>
      <c r="AI85" t="s">
        <v>743</v>
      </c>
      <c r="AJ85">
        <v>90</v>
      </c>
    </row>
    <row r="86" spans="1:36">
      <c r="A86" t="s">
        <v>387</v>
      </c>
      <c r="B86" t="s">
        <v>37</v>
      </c>
      <c r="C86" t="s">
        <v>744</v>
      </c>
      <c r="D86" t="s">
        <v>745</v>
      </c>
      <c r="E86" t="s">
        <v>746</v>
      </c>
      <c r="F86">
        <v>1310</v>
      </c>
      <c r="G86">
        <v>1310</v>
      </c>
      <c r="H86">
        <v>1310</v>
      </c>
      <c r="P86" t="s">
        <v>80</v>
      </c>
      <c r="R86" s="7">
        <v>33900</v>
      </c>
      <c r="T86" t="s">
        <v>65</v>
      </c>
      <c r="W86" s="15">
        <v>2.7770700000000001</v>
      </c>
      <c r="X86" s="15">
        <v>-75.199539999999999</v>
      </c>
      <c r="Y86">
        <v>781.30600000000004</v>
      </c>
      <c r="Z86">
        <v>1362</v>
      </c>
      <c r="AB86" t="s">
        <v>747</v>
      </c>
      <c r="AF86" t="s">
        <v>50</v>
      </c>
      <c r="AG86" t="s">
        <v>51</v>
      </c>
      <c r="AH86" t="s">
        <v>742</v>
      </c>
      <c r="AI86" t="s">
        <v>743</v>
      </c>
      <c r="AJ86">
        <v>91</v>
      </c>
    </row>
    <row r="87" spans="1:36">
      <c r="A87" t="s">
        <v>387</v>
      </c>
      <c r="B87" t="s">
        <v>37</v>
      </c>
      <c r="C87" t="s">
        <v>748</v>
      </c>
      <c r="D87" t="s">
        <v>749</v>
      </c>
      <c r="E87" t="s">
        <v>750</v>
      </c>
      <c r="F87">
        <v>2350</v>
      </c>
      <c r="G87">
        <v>2350</v>
      </c>
      <c r="H87">
        <v>2350</v>
      </c>
      <c r="I87" t="s">
        <v>751</v>
      </c>
      <c r="J87" t="s">
        <v>751</v>
      </c>
      <c r="K87" t="s">
        <v>752</v>
      </c>
      <c r="L87" t="s">
        <v>752</v>
      </c>
      <c r="M87" t="s">
        <v>753</v>
      </c>
      <c r="N87" t="s">
        <v>754</v>
      </c>
      <c r="O87" t="s">
        <v>755</v>
      </c>
      <c r="P87" t="s">
        <v>756</v>
      </c>
      <c r="R87" s="7">
        <v>34657</v>
      </c>
      <c r="T87" t="s">
        <v>111</v>
      </c>
      <c r="W87" s="15">
        <v>6.3036199999999996</v>
      </c>
      <c r="X87" s="15">
        <v>-75.518609999999995</v>
      </c>
      <c r="Y87">
        <v>301.83199999999999</v>
      </c>
      <c r="Z87">
        <v>2352</v>
      </c>
      <c r="AA87" t="s">
        <v>757</v>
      </c>
      <c r="AB87">
        <v>11</v>
      </c>
      <c r="AF87" t="s">
        <v>50</v>
      </c>
      <c r="AG87" t="s">
        <v>402</v>
      </c>
      <c r="AH87" t="s">
        <v>758</v>
      </c>
      <c r="AI87" t="s">
        <v>759</v>
      </c>
      <c r="AJ87">
        <v>92</v>
      </c>
    </row>
    <row r="88" spans="1:36">
      <c r="A88" t="s">
        <v>387</v>
      </c>
      <c r="B88" t="s">
        <v>37</v>
      </c>
      <c r="C88" t="s">
        <v>760</v>
      </c>
      <c r="D88" t="s">
        <v>761</v>
      </c>
      <c r="E88" t="s">
        <v>762</v>
      </c>
      <c r="F88">
        <v>2350</v>
      </c>
      <c r="G88">
        <v>2350</v>
      </c>
      <c r="H88">
        <v>2350</v>
      </c>
      <c r="I88" t="s">
        <v>763</v>
      </c>
      <c r="J88" t="s">
        <v>751</v>
      </c>
      <c r="K88" t="s">
        <v>752</v>
      </c>
      <c r="L88" t="s">
        <v>752</v>
      </c>
      <c r="M88" t="s">
        <v>753</v>
      </c>
      <c r="N88" t="s">
        <v>754</v>
      </c>
      <c r="O88" t="s">
        <v>755</v>
      </c>
      <c r="P88" t="s">
        <v>756</v>
      </c>
      <c r="R88" s="7">
        <v>34678</v>
      </c>
      <c r="T88" t="s">
        <v>119</v>
      </c>
      <c r="W88" s="15">
        <v>6.3036199999999996</v>
      </c>
      <c r="X88" s="15">
        <v>-75.518609999999995</v>
      </c>
      <c r="Y88">
        <v>301.83199999999999</v>
      </c>
      <c r="Z88">
        <v>2352</v>
      </c>
      <c r="AA88" t="s">
        <v>549</v>
      </c>
      <c r="AB88">
        <v>11</v>
      </c>
      <c r="AF88" t="s">
        <v>50</v>
      </c>
      <c r="AG88" t="s">
        <v>402</v>
      </c>
      <c r="AH88" t="s">
        <v>758</v>
      </c>
      <c r="AI88" t="s">
        <v>764</v>
      </c>
      <c r="AJ88">
        <v>93</v>
      </c>
    </row>
    <row r="89" spans="1:36">
      <c r="A89" t="s">
        <v>387</v>
      </c>
      <c r="B89" t="s">
        <v>37</v>
      </c>
      <c r="C89" t="s">
        <v>765</v>
      </c>
      <c r="D89" t="s">
        <v>766</v>
      </c>
      <c r="E89" t="s">
        <v>767</v>
      </c>
      <c r="F89">
        <v>1850</v>
      </c>
      <c r="G89">
        <v>1850</v>
      </c>
      <c r="H89">
        <v>1850</v>
      </c>
      <c r="I89" t="s">
        <v>768</v>
      </c>
      <c r="J89" t="s">
        <v>769</v>
      </c>
      <c r="K89" t="s">
        <v>770</v>
      </c>
      <c r="L89" t="s">
        <v>771</v>
      </c>
      <c r="M89" t="s">
        <v>772</v>
      </c>
      <c r="N89" t="s">
        <v>773</v>
      </c>
      <c r="O89" t="s">
        <v>774</v>
      </c>
      <c r="P89" t="s">
        <v>775</v>
      </c>
      <c r="R89" s="7">
        <v>34800</v>
      </c>
      <c r="T89" t="s">
        <v>111</v>
      </c>
      <c r="W89" s="15">
        <v>2.4500000000000002</v>
      </c>
      <c r="X89" s="15">
        <v>-76.616666699999996</v>
      </c>
      <c r="AF89" t="s">
        <v>50</v>
      </c>
      <c r="AG89" t="s">
        <v>283</v>
      </c>
      <c r="AH89" t="s">
        <v>703</v>
      </c>
      <c r="AI89" t="s">
        <v>776</v>
      </c>
      <c r="AJ89">
        <v>94</v>
      </c>
    </row>
    <row r="90" spans="1:36">
      <c r="A90" t="s">
        <v>387</v>
      </c>
      <c r="B90" t="s">
        <v>37</v>
      </c>
      <c r="C90" t="s">
        <v>765</v>
      </c>
      <c r="D90" t="s">
        <v>777</v>
      </c>
      <c r="E90" t="s">
        <v>778</v>
      </c>
      <c r="F90">
        <v>1850</v>
      </c>
      <c r="G90">
        <v>1850</v>
      </c>
      <c r="H90">
        <v>1850</v>
      </c>
      <c r="I90" t="s">
        <v>779</v>
      </c>
      <c r="J90" t="s">
        <v>780</v>
      </c>
      <c r="K90" t="s">
        <v>770</v>
      </c>
      <c r="L90" t="s">
        <v>771</v>
      </c>
      <c r="M90" t="s">
        <v>781</v>
      </c>
      <c r="N90" t="s">
        <v>700</v>
      </c>
      <c r="O90" t="s">
        <v>774</v>
      </c>
      <c r="P90" t="s">
        <v>782</v>
      </c>
      <c r="R90" s="7">
        <v>34800</v>
      </c>
      <c r="T90" t="s">
        <v>111</v>
      </c>
      <c r="W90" s="15">
        <v>2.4333333000000001</v>
      </c>
      <c r="X90" s="15">
        <v>-76.616666699999996</v>
      </c>
      <c r="AF90" t="s">
        <v>50</v>
      </c>
      <c r="AG90" t="s">
        <v>283</v>
      </c>
      <c r="AH90" t="s">
        <v>703</v>
      </c>
      <c r="AJ90">
        <v>95</v>
      </c>
    </row>
    <row r="91" spans="1:36">
      <c r="A91" t="s">
        <v>387</v>
      </c>
      <c r="B91" t="s">
        <v>37</v>
      </c>
      <c r="C91" t="s">
        <v>783</v>
      </c>
      <c r="D91" t="s">
        <v>777</v>
      </c>
      <c r="E91" t="s">
        <v>784</v>
      </c>
      <c r="F91">
        <v>1850</v>
      </c>
      <c r="G91">
        <v>1850</v>
      </c>
      <c r="H91">
        <v>1850</v>
      </c>
      <c r="I91" t="s">
        <v>785</v>
      </c>
      <c r="J91" t="s">
        <v>786</v>
      </c>
      <c r="K91" t="s">
        <v>787</v>
      </c>
      <c r="L91" t="s">
        <v>788</v>
      </c>
      <c r="M91" t="s">
        <v>789</v>
      </c>
      <c r="N91" t="s">
        <v>790</v>
      </c>
      <c r="O91" t="s">
        <v>791</v>
      </c>
      <c r="P91" t="s">
        <v>792</v>
      </c>
      <c r="R91" s="7">
        <v>34800</v>
      </c>
      <c r="W91" s="15">
        <v>2.5039278</v>
      </c>
      <c r="X91" s="15">
        <v>-76.391227799999996</v>
      </c>
      <c r="AF91" t="s">
        <v>50</v>
      </c>
      <c r="AG91" t="s">
        <v>283</v>
      </c>
      <c r="AH91" t="s">
        <v>703</v>
      </c>
      <c r="AI91" t="s">
        <v>793</v>
      </c>
      <c r="AJ91">
        <v>96</v>
      </c>
    </row>
    <row r="92" spans="1:36">
      <c r="A92" t="s">
        <v>387</v>
      </c>
      <c r="B92" t="s">
        <v>37</v>
      </c>
      <c r="C92" t="s">
        <v>794</v>
      </c>
      <c r="D92" t="s">
        <v>795</v>
      </c>
      <c r="E92" t="s">
        <v>796</v>
      </c>
      <c r="F92">
        <v>2050</v>
      </c>
      <c r="G92">
        <v>2050</v>
      </c>
      <c r="H92">
        <v>2050</v>
      </c>
      <c r="I92" t="s">
        <v>797</v>
      </c>
      <c r="J92" t="s">
        <v>798</v>
      </c>
      <c r="K92" t="s">
        <v>799</v>
      </c>
      <c r="L92" t="s">
        <v>419</v>
      </c>
      <c r="M92" t="s">
        <v>800</v>
      </c>
      <c r="N92" t="s">
        <v>801</v>
      </c>
      <c r="O92" t="s">
        <v>422</v>
      </c>
      <c r="P92" t="s">
        <v>802</v>
      </c>
      <c r="R92" s="7">
        <v>35226</v>
      </c>
      <c r="W92" s="15">
        <v>4.6666667000000004</v>
      </c>
      <c r="X92" s="15">
        <v>-75.5</v>
      </c>
      <c r="AF92" t="s">
        <v>50</v>
      </c>
      <c r="AG92" t="s">
        <v>182</v>
      </c>
      <c r="AH92" t="s">
        <v>803</v>
      </c>
      <c r="AI92" t="s">
        <v>804</v>
      </c>
      <c r="AJ92">
        <v>97</v>
      </c>
    </row>
    <row r="93" spans="1:36">
      <c r="A93" t="s">
        <v>387</v>
      </c>
      <c r="B93" t="s">
        <v>37</v>
      </c>
      <c r="C93" t="s">
        <v>805</v>
      </c>
      <c r="D93" t="s">
        <v>806</v>
      </c>
      <c r="E93" t="s">
        <v>807</v>
      </c>
      <c r="F93">
        <v>2400</v>
      </c>
      <c r="G93">
        <v>2400</v>
      </c>
      <c r="H93">
        <v>2400</v>
      </c>
      <c r="I93" t="s">
        <v>808</v>
      </c>
      <c r="J93" t="s">
        <v>809</v>
      </c>
      <c r="K93" t="s">
        <v>530</v>
      </c>
      <c r="L93" t="s">
        <v>530</v>
      </c>
      <c r="M93" t="s">
        <v>810</v>
      </c>
      <c r="N93" t="s">
        <v>811</v>
      </c>
      <c r="O93" t="s">
        <v>533</v>
      </c>
      <c r="P93" t="s">
        <v>812</v>
      </c>
      <c r="R93" s="7">
        <v>35855</v>
      </c>
      <c r="T93" t="s">
        <v>318</v>
      </c>
      <c r="W93" s="15">
        <v>6.2833332999999998</v>
      </c>
      <c r="X93" s="15">
        <v>-75.533333299999995</v>
      </c>
      <c r="AD93" t="s">
        <v>813</v>
      </c>
      <c r="AF93" t="s">
        <v>50</v>
      </c>
      <c r="AG93" t="s">
        <v>402</v>
      </c>
      <c r="AH93" t="s">
        <v>536</v>
      </c>
      <c r="AI93" t="s">
        <v>814</v>
      </c>
      <c r="AJ93">
        <v>98</v>
      </c>
    </row>
    <row r="94" spans="1:36">
      <c r="A94" t="s">
        <v>387</v>
      </c>
      <c r="B94" t="s">
        <v>37</v>
      </c>
      <c r="C94" t="s">
        <v>815</v>
      </c>
      <c r="D94" t="s">
        <v>816</v>
      </c>
      <c r="E94" t="s">
        <v>817</v>
      </c>
      <c r="F94">
        <v>1750</v>
      </c>
      <c r="G94">
        <v>1750</v>
      </c>
      <c r="H94">
        <v>1750</v>
      </c>
      <c r="I94" t="s">
        <v>779</v>
      </c>
      <c r="J94" t="s">
        <v>780</v>
      </c>
      <c r="K94" t="s">
        <v>770</v>
      </c>
      <c r="L94" t="s">
        <v>771</v>
      </c>
      <c r="M94" t="s">
        <v>781</v>
      </c>
      <c r="N94" t="s">
        <v>700</v>
      </c>
      <c r="O94" t="s">
        <v>774</v>
      </c>
      <c r="P94" t="s">
        <v>782</v>
      </c>
      <c r="R94" s="7">
        <v>36344</v>
      </c>
      <c r="T94" t="s">
        <v>111</v>
      </c>
      <c r="W94" s="15">
        <v>2.4333333000000001</v>
      </c>
      <c r="X94" s="15">
        <v>-76.616666699999996</v>
      </c>
      <c r="AF94" t="s">
        <v>50</v>
      </c>
      <c r="AG94" t="s">
        <v>283</v>
      </c>
      <c r="AH94" t="s">
        <v>703</v>
      </c>
      <c r="AI94" t="s">
        <v>818</v>
      </c>
      <c r="AJ94">
        <v>99</v>
      </c>
    </row>
    <row r="95" spans="1:36">
      <c r="A95" t="s">
        <v>387</v>
      </c>
      <c r="B95" t="s">
        <v>37</v>
      </c>
      <c r="C95" t="s">
        <v>819</v>
      </c>
      <c r="D95" t="s">
        <v>820</v>
      </c>
      <c r="E95" t="s">
        <v>821</v>
      </c>
      <c r="F95">
        <v>1750</v>
      </c>
      <c r="G95">
        <v>1750</v>
      </c>
      <c r="H95">
        <v>1750</v>
      </c>
      <c r="I95" t="s">
        <v>768</v>
      </c>
      <c r="J95" t="s">
        <v>769</v>
      </c>
      <c r="K95" t="s">
        <v>770</v>
      </c>
      <c r="L95" t="s">
        <v>771</v>
      </c>
      <c r="M95" t="s">
        <v>772</v>
      </c>
      <c r="N95" t="s">
        <v>773</v>
      </c>
      <c r="O95" t="s">
        <v>774</v>
      </c>
      <c r="P95" t="s">
        <v>775</v>
      </c>
      <c r="R95" s="7">
        <v>36344</v>
      </c>
      <c r="T95" t="s">
        <v>111</v>
      </c>
      <c r="W95" s="15">
        <v>2.4500000000000002</v>
      </c>
      <c r="X95" s="15">
        <v>-76.616666699999996</v>
      </c>
      <c r="AF95" t="s">
        <v>50</v>
      </c>
      <c r="AG95" t="s">
        <v>283</v>
      </c>
      <c r="AH95" t="s">
        <v>703</v>
      </c>
      <c r="AI95" t="s">
        <v>822</v>
      </c>
      <c r="AJ95">
        <v>100</v>
      </c>
    </row>
    <row r="96" spans="1:36">
      <c r="A96" t="s">
        <v>387</v>
      </c>
      <c r="B96" t="s">
        <v>37</v>
      </c>
      <c r="C96" t="s">
        <v>823</v>
      </c>
      <c r="D96" t="s">
        <v>824</v>
      </c>
      <c r="E96" t="s">
        <v>825</v>
      </c>
      <c r="F96">
        <v>1850</v>
      </c>
      <c r="G96">
        <v>1850</v>
      </c>
      <c r="H96">
        <v>1850</v>
      </c>
      <c r="I96" t="s">
        <v>826</v>
      </c>
      <c r="J96" t="s">
        <v>827</v>
      </c>
      <c r="K96" t="s">
        <v>828</v>
      </c>
      <c r="L96" t="s">
        <v>829</v>
      </c>
      <c r="M96" t="s">
        <v>830</v>
      </c>
      <c r="N96" t="s">
        <v>831</v>
      </c>
      <c r="O96" t="s">
        <v>832</v>
      </c>
      <c r="P96" t="s">
        <v>833</v>
      </c>
      <c r="R96" s="7">
        <v>36567</v>
      </c>
      <c r="T96" t="s">
        <v>119</v>
      </c>
      <c r="W96" s="15">
        <v>4.72879</v>
      </c>
      <c r="X96" s="15">
        <v>-75.5779</v>
      </c>
      <c r="Y96">
        <v>611.64800000000002</v>
      </c>
      <c r="Z96">
        <v>1864</v>
      </c>
      <c r="AB96" t="s">
        <v>359</v>
      </c>
      <c r="AF96" t="s">
        <v>50</v>
      </c>
      <c r="AG96" t="s">
        <v>360</v>
      </c>
      <c r="AH96" t="s">
        <v>361</v>
      </c>
      <c r="AI96" t="s">
        <v>834</v>
      </c>
      <c r="AJ96">
        <v>101</v>
      </c>
    </row>
    <row r="97" spans="1:36">
      <c r="A97" t="s">
        <v>387</v>
      </c>
      <c r="B97" t="s">
        <v>37</v>
      </c>
      <c r="C97" t="s">
        <v>835</v>
      </c>
      <c r="D97" t="s">
        <v>836</v>
      </c>
      <c r="E97" t="s">
        <v>837</v>
      </c>
      <c r="F97">
        <v>2350</v>
      </c>
      <c r="G97">
        <v>2350</v>
      </c>
      <c r="H97">
        <v>2350</v>
      </c>
      <c r="I97" t="s">
        <v>838</v>
      </c>
      <c r="J97" t="s">
        <v>839</v>
      </c>
      <c r="K97" t="s">
        <v>840</v>
      </c>
      <c r="L97" t="s">
        <v>840</v>
      </c>
      <c r="M97" t="s">
        <v>841</v>
      </c>
      <c r="N97" t="s">
        <v>842</v>
      </c>
      <c r="O97" t="s">
        <v>843</v>
      </c>
      <c r="P97" t="s">
        <v>844</v>
      </c>
      <c r="R97" s="7">
        <v>36819</v>
      </c>
      <c r="T97" t="s">
        <v>845</v>
      </c>
      <c r="W97" s="15">
        <v>6.2983500000000001</v>
      </c>
      <c r="X97" s="15">
        <v>-75.509330000000006</v>
      </c>
      <c r="Y97">
        <v>60.651000000000003</v>
      </c>
      <c r="Z97">
        <v>2439</v>
      </c>
      <c r="AB97">
        <v>4</v>
      </c>
      <c r="AD97" t="s">
        <v>846</v>
      </c>
      <c r="AE97">
        <v>1</v>
      </c>
      <c r="AF97" t="s">
        <v>50</v>
      </c>
      <c r="AG97" t="s">
        <v>402</v>
      </c>
      <c r="AH97" t="s">
        <v>536</v>
      </c>
      <c r="AI97" t="s">
        <v>847</v>
      </c>
      <c r="AJ97">
        <v>102</v>
      </c>
    </row>
    <row r="98" spans="1:36">
      <c r="A98" t="s">
        <v>387</v>
      </c>
      <c r="B98" t="s">
        <v>37</v>
      </c>
      <c r="C98" t="s">
        <v>848</v>
      </c>
      <c r="D98" t="s">
        <v>849</v>
      </c>
      <c r="E98" t="s">
        <v>850</v>
      </c>
      <c r="F98">
        <v>2350</v>
      </c>
      <c r="G98">
        <v>2350</v>
      </c>
      <c r="H98">
        <v>2350</v>
      </c>
      <c r="I98" t="s">
        <v>851</v>
      </c>
      <c r="J98" t="s">
        <v>852</v>
      </c>
      <c r="K98" t="s">
        <v>853</v>
      </c>
      <c r="L98" t="s">
        <v>853</v>
      </c>
      <c r="M98" t="s">
        <v>854</v>
      </c>
      <c r="N98" t="s">
        <v>842</v>
      </c>
      <c r="O98" t="s">
        <v>843</v>
      </c>
      <c r="P98" t="s">
        <v>844</v>
      </c>
      <c r="R98" s="7">
        <v>36819</v>
      </c>
      <c r="T98" t="s">
        <v>119</v>
      </c>
      <c r="W98" s="15">
        <v>6.2983500000000001</v>
      </c>
      <c r="X98" s="15">
        <v>-75.509330000000006</v>
      </c>
      <c r="Y98">
        <v>60.651000000000003</v>
      </c>
      <c r="Z98">
        <v>2439</v>
      </c>
      <c r="AB98">
        <v>4</v>
      </c>
      <c r="AF98" t="s">
        <v>50</v>
      </c>
      <c r="AG98" t="s">
        <v>402</v>
      </c>
      <c r="AH98" t="s">
        <v>855</v>
      </c>
      <c r="AI98" t="s">
        <v>856</v>
      </c>
      <c r="AJ98">
        <v>103</v>
      </c>
    </row>
    <row r="99" spans="1:36">
      <c r="A99" t="s">
        <v>387</v>
      </c>
      <c r="B99" t="s">
        <v>37</v>
      </c>
      <c r="C99" t="s">
        <v>857</v>
      </c>
      <c r="D99" t="s">
        <v>858</v>
      </c>
      <c r="E99" t="s">
        <v>859</v>
      </c>
      <c r="F99">
        <v>1730</v>
      </c>
      <c r="G99">
        <v>1730</v>
      </c>
      <c r="H99">
        <v>1730</v>
      </c>
      <c r="I99" t="s">
        <v>768</v>
      </c>
      <c r="J99" t="s">
        <v>769</v>
      </c>
      <c r="K99" t="s">
        <v>770</v>
      </c>
      <c r="L99" t="s">
        <v>771</v>
      </c>
      <c r="M99" t="s">
        <v>772</v>
      </c>
      <c r="N99" t="s">
        <v>773</v>
      </c>
      <c r="O99" t="s">
        <v>774</v>
      </c>
      <c r="P99" t="s">
        <v>775</v>
      </c>
      <c r="R99" s="7">
        <v>37096</v>
      </c>
      <c r="T99" t="s">
        <v>79</v>
      </c>
      <c r="W99" s="15">
        <v>2.4500000000000002</v>
      </c>
      <c r="X99" s="15">
        <v>-76.616666699999996</v>
      </c>
      <c r="AF99" t="s">
        <v>50</v>
      </c>
      <c r="AG99" t="s">
        <v>283</v>
      </c>
      <c r="AH99" t="s">
        <v>703</v>
      </c>
      <c r="AI99" t="s">
        <v>860</v>
      </c>
      <c r="AJ99">
        <v>104</v>
      </c>
    </row>
    <row r="100" spans="1:36">
      <c r="A100" t="s">
        <v>387</v>
      </c>
      <c r="B100" t="s">
        <v>37</v>
      </c>
      <c r="C100" t="s">
        <v>861</v>
      </c>
      <c r="D100" t="s">
        <v>862</v>
      </c>
      <c r="E100" t="s">
        <v>863</v>
      </c>
      <c r="F100">
        <v>2150</v>
      </c>
      <c r="G100">
        <v>2150</v>
      </c>
      <c r="H100">
        <v>2150</v>
      </c>
      <c r="I100" t="s">
        <v>158</v>
      </c>
      <c r="J100" t="s">
        <v>159</v>
      </c>
      <c r="K100" t="s">
        <v>566</v>
      </c>
      <c r="L100" t="s">
        <v>567</v>
      </c>
      <c r="M100" t="s">
        <v>568</v>
      </c>
      <c r="N100" t="s">
        <v>163</v>
      </c>
      <c r="O100" t="s">
        <v>164</v>
      </c>
      <c r="P100" t="s">
        <v>165</v>
      </c>
      <c r="R100" s="7">
        <v>37358</v>
      </c>
      <c r="T100" t="s">
        <v>119</v>
      </c>
      <c r="W100" s="15">
        <v>5.0567799999999998</v>
      </c>
      <c r="X100" s="15">
        <v>-75.495410000000007</v>
      </c>
      <c r="Z100">
        <v>2086</v>
      </c>
      <c r="AB100">
        <v>27</v>
      </c>
      <c r="AF100" t="s">
        <v>50</v>
      </c>
      <c r="AG100" t="s">
        <v>167</v>
      </c>
      <c r="AH100" t="s">
        <v>168</v>
      </c>
      <c r="AI100" t="s">
        <v>864</v>
      </c>
      <c r="AJ100">
        <v>105</v>
      </c>
    </row>
    <row r="101" spans="1:36">
      <c r="A101" t="s">
        <v>387</v>
      </c>
      <c r="B101" t="s">
        <v>37</v>
      </c>
      <c r="C101" t="s">
        <v>865</v>
      </c>
      <c r="D101" t="s">
        <v>866</v>
      </c>
      <c r="E101" t="s">
        <v>867</v>
      </c>
      <c r="F101" t="s">
        <v>399</v>
      </c>
      <c r="G101" t="s">
        <v>399</v>
      </c>
      <c r="H101" t="s">
        <v>399</v>
      </c>
      <c r="I101" t="s">
        <v>868</v>
      </c>
      <c r="J101" t="s">
        <v>868</v>
      </c>
      <c r="K101" t="s">
        <v>869</v>
      </c>
      <c r="L101" t="s">
        <v>869</v>
      </c>
      <c r="M101" t="s">
        <v>870</v>
      </c>
      <c r="N101" t="s">
        <v>871</v>
      </c>
      <c r="O101" t="s">
        <v>872</v>
      </c>
      <c r="P101" t="s">
        <v>873</v>
      </c>
      <c r="R101" s="7">
        <v>37403</v>
      </c>
      <c r="T101" t="s">
        <v>111</v>
      </c>
      <c r="W101" s="15">
        <v>4.5583499999999999</v>
      </c>
      <c r="X101" s="15">
        <v>-75.320210000000003</v>
      </c>
      <c r="Y101">
        <v>714.47500000000002</v>
      </c>
      <c r="Z101">
        <v>2033</v>
      </c>
      <c r="AB101" t="s">
        <v>350</v>
      </c>
      <c r="AF101" t="s">
        <v>50</v>
      </c>
      <c r="AG101" t="s">
        <v>133</v>
      </c>
      <c r="AH101" t="s">
        <v>874</v>
      </c>
      <c r="AI101" t="s">
        <v>875</v>
      </c>
      <c r="AJ101">
        <v>106</v>
      </c>
    </row>
    <row r="102" spans="1:36">
      <c r="A102" t="s">
        <v>387</v>
      </c>
      <c r="B102" t="s">
        <v>37</v>
      </c>
      <c r="C102" t="s">
        <v>876</v>
      </c>
      <c r="D102" t="s">
        <v>877</v>
      </c>
      <c r="E102" t="s">
        <v>878</v>
      </c>
      <c r="F102">
        <v>2580</v>
      </c>
      <c r="G102">
        <v>2580</v>
      </c>
      <c r="H102">
        <v>2580</v>
      </c>
      <c r="I102" t="s">
        <v>879</v>
      </c>
      <c r="J102" t="s">
        <v>880</v>
      </c>
      <c r="K102" t="s">
        <v>881</v>
      </c>
      <c r="L102" t="s">
        <v>881</v>
      </c>
      <c r="M102" t="s">
        <v>882</v>
      </c>
      <c r="N102" t="s">
        <v>883</v>
      </c>
      <c r="O102" t="s">
        <v>884</v>
      </c>
      <c r="P102" t="s">
        <v>885</v>
      </c>
      <c r="R102" s="7">
        <v>37463</v>
      </c>
      <c r="T102" t="s">
        <v>111</v>
      </c>
      <c r="W102" s="15">
        <v>6.6960300000000004</v>
      </c>
      <c r="X102" s="15">
        <v>-75.597549999999998</v>
      </c>
      <c r="Y102">
        <v>2571.3310000000001</v>
      </c>
      <c r="Z102">
        <v>2573</v>
      </c>
      <c r="AB102" t="s">
        <v>886</v>
      </c>
      <c r="AF102" t="s">
        <v>50</v>
      </c>
      <c r="AG102" t="s">
        <v>402</v>
      </c>
      <c r="AH102" t="s">
        <v>887</v>
      </c>
      <c r="AI102" t="s">
        <v>888</v>
      </c>
      <c r="AJ102">
        <v>107</v>
      </c>
    </row>
    <row r="103" spans="1:36">
      <c r="A103" t="s">
        <v>387</v>
      </c>
      <c r="B103" t="s">
        <v>37</v>
      </c>
      <c r="C103" t="s">
        <v>876</v>
      </c>
      <c r="D103" t="s">
        <v>889</v>
      </c>
      <c r="E103" t="s">
        <v>878</v>
      </c>
      <c r="F103">
        <v>2580</v>
      </c>
      <c r="G103">
        <v>2580</v>
      </c>
      <c r="H103">
        <v>2580</v>
      </c>
      <c r="I103" t="s">
        <v>880</v>
      </c>
      <c r="J103" t="s">
        <v>880</v>
      </c>
      <c r="K103" t="s">
        <v>881</v>
      </c>
      <c r="L103" t="s">
        <v>881</v>
      </c>
      <c r="M103" t="s">
        <v>882</v>
      </c>
      <c r="N103" t="s">
        <v>883</v>
      </c>
      <c r="O103" t="s">
        <v>884</v>
      </c>
      <c r="P103" t="s">
        <v>885</v>
      </c>
      <c r="R103" s="7">
        <v>37463</v>
      </c>
      <c r="T103" t="s">
        <v>111</v>
      </c>
      <c r="W103" s="15">
        <v>6.6960300000000004</v>
      </c>
      <c r="X103" s="15">
        <v>-75.597549999999998</v>
      </c>
      <c r="Y103">
        <v>2571.3310000000001</v>
      </c>
      <c r="Z103">
        <v>2573</v>
      </c>
      <c r="AB103" t="s">
        <v>886</v>
      </c>
      <c r="AF103" t="s">
        <v>50</v>
      </c>
      <c r="AG103" t="s">
        <v>402</v>
      </c>
      <c r="AH103" t="s">
        <v>887</v>
      </c>
      <c r="AI103" t="s">
        <v>888</v>
      </c>
      <c r="AJ103">
        <v>108</v>
      </c>
    </row>
    <row r="104" spans="1:36">
      <c r="A104" t="s">
        <v>387</v>
      </c>
      <c r="B104" t="s">
        <v>37</v>
      </c>
      <c r="C104" t="s">
        <v>890</v>
      </c>
      <c r="D104" t="s">
        <v>891</v>
      </c>
      <c r="E104" t="s">
        <v>892</v>
      </c>
      <c r="F104">
        <v>2500</v>
      </c>
      <c r="G104">
        <v>2500</v>
      </c>
      <c r="H104">
        <v>2500</v>
      </c>
      <c r="I104" t="s">
        <v>893</v>
      </c>
      <c r="J104" t="s">
        <v>894</v>
      </c>
      <c r="K104" t="s">
        <v>895</v>
      </c>
      <c r="L104" t="s">
        <v>896</v>
      </c>
      <c r="M104" t="s">
        <v>897</v>
      </c>
      <c r="N104" t="s">
        <v>898</v>
      </c>
      <c r="O104" t="s">
        <v>899</v>
      </c>
      <c r="P104" t="s">
        <v>900</v>
      </c>
      <c r="R104" s="7">
        <v>37526</v>
      </c>
      <c r="T104" t="s">
        <v>901</v>
      </c>
      <c r="W104" s="15">
        <v>6.77278</v>
      </c>
      <c r="X104" s="15">
        <v>-75.792029999999997</v>
      </c>
      <c r="Y104">
        <v>16.103999999999999</v>
      </c>
      <c r="Z104">
        <v>2661</v>
      </c>
      <c r="AA104" t="s">
        <v>400</v>
      </c>
      <c r="AB104">
        <v>13</v>
      </c>
      <c r="AE104">
        <v>1</v>
      </c>
      <c r="AF104" t="s">
        <v>50</v>
      </c>
      <c r="AG104" t="s">
        <v>402</v>
      </c>
      <c r="AH104" t="s">
        <v>902</v>
      </c>
      <c r="AI104" t="s">
        <v>903</v>
      </c>
      <c r="AJ104">
        <v>109</v>
      </c>
    </row>
    <row r="105" spans="1:36">
      <c r="A105" t="s">
        <v>387</v>
      </c>
      <c r="B105" t="s">
        <v>37</v>
      </c>
      <c r="C105" t="s">
        <v>904</v>
      </c>
      <c r="D105" t="s">
        <v>905</v>
      </c>
      <c r="E105" t="s">
        <v>906</v>
      </c>
      <c r="F105">
        <v>2630</v>
      </c>
      <c r="G105">
        <v>2630</v>
      </c>
      <c r="H105">
        <v>2630</v>
      </c>
      <c r="I105" t="s">
        <v>907</v>
      </c>
      <c r="J105" t="s">
        <v>907</v>
      </c>
      <c r="K105" t="s">
        <v>908</v>
      </c>
      <c r="L105" t="s">
        <v>908</v>
      </c>
      <c r="M105" t="s">
        <v>909</v>
      </c>
      <c r="N105" t="s">
        <v>910</v>
      </c>
      <c r="O105" t="s">
        <v>911</v>
      </c>
      <c r="P105" t="s">
        <v>912</v>
      </c>
      <c r="Q105" t="s">
        <v>913</v>
      </c>
      <c r="R105" s="7">
        <v>37538</v>
      </c>
      <c r="T105" t="s">
        <v>111</v>
      </c>
      <c r="U105" t="s">
        <v>914</v>
      </c>
      <c r="V105" t="s">
        <v>915</v>
      </c>
      <c r="W105" s="15">
        <v>6.6040799999999997</v>
      </c>
      <c r="X105" s="15">
        <v>-75.736109999999996</v>
      </c>
      <c r="Y105">
        <v>2160.6860000000001</v>
      </c>
      <c r="Z105">
        <v>2059</v>
      </c>
      <c r="AB105" t="s">
        <v>916</v>
      </c>
      <c r="AE105">
        <v>1</v>
      </c>
      <c r="AF105" t="s">
        <v>50</v>
      </c>
      <c r="AG105" t="s">
        <v>402</v>
      </c>
      <c r="AH105" t="s">
        <v>917</v>
      </c>
      <c r="AI105" t="s">
        <v>918</v>
      </c>
      <c r="AJ105">
        <v>110</v>
      </c>
    </row>
    <row r="106" spans="1:36">
      <c r="A106" t="s">
        <v>387</v>
      </c>
      <c r="B106" t="s">
        <v>37</v>
      </c>
      <c r="C106" t="s">
        <v>904</v>
      </c>
      <c r="D106" t="s">
        <v>919</v>
      </c>
      <c r="E106" t="s">
        <v>920</v>
      </c>
      <c r="F106">
        <v>2640</v>
      </c>
      <c r="G106">
        <v>2640</v>
      </c>
      <c r="H106">
        <v>2640</v>
      </c>
      <c r="I106" t="s">
        <v>921</v>
      </c>
      <c r="J106" t="s">
        <v>922</v>
      </c>
      <c r="K106" t="s">
        <v>923</v>
      </c>
      <c r="L106" t="s">
        <v>923</v>
      </c>
      <c r="M106" t="s">
        <v>924</v>
      </c>
      <c r="N106" t="s">
        <v>925</v>
      </c>
      <c r="O106" t="s">
        <v>926</v>
      </c>
      <c r="P106" t="s">
        <v>927</v>
      </c>
      <c r="R106" s="7">
        <v>37538</v>
      </c>
      <c r="T106" t="s">
        <v>111</v>
      </c>
      <c r="W106" s="15">
        <v>6.6040799999999997</v>
      </c>
      <c r="X106" s="15">
        <v>-75.736109999999996</v>
      </c>
      <c r="Y106">
        <v>2160.6860000000001</v>
      </c>
      <c r="Z106">
        <v>2059</v>
      </c>
      <c r="AB106" t="s">
        <v>916</v>
      </c>
      <c r="AF106" t="s">
        <v>50</v>
      </c>
      <c r="AG106" t="s">
        <v>402</v>
      </c>
      <c r="AH106" t="s">
        <v>928</v>
      </c>
      <c r="AI106" t="s">
        <v>929</v>
      </c>
      <c r="AJ106">
        <v>111</v>
      </c>
    </row>
    <row r="107" spans="1:36">
      <c r="A107" t="s">
        <v>387</v>
      </c>
      <c r="B107" t="s">
        <v>37</v>
      </c>
      <c r="C107" t="s">
        <v>930</v>
      </c>
      <c r="D107" t="s">
        <v>931</v>
      </c>
      <c r="E107" t="s">
        <v>932</v>
      </c>
      <c r="F107">
        <v>2150</v>
      </c>
      <c r="G107">
        <v>2150</v>
      </c>
      <c r="H107">
        <v>2150</v>
      </c>
      <c r="I107" t="s">
        <v>158</v>
      </c>
      <c r="J107" t="s">
        <v>159</v>
      </c>
      <c r="K107" t="s">
        <v>566</v>
      </c>
      <c r="L107" t="s">
        <v>567</v>
      </c>
      <c r="M107" t="s">
        <v>568</v>
      </c>
      <c r="N107" t="s">
        <v>163</v>
      </c>
      <c r="O107" t="s">
        <v>164</v>
      </c>
      <c r="P107" t="s">
        <v>165</v>
      </c>
      <c r="R107" s="7">
        <v>37665</v>
      </c>
      <c r="T107" t="s">
        <v>119</v>
      </c>
      <c r="W107" s="15">
        <v>5.0634800000000002</v>
      </c>
      <c r="X107" s="15">
        <v>-75.484870000000001</v>
      </c>
      <c r="Y107">
        <v>1734.6189999999999</v>
      </c>
      <c r="Z107">
        <v>2073</v>
      </c>
      <c r="AA107" t="s">
        <v>587</v>
      </c>
      <c r="AB107">
        <v>26</v>
      </c>
      <c r="AF107" t="s">
        <v>50</v>
      </c>
      <c r="AG107" t="s">
        <v>167</v>
      </c>
      <c r="AH107" t="s">
        <v>168</v>
      </c>
      <c r="AI107" t="s">
        <v>933</v>
      </c>
      <c r="AJ107">
        <v>112</v>
      </c>
    </row>
    <row r="108" spans="1:36">
      <c r="A108" t="s">
        <v>387</v>
      </c>
      <c r="B108" t="s">
        <v>37</v>
      </c>
      <c r="C108" t="s">
        <v>934</v>
      </c>
      <c r="D108" t="s">
        <v>935</v>
      </c>
      <c r="E108" t="s">
        <v>936</v>
      </c>
      <c r="F108" t="s">
        <v>937</v>
      </c>
      <c r="G108">
        <v>1600</v>
      </c>
      <c r="H108">
        <v>1800</v>
      </c>
      <c r="I108" t="s">
        <v>938</v>
      </c>
      <c r="J108" t="s">
        <v>938</v>
      </c>
      <c r="K108" t="s">
        <v>939</v>
      </c>
      <c r="L108" t="s">
        <v>939</v>
      </c>
      <c r="M108" t="s">
        <v>940</v>
      </c>
      <c r="N108" t="s">
        <v>941</v>
      </c>
      <c r="O108" t="s">
        <v>942</v>
      </c>
      <c r="P108" t="s">
        <v>943</v>
      </c>
      <c r="R108" s="7">
        <v>37690</v>
      </c>
      <c r="T108" t="s">
        <v>119</v>
      </c>
      <c r="W108" s="15">
        <v>1.9963</v>
      </c>
      <c r="X108" s="15">
        <v>-76.939009999999996</v>
      </c>
      <c r="Y108">
        <v>2348</v>
      </c>
      <c r="AF108" t="s">
        <v>50</v>
      </c>
      <c r="AG108" t="s">
        <v>283</v>
      </c>
      <c r="AH108" t="s">
        <v>944</v>
      </c>
      <c r="AI108" t="s">
        <v>945</v>
      </c>
      <c r="AJ108">
        <v>113</v>
      </c>
    </row>
    <row r="109" spans="1:36">
      <c r="A109" t="s">
        <v>387</v>
      </c>
      <c r="B109" t="s">
        <v>37</v>
      </c>
      <c r="C109" t="s">
        <v>946</v>
      </c>
      <c r="D109" t="s">
        <v>947</v>
      </c>
      <c r="E109" t="s">
        <v>948</v>
      </c>
      <c r="F109">
        <v>1950</v>
      </c>
      <c r="G109">
        <v>1950</v>
      </c>
      <c r="H109">
        <v>1950</v>
      </c>
      <c r="I109" t="s">
        <v>949</v>
      </c>
      <c r="J109" t="s">
        <v>950</v>
      </c>
      <c r="K109" t="s">
        <v>951</v>
      </c>
      <c r="L109" t="s">
        <v>952</v>
      </c>
      <c r="M109" t="s">
        <v>953</v>
      </c>
      <c r="N109" t="s">
        <v>954</v>
      </c>
      <c r="O109" t="s">
        <v>955</v>
      </c>
      <c r="P109" t="s">
        <v>956</v>
      </c>
      <c r="R109" s="7">
        <v>37711</v>
      </c>
      <c r="W109" s="15">
        <v>4.9031117000000002</v>
      </c>
      <c r="X109" s="15">
        <v>-75.177352799999994</v>
      </c>
      <c r="AF109" t="s">
        <v>50</v>
      </c>
      <c r="AG109" t="s">
        <v>133</v>
      </c>
      <c r="AH109" t="s">
        <v>957</v>
      </c>
      <c r="AI109" t="s">
        <v>958</v>
      </c>
      <c r="AJ109">
        <v>114</v>
      </c>
    </row>
    <row r="110" spans="1:36">
      <c r="A110" t="s">
        <v>387</v>
      </c>
      <c r="B110" t="s">
        <v>37</v>
      </c>
      <c r="C110" t="s">
        <v>959</v>
      </c>
      <c r="D110" t="s">
        <v>960</v>
      </c>
      <c r="E110" t="s">
        <v>961</v>
      </c>
      <c r="F110" t="s">
        <v>962</v>
      </c>
      <c r="G110">
        <v>2300</v>
      </c>
      <c r="H110">
        <v>2400</v>
      </c>
      <c r="I110" t="s">
        <v>963</v>
      </c>
      <c r="J110" t="s">
        <v>963</v>
      </c>
      <c r="K110" t="s">
        <v>964</v>
      </c>
      <c r="L110" t="s">
        <v>964</v>
      </c>
      <c r="M110" t="s">
        <v>965</v>
      </c>
      <c r="N110" t="s">
        <v>966</v>
      </c>
      <c r="O110" t="s">
        <v>967</v>
      </c>
      <c r="P110" t="s">
        <v>968</v>
      </c>
      <c r="R110" s="7">
        <v>37721</v>
      </c>
      <c r="T110" t="s">
        <v>119</v>
      </c>
      <c r="W110" s="15">
        <v>1.8244444</v>
      </c>
      <c r="X110" s="15">
        <v>-76.883333300000004</v>
      </c>
      <c r="AF110" t="s">
        <v>50</v>
      </c>
      <c r="AG110" t="s">
        <v>283</v>
      </c>
      <c r="AH110" t="s">
        <v>944</v>
      </c>
      <c r="AI110" t="s">
        <v>969</v>
      </c>
      <c r="AJ110">
        <v>115</v>
      </c>
    </row>
    <row r="111" spans="1:36">
      <c r="A111" t="s">
        <v>387</v>
      </c>
      <c r="B111" t="s">
        <v>37</v>
      </c>
      <c r="C111" t="s">
        <v>970</v>
      </c>
      <c r="D111" t="s">
        <v>971</v>
      </c>
      <c r="E111" t="s">
        <v>972</v>
      </c>
      <c r="F111">
        <v>2500</v>
      </c>
      <c r="G111">
        <v>2500</v>
      </c>
      <c r="H111">
        <v>2500</v>
      </c>
      <c r="I111" t="s">
        <v>973</v>
      </c>
      <c r="J111" t="s">
        <v>974</v>
      </c>
      <c r="K111" t="s">
        <v>975</v>
      </c>
      <c r="L111" t="s">
        <v>975</v>
      </c>
      <c r="M111" t="s">
        <v>976</v>
      </c>
      <c r="N111" t="s">
        <v>977</v>
      </c>
      <c r="O111" t="s">
        <v>978</v>
      </c>
      <c r="P111" t="s">
        <v>979</v>
      </c>
      <c r="R111" s="7">
        <v>37895</v>
      </c>
      <c r="T111" t="s">
        <v>111</v>
      </c>
      <c r="W111" s="15">
        <v>6.20892</v>
      </c>
      <c r="X111" s="15">
        <v>-75.490859999999998</v>
      </c>
      <c r="Y111">
        <v>2010.31</v>
      </c>
      <c r="Z111">
        <v>2568</v>
      </c>
      <c r="AA111" t="s">
        <v>980</v>
      </c>
      <c r="AB111">
        <v>16</v>
      </c>
      <c r="AD111" t="s">
        <v>981</v>
      </c>
      <c r="AE111">
        <v>1</v>
      </c>
      <c r="AF111" t="s">
        <v>50</v>
      </c>
      <c r="AG111" t="s">
        <v>402</v>
      </c>
      <c r="AH111" t="s">
        <v>536</v>
      </c>
      <c r="AI111" t="s">
        <v>982</v>
      </c>
      <c r="AJ111">
        <v>116</v>
      </c>
    </row>
    <row r="112" spans="1:36">
      <c r="A112" t="s">
        <v>387</v>
      </c>
      <c r="B112" t="s">
        <v>37</v>
      </c>
      <c r="C112" t="s">
        <v>983</v>
      </c>
      <c r="D112" t="s">
        <v>984</v>
      </c>
      <c r="E112" t="s">
        <v>985</v>
      </c>
      <c r="F112">
        <v>2276</v>
      </c>
      <c r="G112">
        <v>2276</v>
      </c>
      <c r="H112">
        <v>2276</v>
      </c>
      <c r="I112" t="s">
        <v>986</v>
      </c>
      <c r="J112" t="s">
        <v>986</v>
      </c>
      <c r="K112" t="s">
        <v>987</v>
      </c>
      <c r="L112" t="s">
        <v>987</v>
      </c>
      <c r="M112" t="s">
        <v>988</v>
      </c>
      <c r="N112" t="s">
        <v>989</v>
      </c>
      <c r="O112" t="s">
        <v>990</v>
      </c>
      <c r="P112" t="s">
        <v>991</v>
      </c>
      <c r="R112" s="7">
        <v>38191</v>
      </c>
      <c r="T112" t="s">
        <v>119</v>
      </c>
      <c r="W112" s="15">
        <v>5.0310300000000003</v>
      </c>
      <c r="X112" s="15">
        <v>-75.511129999999994</v>
      </c>
      <c r="Y112">
        <v>495.93400000000003</v>
      </c>
      <c r="Z112">
        <v>2018</v>
      </c>
      <c r="AB112" t="s">
        <v>992</v>
      </c>
      <c r="AF112" t="s">
        <v>50</v>
      </c>
      <c r="AG112" t="s">
        <v>167</v>
      </c>
      <c r="AH112" t="s">
        <v>993</v>
      </c>
      <c r="AI112" t="s">
        <v>994</v>
      </c>
      <c r="AJ112">
        <v>117</v>
      </c>
    </row>
    <row r="113" spans="1:36">
      <c r="A113" t="s">
        <v>387</v>
      </c>
      <c r="B113" t="s">
        <v>37</v>
      </c>
      <c r="C113" t="s">
        <v>995</v>
      </c>
      <c r="D113" t="s">
        <v>996</v>
      </c>
      <c r="E113" t="s">
        <v>997</v>
      </c>
      <c r="F113">
        <v>2530</v>
      </c>
      <c r="G113">
        <v>2530</v>
      </c>
      <c r="H113">
        <v>2530</v>
      </c>
      <c r="I113" t="s">
        <v>998</v>
      </c>
      <c r="J113" t="s">
        <v>999</v>
      </c>
      <c r="K113" t="s">
        <v>1000</v>
      </c>
      <c r="L113" t="s">
        <v>1001</v>
      </c>
      <c r="M113" t="s">
        <v>1002</v>
      </c>
      <c r="N113" t="s">
        <v>1003</v>
      </c>
      <c r="O113" t="s">
        <v>1004</v>
      </c>
      <c r="P113" t="s">
        <v>1005</v>
      </c>
      <c r="R113" s="7">
        <v>38208</v>
      </c>
      <c r="T113" t="s">
        <v>119</v>
      </c>
      <c r="W113" s="15">
        <v>5.1661666999999998</v>
      </c>
      <c r="X113" s="15">
        <v>-75.401944400000005</v>
      </c>
      <c r="AA113" t="s">
        <v>1006</v>
      </c>
      <c r="AF113" t="s">
        <v>50</v>
      </c>
      <c r="AG113" t="s">
        <v>167</v>
      </c>
      <c r="AH113" t="s">
        <v>168</v>
      </c>
      <c r="AI113" t="s">
        <v>1007</v>
      </c>
      <c r="AJ113">
        <v>118</v>
      </c>
    </row>
    <row r="114" spans="1:36">
      <c r="A114" t="s">
        <v>387</v>
      </c>
      <c r="B114" t="s">
        <v>37</v>
      </c>
      <c r="C114" t="s">
        <v>995</v>
      </c>
      <c r="D114" t="s">
        <v>996</v>
      </c>
      <c r="E114" t="s">
        <v>997</v>
      </c>
      <c r="F114">
        <v>2530</v>
      </c>
      <c r="G114">
        <v>2530</v>
      </c>
      <c r="H114">
        <v>2530</v>
      </c>
      <c r="I114" t="s">
        <v>998</v>
      </c>
      <c r="J114" t="s">
        <v>999</v>
      </c>
      <c r="K114" t="s">
        <v>1000</v>
      </c>
      <c r="L114" t="s">
        <v>1001</v>
      </c>
      <c r="M114" t="s">
        <v>1002</v>
      </c>
      <c r="N114" t="s">
        <v>1003</v>
      </c>
      <c r="O114" t="s">
        <v>1004</v>
      </c>
      <c r="P114" t="s">
        <v>1005</v>
      </c>
      <c r="R114" s="7">
        <v>38208</v>
      </c>
      <c r="T114" t="s">
        <v>119</v>
      </c>
      <c r="W114" s="15">
        <v>5.1661666999999998</v>
      </c>
      <c r="X114" s="15">
        <v>-75.401944400000005</v>
      </c>
      <c r="AF114" t="s">
        <v>50</v>
      </c>
      <c r="AG114" t="s">
        <v>167</v>
      </c>
      <c r="AH114" t="s">
        <v>168</v>
      </c>
      <c r="AI114" t="s">
        <v>1007</v>
      </c>
      <c r="AJ114">
        <v>119</v>
      </c>
    </row>
    <row r="115" spans="1:36">
      <c r="A115" t="s">
        <v>387</v>
      </c>
      <c r="B115" t="s">
        <v>37</v>
      </c>
      <c r="C115" t="s">
        <v>1008</v>
      </c>
      <c r="D115" t="s">
        <v>1009</v>
      </c>
      <c r="E115" t="s">
        <v>1010</v>
      </c>
      <c r="F115">
        <v>1698</v>
      </c>
      <c r="G115">
        <v>1698</v>
      </c>
      <c r="H115">
        <v>1698</v>
      </c>
      <c r="I115" t="s">
        <v>1011</v>
      </c>
      <c r="J115" t="s">
        <v>1011</v>
      </c>
      <c r="K115" t="s">
        <v>1012</v>
      </c>
      <c r="L115" t="s">
        <v>1012</v>
      </c>
      <c r="M115" t="s">
        <v>1013</v>
      </c>
      <c r="P115" t="s">
        <v>80</v>
      </c>
      <c r="R115" s="7">
        <v>38268</v>
      </c>
      <c r="T115" t="s">
        <v>119</v>
      </c>
      <c r="W115" s="15">
        <v>1.554116667</v>
      </c>
      <c r="X115" s="15">
        <v>-76.294533333333305</v>
      </c>
      <c r="AF115" t="s">
        <v>50</v>
      </c>
      <c r="AG115" t="s">
        <v>283</v>
      </c>
      <c r="AH115" t="s">
        <v>1014</v>
      </c>
      <c r="AI115" t="s">
        <v>1015</v>
      </c>
      <c r="AJ115">
        <v>120</v>
      </c>
    </row>
    <row r="116" spans="1:36">
      <c r="A116" t="s">
        <v>387</v>
      </c>
      <c r="B116" t="s">
        <v>37</v>
      </c>
      <c r="C116" t="s">
        <v>1016</v>
      </c>
      <c r="D116" t="s">
        <v>1017</v>
      </c>
      <c r="E116" t="s">
        <v>1018</v>
      </c>
      <c r="F116">
        <v>2000</v>
      </c>
      <c r="G116">
        <v>2000</v>
      </c>
      <c r="H116">
        <v>2000</v>
      </c>
      <c r="I116" t="s">
        <v>826</v>
      </c>
      <c r="J116" t="s">
        <v>827</v>
      </c>
      <c r="K116" t="s">
        <v>828</v>
      </c>
      <c r="L116" t="s">
        <v>829</v>
      </c>
      <c r="M116" t="s">
        <v>830</v>
      </c>
      <c r="N116" t="s">
        <v>831</v>
      </c>
      <c r="O116" t="s">
        <v>832</v>
      </c>
      <c r="P116" t="s">
        <v>833</v>
      </c>
      <c r="R116" s="7">
        <v>38284</v>
      </c>
      <c r="W116" s="15">
        <v>4.72879</v>
      </c>
      <c r="X116" s="15">
        <v>-75.5779</v>
      </c>
      <c r="Y116">
        <v>611.64800000000002</v>
      </c>
      <c r="Z116">
        <v>1864</v>
      </c>
      <c r="AB116" t="s">
        <v>359</v>
      </c>
      <c r="AF116" t="s">
        <v>50</v>
      </c>
      <c r="AG116" t="s">
        <v>360</v>
      </c>
      <c r="AH116" t="s">
        <v>361</v>
      </c>
      <c r="AI116" t="s">
        <v>1019</v>
      </c>
      <c r="AJ116">
        <v>121</v>
      </c>
    </row>
    <row r="117" spans="1:36">
      <c r="A117" t="s">
        <v>387</v>
      </c>
      <c r="B117" t="s">
        <v>37</v>
      </c>
      <c r="C117" t="s">
        <v>1020</v>
      </c>
      <c r="D117" t="s">
        <v>1021</v>
      </c>
      <c r="E117" t="s">
        <v>1018</v>
      </c>
      <c r="F117">
        <v>2000</v>
      </c>
      <c r="G117">
        <v>2000</v>
      </c>
      <c r="H117">
        <v>2000</v>
      </c>
      <c r="I117" t="s">
        <v>826</v>
      </c>
      <c r="J117" t="s">
        <v>827</v>
      </c>
      <c r="K117" t="s">
        <v>828</v>
      </c>
      <c r="L117" t="s">
        <v>829</v>
      </c>
      <c r="M117" t="s">
        <v>830</v>
      </c>
      <c r="N117" t="s">
        <v>831</v>
      </c>
      <c r="O117" t="s">
        <v>832</v>
      </c>
      <c r="P117" t="s">
        <v>833</v>
      </c>
      <c r="R117" s="7">
        <v>38284</v>
      </c>
      <c r="T117" t="s">
        <v>111</v>
      </c>
      <c r="W117" s="15">
        <v>4.72879</v>
      </c>
      <c r="X117" s="15">
        <v>-75.5779</v>
      </c>
      <c r="Y117">
        <v>611.64800000000002</v>
      </c>
      <c r="Z117">
        <v>1864</v>
      </c>
      <c r="AB117" t="s">
        <v>359</v>
      </c>
      <c r="AF117" t="s">
        <v>50</v>
      </c>
      <c r="AG117" t="s">
        <v>360</v>
      </c>
      <c r="AH117" t="s">
        <v>361</v>
      </c>
      <c r="AI117" t="s">
        <v>1019</v>
      </c>
      <c r="AJ117">
        <v>122</v>
      </c>
    </row>
    <row r="118" spans="1:36">
      <c r="A118" t="s">
        <v>387</v>
      </c>
      <c r="B118" t="s">
        <v>37</v>
      </c>
      <c r="C118" t="s">
        <v>1022</v>
      </c>
      <c r="D118" t="s">
        <v>1023</v>
      </c>
      <c r="E118" t="s">
        <v>1024</v>
      </c>
      <c r="F118" t="s">
        <v>1025</v>
      </c>
      <c r="G118">
        <v>2150</v>
      </c>
      <c r="H118">
        <v>2250</v>
      </c>
      <c r="I118" t="s">
        <v>1026</v>
      </c>
      <c r="J118" t="s">
        <v>1027</v>
      </c>
      <c r="K118" t="s">
        <v>1028</v>
      </c>
      <c r="L118" t="s">
        <v>1028</v>
      </c>
      <c r="M118" t="s">
        <v>1029</v>
      </c>
      <c r="N118" t="s">
        <v>1030</v>
      </c>
      <c r="O118" t="s">
        <v>1031</v>
      </c>
      <c r="P118" t="s">
        <v>1032</v>
      </c>
      <c r="R118" s="7">
        <v>38341</v>
      </c>
      <c r="T118" t="s">
        <v>119</v>
      </c>
      <c r="W118" s="15">
        <v>5.9850399999999997</v>
      </c>
      <c r="X118" s="15">
        <v>-75.629300000000001</v>
      </c>
      <c r="Y118">
        <v>1325.396</v>
      </c>
      <c r="Z118">
        <v>2229</v>
      </c>
      <c r="AA118" t="s">
        <v>1033</v>
      </c>
      <c r="AB118">
        <v>17</v>
      </c>
      <c r="AF118" t="s">
        <v>50</v>
      </c>
      <c r="AG118" t="s">
        <v>402</v>
      </c>
      <c r="AH118" t="s">
        <v>1034</v>
      </c>
      <c r="AI118" t="s">
        <v>1035</v>
      </c>
      <c r="AJ118">
        <v>123</v>
      </c>
    </row>
    <row r="119" spans="1:36">
      <c r="A119" t="s">
        <v>387</v>
      </c>
      <c r="B119" t="s">
        <v>37</v>
      </c>
      <c r="C119" t="s">
        <v>1036</v>
      </c>
      <c r="D119" t="s">
        <v>1037</v>
      </c>
      <c r="E119" t="s">
        <v>1038</v>
      </c>
      <c r="F119">
        <v>1686</v>
      </c>
      <c r="G119">
        <v>1686</v>
      </c>
      <c r="H119">
        <v>1686</v>
      </c>
      <c r="I119" t="s">
        <v>1039</v>
      </c>
      <c r="J119" t="s">
        <v>1040</v>
      </c>
      <c r="K119" t="s">
        <v>1041</v>
      </c>
      <c r="L119" t="s">
        <v>1041</v>
      </c>
      <c r="M119" t="s">
        <v>1042</v>
      </c>
      <c r="N119" t="s">
        <v>1043</v>
      </c>
      <c r="O119" t="s">
        <v>1044</v>
      </c>
      <c r="P119" t="s">
        <v>1045</v>
      </c>
      <c r="R119" s="7">
        <v>38417</v>
      </c>
      <c r="T119" t="s">
        <v>119</v>
      </c>
      <c r="W119" s="15">
        <v>1.5551944</v>
      </c>
      <c r="X119" s="15">
        <v>-76.305166700000001</v>
      </c>
      <c r="AF119" t="s">
        <v>50</v>
      </c>
      <c r="AG119" t="s">
        <v>283</v>
      </c>
      <c r="AH119" t="s">
        <v>1014</v>
      </c>
      <c r="AI119" t="s">
        <v>1046</v>
      </c>
      <c r="AJ119">
        <v>124</v>
      </c>
    </row>
    <row r="120" spans="1:36">
      <c r="A120" t="s">
        <v>387</v>
      </c>
      <c r="B120" t="s">
        <v>37</v>
      </c>
      <c r="C120" t="s">
        <v>1047</v>
      </c>
      <c r="D120" t="s">
        <v>1048</v>
      </c>
      <c r="E120" t="s">
        <v>1049</v>
      </c>
      <c r="F120" t="s">
        <v>1050</v>
      </c>
      <c r="G120">
        <v>2110</v>
      </c>
      <c r="H120">
        <v>2150</v>
      </c>
      <c r="I120" t="s">
        <v>1051</v>
      </c>
      <c r="J120" t="s">
        <v>1052</v>
      </c>
      <c r="K120" t="s">
        <v>1053</v>
      </c>
      <c r="L120" t="s">
        <v>1053</v>
      </c>
      <c r="M120" t="s">
        <v>1054</v>
      </c>
      <c r="N120" t="s">
        <v>1055</v>
      </c>
      <c r="O120" t="s">
        <v>1056</v>
      </c>
      <c r="P120" t="s">
        <v>1057</v>
      </c>
      <c r="R120" s="7">
        <v>38534</v>
      </c>
      <c r="T120" t="s">
        <v>119</v>
      </c>
      <c r="W120" s="15">
        <v>5.5845000000000002</v>
      </c>
      <c r="X120" s="15">
        <v>-75.776840000000007</v>
      </c>
      <c r="Y120">
        <v>2559.7779999999998</v>
      </c>
      <c r="Z120">
        <v>2243</v>
      </c>
      <c r="AA120" t="s">
        <v>549</v>
      </c>
      <c r="AB120">
        <v>10</v>
      </c>
      <c r="AE120">
        <v>1</v>
      </c>
      <c r="AF120" t="s">
        <v>50</v>
      </c>
      <c r="AG120" t="s">
        <v>402</v>
      </c>
      <c r="AH120" t="s">
        <v>627</v>
      </c>
      <c r="AI120" t="s">
        <v>1058</v>
      </c>
      <c r="AJ120">
        <v>125</v>
      </c>
    </row>
    <row r="121" spans="1:36">
      <c r="A121" t="s">
        <v>387</v>
      </c>
      <c r="B121" t="s">
        <v>37</v>
      </c>
      <c r="C121" t="s">
        <v>1059</v>
      </c>
      <c r="D121" t="s">
        <v>1060</v>
      </c>
      <c r="E121" t="s">
        <v>1061</v>
      </c>
      <c r="F121" t="s">
        <v>96</v>
      </c>
      <c r="G121">
        <v>1500</v>
      </c>
      <c r="H121">
        <v>1800</v>
      </c>
      <c r="P121" t="s">
        <v>80</v>
      </c>
      <c r="R121" s="7">
        <v>39111</v>
      </c>
      <c r="T121" t="s">
        <v>119</v>
      </c>
      <c r="W121" s="15">
        <v>5.3628900000000002</v>
      </c>
      <c r="X121" s="15">
        <v>-75.680869999999999</v>
      </c>
      <c r="Y121">
        <v>956.60199999999998</v>
      </c>
      <c r="Z121">
        <v>1486</v>
      </c>
      <c r="AA121" t="s">
        <v>1062</v>
      </c>
      <c r="AB121" t="s">
        <v>1063</v>
      </c>
      <c r="AF121" t="s">
        <v>50</v>
      </c>
      <c r="AG121" t="s">
        <v>167</v>
      </c>
      <c r="AH121" t="s">
        <v>1064</v>
      </c>
      <c r="AI121" t="s">
        <v>1065</v>
      </c>
      <c r="AJ121">
        <v>126</v>
      </c>
    </row>
    <row r="122" spans="1:36">
      <c r="A122" t="s">
        <v>387</v>
      </c>
      <c r="B122" t="s">
        <v>37</v>
      </c>
      <c r="C122" t="s">
        <v>1066</v>
      </c>
      <c r="D122" t="s">
        <v>984</v>
      </c>
      <c r="E122" t="s">
        <v>1067</v>
      </c>
      <c r="F122">
        <v>2100</v>
      </c>
      <c r="G122">
        <v>2100</v>
      </c>
      <c r="H122">
        <v>2100</v>
      </c>
      <c r="I122" t="s">
        <v>1068</v>
      </c>
      <c r="J122" t="s">
        <v>1069</v>
      </c>
      <c r="K122" t="s">
        <v>1070</v>
      </c>
      <c r="L122" t="s">
        <v>1071</v>
      </c>
      <c r="M122" t="s">
        <v>1072</v>
      </c>
      <c r="N122" t="s">
        <v>1073</v>
      </c>
      <c r="O122" t="s">
        <v>1074</v>
      </c>
      <c r="P122" t="s">
        <v>1075</v>
      </c>
      <c r="R122" s="7">
        <v>39518</v>
      </c>
      <c r="W122" s="15">
        <v>5.0813300000000003</v>
      </c>
      <c r="X122" s="15">
        <v>-75.506320000000002</v>
      </c>
      <c r="Y122">
        <v>235.88300000000001</v>
      </c>
      <c r="Z122">
        <v>2059</v>
      </c>
      <c r="AB122">
        <v>28</v>
      </c>
      <c r="AF122" t="s">
        <v>50</v>
      </c>
      <c r="AG122" t="s">
        <v>167</v>
      </c>
      <c r="AH122" t="s">
        <v>168</v>
      </c>
      <c r="AI122" t="s">
        <v>1076</v>
      </c>
      <c r="AJ122">
        <v>127</v>
      </c>
    </row>
    <row r="123" spans="1:36">
      <c r="A123" t="s">
        <v>387</v>
      </c>
      <c r="B123" t="s">
        <v>37</v>
      </c>
      <c r="C123" t="s">
        <v>1077</v>
      </c>
      <c r="D123" t="s">
        <v>984</v>
      </c>
      <c r="E123" t="s">
        <v>1078</v>
      </c>
      <c r="F123">
        <v>2198</v>
      </c>
      <c r="G123">
        <v>2198</v>
      </c>
      <c r="H123">
        <v>2198</v>
      </c>
      <c r="I123" t="s">
        <v>1079</v>
      </c>
      <c r="J123" t="s">
        <v>1080</v>
      </c>
      <c r="K123" t="s">
        <v>1081</v>
      </c>
      <c r="L123" t="s">
        <v>1081</v>
      </c>
      <c r="M123" t="s">
        <v>1082</v>
      </c>
      <c r="N123" t="s">
        <v>1083</v>
      </c>
      <c r="O123" t="s">
        <v>1084</v>
      </c>
      <c r="P123" t="s">
        <v>1085</v>
      </c>
      <c r="R123" s="7">
        <v>39755</v>
      </c>
      <c r="W123" s="15">
        <v>5.0845833000000002</v>
      </c>
      <c r="X123" s="15">
        <v>-75.508416699999998</v>
      </c>
      <c r="AF123" t="s">
        <v>50</v>
      </c>
      <c r="AG123" t="s">
        <v>167</v>
      </c>
      <c r="AH123" t="s">
        <v>168</v>
      </c>
      <c r="AI123" t="s">
        <v>1086</v>
      </c>
      <c r="AJ123">
        <v>128</v>
      </c>
    </row>
    <row r="124" spans="1:36">
      <c r="A124" t="s">
        <v>387</v>
      </c>
      <c r="B124" t="s">
        <v>37</v>
      </c>
      <c r="C124" t="s">
        <v>1087</v>
      </c>
      <c r="D124" t="s">
        <v>984</v>
      </c>
      <c r="E124" t="s">
        <v>1088</v>
      </c>
      <c r="F124">
        <v>2332</v>
      </c>
      <c r="G124">
        <v>2332</v>
      </c>
      <c r="H124">
        <v>2332</v>
      </c>
      <c r="I124" t="s">
        <v>1089</v>
      </c>
      <c r="J124" t="s">
        <v>1090</v>
      </c>
      <c r="K124" t="s">
        <v>1091</v>
      </c>
      <c r="L124" t="s">
        <v>1092</v>
      </c>
      <c r="M124" t="s">
        <v>1093</v>
      </c>
      <c r="N124" t="s">
        <v>1094</v>
      </c>
      <c r="O124" t="s">
        <v>1095</v>
      </c>
      <c r="P124" t="s">
        <v>1096</v>
      </c>
      <c r="R124" s="7">
        <v>40006</v>
      </c>
      <c r="T124" t="s">
        <v>318</v>
      </c>
      <c r="W124" s="15">
        <v>5.1830556000000003</v>
      </c>
      <c r="X124" s="15">
        <v>-75.457999999999998</v>
      </c>
      <c r="AF124" t="s">
        <v>50</v>
      </c>
      <c r="AG124" t="s">
        <v>167</v>
      </c>
      <c r="AH124" t="s">
        <v>238</v>
      </c>
      <c r="AI124" t="s">
        <v>1097</v>
      </c>
      <c r="AJ124">
        <v>130</v>
      </c>
    </row>
    <row r="125" spans="1:36">
      <c r="A125" t="s">
        <v>387</v>
      </c>
      <c r="B125" t="s">
        <v>37</v>
      </c>
      <c r="C125" t="s">
        <v>1098</v>
      </c>
      <c r="D125" t="s">
        <v>984</v>
      </c>
      <c r="E125" t="s">
        <v>1099</v>
      </c>
      <c r="F125">
        <v>1950</v>
      </c>
      <c r="G125">
        <v>1950</v>
      </c>
      <c r="H125">
        <v>1950</v>
      </c>
      <c r="I125" t="s">
        <v>1100</v>
      </c>
      <c r="J125" t="s">
        <v>1100</v>
      </c>
      <c r="K125" t="s">
        <v>1101</v>
      </c>
      <c r="L125" t="s">
        <v>1102</v>
      </c>
      <c r="M125" t="s">
        <v>1103</v>
      </c>
      <c r="P125" t="s">
        <v>80</v>
      </c>
      <c r="R125" s="7">
        <v>40013</v>
      </c>
      <c r="T125" t="s">
        <v>119</v>
      </c>
      <c r="W125" s="15">
        <v>4.6806700000000001</v>
      </c>
      <c r="X125" s="15">
        <v>-75.634519999999995</v>
      </c>
      <c r="Y125">
        <v>2304.893</v>
      </c>
      <c r="Z125">
        <v>1856</v>
      </c>
      <c r="AB125" t="s">
        <v>319</v>
      </c>
      <c r="AF125" t="s">
        <v>50</v>
      </c>
      <c r="AG125" t="s">
        <v>182</v>
      </c>
      <c r="AH125" t="s">
        <v>320</v>
      </c>
      <c r="AI125" t="s">
        <v>1104</v>
      </c>
      <c r="AJ125">
        <v>131</v>
      </c>
    </row>
    <row r="126" spans="1:36">
      <c r="A126" t="s">
        <v>387</v>
      </c>
      <c r="B126" t="s">
        <v>37</v>
      </c>
      <c r="C126" t="s">
        <v>1105</v>
      </c>
      <c r="D126" t="s">
        <v>984</v>
      </c>
      <c r="E126" t="s">
        <v>1106</v>
      </c>
      <c r="F126" t="s">
        <v>1107</v>
      </c>
      <c r="G126">
        <v>2526</v>
      </c>
      <c r="H126">
        <v>2526</v>
      </c>
      <c r="I126" t="s">
        <v>1108</v>
      </c>
      <c r="J126" t="s">
        <v>1108</v>
      </c>
      <c r="K126" t="s">
        <v>1109</v>
      </c>
      <c r="L126" t="s">
        <v>1109</v>
      </c>
      <c r="M126" t="s">
        <v>1110</v>
      </c>
      <c r="N126" t="s">
        <v>304</v>
      </c>
      <c r="O126" t="s">
        <v>305</v>
      </c>
      <c r="P126" t="s">
        <v>306</v>
      </c>
      <c r="R126" s="7">
        <v>40032</v>
      </c>
      <c r="T126" t="s">
        <v>111</v>
      </c>
      <c r="W126" s="15">
        <v>4.9848806000000003</v>
      </c>
      <c r="X126" s="15">
        <v>-75.451138900000004</v>
      </c>
      <c r="AF126" t="s">
        <v>50</v>
      </c>
      <c r="AG126" t="s">
        <v>167</v>
      </c>
      <c r="AH126" t="s">
        <v>168</v>
      </c>
      <c r="AI126" t="s">
        <v>1111</v>
      </c>
      <c r="AJ126">
        <v>132</v>
      </c>
    </row>
    <row r="127" spans="1:36">
      <c r="A127" t="s">
        <v>387</v>
      </c>
      <c r="B127" t="s">
        <v>37</v>
      </c>
      <c r="C127" t="s">
        <v>1112</v>
      </c>
      <c r="D127" t="s">
        <v>1113</v>
      </c>
      <c r="E127" t="s">
        <v>1114</v>
      </c>
      <c r="F127">
        <v>1100</v>
      </c>
      <c r="G127">
        <v>1100</v>
      </c>
      <c r="H127">
        <v>1100</v>
      </c>
      <c r="I127" t="s">
        <v>1115</v>
      </c>
      <c r="J127" t="s">
        <v>1115</v>
      </c>
      <c r="K127" t="s">
        <v>1116</v>
      </c>
      <c r="L127" t="s">
        <v>1116</v>
      </c>
      <c r="M127" t="s">
        <v>1117</v>
      </c>
      <c r="N127" t="s">
        <v>1118</v>
      </c>
      <c r="O127" t="s">
        <v>1119</v>
      </c>
      <c r="P127" t="s">
        <v>1120</v>
      </c>
      <c r="R127" s="7">
        <v>35050</v>
      </c>
      <c r="T127" t="s">
        <v>119</v>
      </c>
      <c r="W127" s="15">
        <v>1.3166667000000001</v>
      </c>
      <c r="X127" s="15">
        <v>-77.916666699999993</v>
      </c>
      <c r="AF127" t="s">
        <v>50</v>
      </c>
      <c r="AG127" t="s">
        <v>127</v>
      </c>
      <c r="AH127" t="s">
        <v>652</v>
      </c>
      <c r="AI127" t="s">
        <v>1121</v>
      </c>
      <c r="AJ127">
        <v>133</v>
      </c>
    </row>
    <row r="128" spans="1:36">
      <c r="A128" t="s">
        <v>387</v>
      </c>
      <c r="B128" t="s">
        <v>37</v>
      </c>
      <c r="C128" t="s">
        <v>1122</v>
      </c>
      <c r="D128" t="s">
        <v>984</v>
      </c>
      <c r="E128" t="s">
        <v>1123</v>
      </c>
      <c r="F128">
        <v>2526</v>
      </c>
      <c r="G128">
        <v>2526</v>
      </c>
      <c r="H128">
        <v>2526</v>
      </c>
      <c r="I128" t="s">
        <v>1124</v>
      </c>
      <c r="J128" t="s">
        <v>1124</v>
      </c>
      <c r="K128" t="s">
        <v>1125</v>
      </c>
      <c r="L128" t="s">
        <v>1125</v>
      </c>
      <c r="M128" t="s">
        <v>1126</v>
      </c>
      <c r="P128" t="s">
        <v>80</v>
      </c>
      <c r="R128" s="7"/>
      <c r="W128" s="15">
        <v>4.9848806000000003</v>
      </c>
      <c r="X128" s="15">
        <v>-75.451138900000004</v>
      </c>
      <c r="AB128">
        <v>19</v>
      </c>
      <c r="AF128" t="s">
        <v>50</v>
      </c>
      <c r="AG128" t="s">
        <v>167</v>
      </c>
      <c r="AH128" t="s">
        <v>1127</v>
      </c>
      <c r="AI128" t="s">
        <v>1128</v>
      </c>
      <c r="AJ128">
        <v>135</v>
      </c>
    </row>
    <row r="129" spans="1:36">
      <c r="A129" t="s">
        <v>387</v>
      </c>
      <c r="B129" t="s">
        <v>37</v>
      </c>
      <c r="C129" t="s">
        <v>1129</v>
      </c>
      <c r="D129" t="s">
        <v>984</v>
      </c>
      <c r="E129" t="s">
        <v>1123</v>
      </c>
      <c r="F129">
        <v>2526</v>
      </c>
      <c r="G129">
        <v>2526</v>
      </c>
      <c r="H129">
        <v>2526</v>
      </c>
      <c r="I129" t="s">
        <v>1124</v>
      </c>
      <c r="J129" t="s">
        <v>1124</v>
      </c>
      <c r="K129" t="s">
        <v>1125</v>
      </c>
      <c r="L129" t="s">
        <v>1125</v>
      </c>
      <c r="M129" t="s">
        <v>1126</v>
      </c>
      <c r="P129" t="s">
        <v>80</v>
      </c>
      <c r="R129" s="7"/>
      <c r="W129" s="15">
        <v>4.9848806000000003</v>
      </c>
      <c r="X129" s="15">
        <v>-75.451138900000004</v>
      </c>
      <c r="AB129">
        <v>19</v>
      </c>
      <c r="AF129" t="s">
        <v>50</v>
      </c>
      <c r="AG129" t="s">
        <v>167</v>
      </c>
      <c r="AH129" t="s">
        <v>1127</v>
      </c>
      <c r="AI129" t="s">
        <v>1128</v>
      </c>
      <c r="AJ129">
        <v>136</v>
      </c>
    </row>
    <row r="130" spans="1:36">
      <c r="A130" t="s">
        <v>387</v>
      </c>
      <c r="B130" t="s">
        <v>37</v>
      </c>
      <c r="C130" t="s">
        <v>1130</v>
      </c>
      <c r="D130" t="s">
        <v>1131</v>
      </c>
      <c r="E130" t="s">
        <v>1132</v>
      </c>
      <c r="F130">
        <v>2250</v>
      </c>
      <c r="G130">
        <v>2250</v>
      </c>
      <c r="H130">
        <v>2250</v>
      </c>
      <c r="I130" t="s">
        <v>1133</v>
      </c>
      <c r="J130" t="s">
        <v>1134</v>
      </c>
      <c r="K130" t="s">
        <v>1135</v>
      </c>
      <c r="L130" t="s">
        <v>1136</v>
      </c>
      <c r="M130" t="s">
        <v>1137</v>
      </c>
      <c r="N130" t="s">
        <v>1138</v>
      </c>
      <c r="O130" t="s">
        <v>1139</v>
      </c>
      <c r="P130" t="s">
        <v>1140</v>
      </c>
      <c r="R130" s="7"/>
      <c r="W130" s="15">
        <v>5.35989</v>
      </c>
      <c r="X130" s="15">
        <v>-75.211290000000005</v>
      </c>
      <c r="Y130">
        <v>6108.1729999999998</v>
      </c>
      <c r="AA130" t="s">
        <v>1141</v>
      </c>
      <c r="AB130">
        <v>24</v>
      </c>
      <c r="AF130" t="s">
        <v>50</v>
      </c>
      <c r="AG130" t="s">
        <v>167</v>
      </c>
      <c r="AH130" t="s">
        <v>1142</v>
      </c>
      <c r="AI130" t="s">
        <v>1143</v>
      </c>
      <c r="AJ130">
        <v>137</v>
      </c>
    </row>
    <row r="131" spans="1:36">
      <c r="A131" t="s">
        <v>387</v>
      </c>
      <c r="B131" t="s">
        <v>37</v>
      </c>
      <c r="C131" t="s">
        <v>1144</v>
      </c>
      <c r="D131" t="s">
        <v>984</v>
      </c>
      <c r="E131" t="s">
        <v>1099</v>
      </c>
      <c r="F131">
        <v>1950</v>
      </c>
      <c r="G131">
        <v>1950</v>
      </c>
      <c r="H131">
        <v>1950</v>
      </c>
      <c r="I131" t="s">
        <v>1100</v>
      </c>
      <c r="J131" t="s">
        <v>1100</v>
      </c>
      <c r="K131" t="s">
        <v>1101</v>
      </c>
      <c r="L131" t="s">
        <v>1102</v>
      </c>
      <c r="M131" t="s">
        <v>1103</v>
      </c>
      <c r="P131" t="s">
        <v>80</v>
      </c>
      <c r="R131" s="7"/>
      <c r="W131" s="15">
        <v>4.6806700000000001</v>
      </c>
      <c r="X131" s="15">
        <v>-75.634519999999995</v>
      </c>
      <c r="Y131">
        <v>2304.893</v>
      </c>
      <c r="Z131">
        <v>1856</v>
      </c>
      <c r="AB131" t="s">
        <v>319</v>
      </c>
      <c r="AF131" t="s">
        <v>50</v>
      </c>
      <c r="AG131" t="s">
        <v>182</v>
      </c>
      <c r="AH131" t="s">
        <v>320</v>
      </c>
      <c r="AI131" t="s">
        <v>1104</v>
      </c>
      <c r="AJ131">
        <v>138</v>
      </c>
    </row>
    <row r="132" spans="1:36">
      <c r="A132" t="s">
        <v>387</v>
      </c>
      <c r="B132" t="s">
        <v>37</v>
      </c>
      <c r="C132" t="s">
        <v>1145</v>
      </c>
      <c r="D132" t="s">
        <v>984</v>
      </c>
      <c r="E132" t="s">
        <v>1099</v>
      </c>
      <c r="F132">
        <v>1950</v>
      </c>
      <c r="G132">
        <v>1950</v>
      </c>
      <c r="H132">
        <v>1950</v>
      </c>
      <c r="I132" t="s">
        <v>1100</v>
      </c>
      <c r="J132" t="s">
        <v>1100</v>
      </c>
      <c r="K132" t="s">
        <v>1101</v>
      </c>
      <c r="L132" t="s">
        <v>1102</v>
      </c>
      <c r="M132" t="s">
        <v>1103</v>
      </c>
      <c r="P132" t="s">
        <v>80</v>
      </c>
      <c r="R132" s="7"/>
      <c r="W132" s="15">
        <v>4.6806700000000001</v>
      </c>
      <c r="X132" s="15">
        <v>-75.634519999999995</v>
      </c>
      <c r="Y132">
        <v>2304.893</v>
      </c>
      <c r="Z132">
        <v>1856</v>
      </c>
      <c r="AB132" t="s">
        <v>319</v>
      </c>
      <c r="AF132" t="s">
        <v>50</v>
      </c>
      <c r="AG132" t="s">
        <v>182</v>
      </c>
      <c r="AH132" t="s">
        <v>320</v>
      </c>
      <c r="AI132" t="s">
        <v>1104</v>
      </c>
      <c r="AJ132">
        <v>139</v>
      </c>
    </row>
    <row r="133" spans="1:36">
      <c r="A133" t="s">
        <v>387</v>
      </c>
      <c r="B133" t="s">
        <v>37</v>
      </c>
      <c r="C133" t="s">
        <v>1146</v>
      </c>
      <c r="D133" t="s">
        <v>984</v>
      </c>
      <c r="E133" t="s">
        <v>1099</v>
      </c>
      <c r="F133">
        <v>1950</v>
      </c>
      <c r="G133">
        <v>1950</v>
      </c>
      <c r="H133">
        <v>1950</v>
      </c>
      <c r="I133" t="s">
        <v>1100</v>
      </c>
      <c r="J133" t="s">
        <v>1100</v>
      </c>
      <c r="K133" t="s">
        <v>1101</v>
      </c>
      <c r="L133" t="s">
        <v>1102</v>
      </c>
      <c r="M133" t="s">
        <v>1103</v>
      </c>
      <c r="P133" t="s">
        <v>80</v>
      </c>
      <c r="R133" s="7"/>
      <c r="W133" s="15">
        <v>4.6806700000000001</v>
      </c>
      <c r="X133" s="15">
        <v>-75.634519999999995</v>
      </c>
      <c r="Y133">
        <v>2304.893</v>
      </c>
      <c r="Z133">
        <v>1856</v>
      </c>
      <c r="AB133" t="s">
        <v>319</v>
      </c>
      <c r="AF133" t="s">
        <v>50</v>
      </c>
      <c r="AG133" t="s">
        <v>182</v>
      </c>
      <c r="AH133" t="s">
        <v>320</v>
      </c>
      <c r="AI133" t="s">
        <v>1104</v>
      </c>
      <c r="AJ133">
        <v>140</v>
      </c>
    </row>
    <row r="134" spans="1:36">
      <c r="A134" t="s">
        <v>387</v>
      </c>
      <c r="B134" t="s">
        <v>37</v>
      </c>
      <c r="C134" t="s">
        <v>1147</v>
      </c>
      <c r="D134" t="s">
        <v>1148</v>
      </c>
      <c r="E134" t="s">
        <v>1149</v>
      </c>
      <c r="F134">
        <v>2035</v>
      </c>
      <c r="G134">
        <v>2035</v>
      </c>
      <c r="H134">
        <v>2035</v>
      </c>
      <c r="I134" t="s">
        <v>797</v>
      </c>
      <c r="J134" t="s">
        <v>798</v>
      </c>
      <c r="K134" t="s">
        <v>799</v>
      </c>
      <c r="L134" t="s">
        <v>419</v>
      </c>
      <c r="M134" t="s">
        <v>800</v>
      </c>
      <c r="N134" t="s">
        <v>801</v>
      </c>
      <c r="O134" t="s">
        <v>422</v>
      </c>
      <c r="P134" t="s">
        <v>802</v>
      </c>
      <c r="R134" s="7"/>
      <c r="W134" s="15">
        <v>4.6666667000000004</v>
      </c>
      <c r="X134" s="15">
        <v>-75.5</v>
      </c>
      <c r="AF134" t="s">
        <v>50</v>
      </c>
      <c r="AG134" t="s">
        <v>182</v>
      </c>
      <c r="AH134" t="s">
        <v>803</v>
      </c>
      <c r="AI134" t="s">
        <v>1150</v>
      </c>
      <c r="AJ134">
        <v>141</v>
      </c>
    </row>
    <row r="135" spans="1:36">
      <c r="A135" t="s">
        <v>387</v>
      </c>
      <c r="B135" t="s">
        <v>37</v>
      </c>
      <c r="C135" t="s">
        <v>1151</v>
      </c>
      <c r="D135" t="s">
        <v>984</v>
      </c>
      <c r="E135" t="s">
        <v>1152</v>
      </c>
      <c r="F135">
        <v>1950</v>
      </c>
      <c r="G135">
        <v>1950</v>
      </c>
      <c r="H135">
        <v>1950</v>
      </c>
      <c r="I135" t="s">
        <v>1100</v>
      </c>
      <c r="J135" t="s">
        <v>1100</v>
      </c>
      <c r="K135" t="s">
        <v>1101</v>
      </c>
      <c r="L135" t="s">
        <v>1102</v>
      </c>
      <c r="M135" t="s">
        <v>1103</v>
      </c>
      <c r="P135" t="s">
        <v>80</v>
      </c>
      <c r="R135" s="7"/>
      <c r="W135" s="15">
        <v>4.6857300000000004</v>
      </c>
      <c r="X135" s="15">
        <v>-75.578029999999998</v>
      </c>
      <c r="Y135">
        <v>5540.5119999999997</v>
      </c>
      <c r="Z135">
        <v>2087</v>
      </c>
      <c r="AB135" t="s">
        <v>1153</v>
      </c>
      <c r="AF135" t="s">
        <v>50</v>
      </c>
      <c r="AG135" t="s">
        <v>182</v>
      </c>
      <c r="AH135" t="s">
        <v>803</v>
      </c>
      <c r="AI135" t="s">
        <v>1154</v>
      </c>
      <c r="AJ135">
        <v>142</v>
      </c>
    </row>
    <row r="136" spans="1:36">
      <c r="A136" t="s">
        <v>387</v>
      </c>
      <c r="B136" t="s">
        <v>37</v>
      </c>
      <c r="C136" t="s">
        <v>1155</v>
      </c>
      <c r="D136" t="s">
        <v>1156</v>
      </c>
      <c r="E136" t="s">
        <v>1157</v>
      </c>
      <c r="F136">
        <v>2140</v>
      </c>
      <c r="G136">
        <v>2140</v>
      </c>
      <c r="H136">
        <v>2140</v>
      </c>
      <c r="I136" t="s">
        <v>672</v>
      </c>
      <c r="J136" t="s">
        <v>673</v>
      </c>
      <c r="K136" t="s">
        <v>674</v>
      </c>
      <c r="L136" t="s">
        <v>675</v>
      </c>
      <c r="M136" t="s">
        <v>676</v>
      </c>
      <c r="N136" t="s">
        <v>677</v>
      </c>
      <c r="O136" t="s">
        <v>678</v>
      </c>
      <c r="P136" t="s">
        <v>679</v>
      </c>
      <c r="R136" s="7"/>
      <c r="T136" t="s">
        <v>119</v>
      </c>
      <c r="W136" s="15">
        <v>4.7208600000000001</v>
      </c>
      <c r="X136" s="15">
        <v>-75.566289999999995</v>
      </c>
      <c r="Y136">
        <v>2874.5509999999999</v>
      </c>
      <c r="AB136" t="s">
        <v>680</v>
      </c>
      <c r="AF136" t="s">
        <v>50</v>
      </c>
      <c r="AG136" t="s">
        <v>360</v>
      </c>
      <c r="AH136" t="s">
        <v>361</v>
      </c>
      <c r="AI136" t="s">
        <v>1158</v>
      </c>
      <c r="AJ136">
        <v>143</v>
      </c>
    </row>
    <row r="137" spans="1:36">
      <c r="A137" t="s">
        <v>387</v>
      </c>
      <c r="B137" t="s">
        <v>37</v>
      </c>
      <c r="C137" t="s">
        <v>1159</v>
      </c>
      <c r="D137" t="s">
        <v>984</v>
      </c>
      <c r="E137" t="s">
        <v>1160</v>
      </c>
      <c r="F137">
        <v>1669</v>
      </c>
      <c r="G137">
        <v>1669</v>
      </c>
      <c r="H137">
        <v>1669</v>
      </c>
      <c r="I137" t="s">
        <v>1161</v>
      </c>
      <c r="J137" t="s">
        <v>1161</v>
      </c>
      <c r="K137" t="s">
        <v>1162</v>
      </c>
      <c r="L137" t="s">
        <v>1162</v>
      </c>
      <c r="M137" t="s">
        <v>1163</v>
      </c>
      <c r="N137" t="s">
        <v>1164</v>
      </c>
      <c r="O137" t="s">
        <v>1165</v>
      </c>
      <c r="P137" t="s">
        <v>1166</v>
      </c>
      <c r="R137" s="7"/>
      <c r="W137" s="15">
        <v>5.1273900000000001</v>
      </c>
      <c r="X137" s="15">
        <v>-75.778400000000005</v>
      </c>
      <c r="Y137">
        <v>4307.0860000000002</v>
      </c>
      <c r="Z137">
        <v>1647</v>
      </c>
      <c r="AB137" t="s">
        <v>1167</v>
      </c>
      <c r="AF137" t="s">
        <v>50</v>
      </c>
      <c r="AG137" t="s">
        <v>360</v>
      </c>
      <c r="AH137" t="s">
        <v>1168</v>
      </c>
      <c r="AI137" t="s">
        <v>1169</v>
      </c>
      <c r="AJ137">
        <v>144</v>
      </c>
    </row>
    <row r="138" spans="1:36" s="11" customFormat="1">
      <c r="A138" s="11" t="s">
        <v>1170</v>
      </c>
      <c r="B138" s="11" t="s">
        <v>1171</v>
      </c>
      <c r="C138" s="11" t="s">
        <v>1172</v>
      </c>
      <c r="D138" s="11" t="s">
        <v>1173</v>
      </c>
      <c r="E138" s="11" t="s">
        <v>1174</v>
      </c>
      <c r="F138" s="11" t="s">
        <v>1175</v>
      </c>
      <c r="G138" s="11">
        <v>400</v>
      </c>
      <c r="H138" s="11">
        <v>900</v>
      </c>
      <c r="I138" s="11" t="s">
        <v>1176</v>
      </c>
      <c r="J138" s="11" t="s">
        <v>1177</v>
      </c>
      <c r="K138" s="11" t="s">
        <v>1178</v>
      </c>
      <c r="L138" s="11" t="s">
        <v>1179</v>
      </c>
      <c r="M138" s="11" t="s">
        <v>1180</v>
      </c>
      <c r="N138" s="11" t="s">
        <v>1181</v>
      </c>
      <c r="O138" s="11" t="s">
        <v>1182</v>
      </c>
      <c r="P138" s="11" t="s">
        <v>1183</v>
      </c>
      <c r="R138" s="13">
        <v>27588</v>
      </c>
      <c r="T138" s="11" t="s">
        <v>119</v>
      </c>
      <c r="W138" s="15">
        <v>7.2916699999999999</v>
      </c>
      <c r="X138" s="15">
        <v>-75.066230000000004</v>
      </c>
      <c r="Y138" s="11" t="s">
        <v>1184</v>
      </c>
      <c r="Z138" s="11">
        <v>666</v>
      </c>
      <c r="AA138" s="14" t="s">
        <v>1185</v>
      </c>
      <c r="AF138" s="11" t="s">
        <v>50</v>
      </c>
      <c r="AG138" s="11" t="s">
        <v>402</v>
      </c>
      <c r="AH138" s="11" t="s">
        <v>1186</v>
      </c>
      <c r="AI138" s="11" t="s">
        <v>1187</v>
      </c>
      <c r="AJ138" s="11">
        <v>145</v>
      </c>
    </row>
    <row r="139" spans="1:36">
      <c r="A139" t="s">
        <v>1170</v>
      </c>
      <c r="B139" t="s">
        <v>1171</v>
      </c>
      <c r="C139" t="s">
        <v>1188</v>
      </c>
      <c r="D139" t="s">
        <v>1189</v>
      </c>
      <c r="E139" t="s">
        <v>1190</v>
      </c>
      <c r="F139">
        <v>400</v>
      </c>
      <c r="G139">
        <v>400</v>
      </c>
      <c r="H139">
        <v>400</v>
      </c>
      <c r="I139" t="s">
        <v>1191</v>
      </c>
      <c r="J139" t="s">
        <v>1192</v>
      </c>
      <c r="K139" t="s">
        <v>1193</v>
      </c>
      <c r="L139" t="s">
        <v>1194</v>
      </c>
      <c r="M139" t="s">
        <v>1195</v>
      </c>
      <c r="N139" t="s">
        <v>1196</v>
      </c>
      <c r="O139" t="s">
        <v>1197</v>
      </c>
      <c r="P139" t="s">
        <v>1198</v>
      </c>
      <c r="R139" s="7">
        <v>30388</v>
      </c>
      <c r="T139" t="s">
        <v>119</v>
      </c>
      <c r="W139" s="15">
        <v>5.9879899999999999</v>
      </c>
      <c r="X139" s="15">
        <v>-74.929249999999996</v>
      </c>
      <c r="Y139">
        <v>2829.34</v>
      </c>
      <c r="Z139">
        <v>533</v>
      </c>
      <c r="AB139" t="s">
        <v>1199</v>
      </c>
      <c r="AF139" t="s">
        <v>50</v>
      </c>
      <c r="AG139" t="s">
        <v>402</v>
      </c>
      <c r="AH139" t="s">
        <v>1200</v>
      </c>
      <c r="AI139" t="s">
        <v>1201</v>
      </c>
      <c r="AJ139">
        <v>146</v>
      </c>
    </row>
    <row r="140" spans="1:36">
      <c r="A140" t="s">
        <v>1170</v>
      </c>
      <c r="B140" t="s">
        <v>1171</v>
      </c>
      <c r="C140" t="s">
        <v>1202</v>
      </c>
      <c r="D140" t="s">
        <v>1203</v>
      </c>
      <c r="E140" t="s">
        <v>1204</v>
      </c>
      <c r="F140">
        <v>800</v>
      </c>
      <c r="G140">
        <v>800</v>
      </c>
      <c r="H140">
        <v>800</v>
      </c>
      <c r="I140" t="s">
        <v>1205</v>
      </c>
      <c r="J140" t="s">
        <v>1206</v>
      </c>
      <c r="K140" t="s">
        <v>1207</v>
      </c>
      <c r="L140" t="s">
        <v>1208</v>
      </c>
      <c r="M140" t="s">
        <v>1209</v>
      </c>
      <c r="N140" t="s">
        <v>1210</v>
      </c>
      <c r="O140" t="s">
        <v>1211</v>
      </c>
      <c r="P140" t="s">
        <v>1212</v>
      </c>
      <c r="R140" s="7">
        <v>30651</v>
      </c>
      <c r="T140" t="s">
        <v>119</v>
      </c>
      <c r="W140" s="15">
        <v>6.05</v>
      </c>
      <c r="X140" s="15">
        <v>-75</v>
      </c>
      <c r="AF140" t="s">
        <v>50</v>
      </c>
      <c r="AG140" t="s">
        <v>402</v>
      </c>
      <c r="AH140" t="s">
        <v>1200</v>
      </c>
      <c r="AI140" t="s">
        <v>1213</v>
      </c>
      <c r="AJ140">
        <v>147</v>
      </c>
    </row>
    <row r="141" spans="1:36">
      <c r="A141" t="s">
        <v>1170</v>
      </c>
      <c r="B141" t="s">
        <v>1171</v>
      </c>
      <c r="C141" t="s">
        <v>1214</v>
      </c>
      <c r="D141" t="s">
        <v>1215</v>
      </c>
      <c r="E141" t="s">
        <v>1204</v>
      </c>
      <c r="F141">
        <v>800</v>
      </c>
      <c r="G141">
        <v>800</v>
      </c>
      <c r="H141">
        <v>800</v>
      </c>
      <c r="I141" t="s">
        <v>1205</v>
      </c>
      <c r="J141" t="s">
        <v>1206</v>
      </c>
      <c r="K141" t="s">
        <v>1207</v>
      </c>
      <c r="L141" t="s">
        <v>1208</v>
      </c>
      <c r="M141" t="s">
        <v>1209</v>
      </c>
      <c r="N141" t="s">
        <v>1210</v>
      </c>
      <c r="O141" t="s">
        <v>1216</v>
      </c>
      <c r="P141" t="s">
        <v>1217</v>
      </c>
      <c r="R141" s="7">
        <v>30676</v>
      </c>
      <c r="T141" t="s">
        <v>119</v>
      </c>
      <c r="W141" s="15">
        <v>6.05</v>
      </c>
      <c r="X141" s="15">
        <v>-75</v>
      </c>
      <c r="AF141" t="s">
        <v>50</v>
      </c>
      <c r="AG141" t="s">
        <v>402</v>
      </c>
      <c r="AH141" t="s">
        <v>1200</v>
      </c>
      <c r="AI141" t="s">
        <v>1213</v>
      </c>
      <c r="AJ141">
        <v>148</v>
      </c>
    </row>
    <row r="142" spans="1:36">
      <c r="A142" t="s">
        <v>1170</v>
      </c>
      <c r="B142" t="s">
        <v>1171</v>
      </c>
      <c r="C142" t="s">
        <v>1218</v>
      </c>
      <c r="D142" t="s">
        <v>1219</v>
      </c>
      <c r="E142" t="s">
        <v>1220</v>
      </c>
      <c r="F142">
        <v>740</v>
      </c>
      <c r="G142">
        <v>740</v>
      </c>
      <c r="H142">
        <v>740</v>
      </c>
      <c r="I142" t="s">
        <v>1221</v>
      </c>
      <c r="J142" t="s">
        <v>1222</v>
      </c>
      <c r="K142" t="s">
        <v>1223</v>
      </c>
      <c r="L142" t="s">
        <v>1224</v>
      </c>
      <c r="M142" t="s">
        <v>1225</v>
      </c>
      <c r="N142" t="s">
        <v>1226</v>
      </c>
      <c r="O142" t="s">
        <v>1227</v>
      </c>
      <c r="P142" t="s">
        <v>1228</v>
      </c>
      <c r="R142" s="7">
        <v>37938</v>
      </c>
      <c r="T142" t="s">
        <v>119</v>
      </c>
      <c r="W142" s="15">
        <v>7.2662778000000001</v>
      </c>
      <c r="X142" s="15">
        <v>-75.074166700000006</v>
      </c>
      <c r="AF142" t="s">
        <v>50</v>
      </c>
      <c r="AG142" t="s">
        <v>402</v>
      </c>
      <c r="AH142" t="s">
        <v>1186</v>
      </c>
      <c r="AI142" t="s">
        <v>1229</v>
      </c>
      <c r="AJ142">
        <v>149</v>
      </c>
    </row>
    <row r="143" spans="1:36">
      <c r="A143" t="s">
        <v>1170</v>
      </c>
      <c r="B143" t="s">
        <v>1171</v>
      </c>
      <c r="C143" t="s">
        <v>1230</v>
      </c>
      <c r="D143" t="s">
        <v>1231</v>
      </c>
      <c r="E143" t="s">
        <v>1232</v>
      </c>
      <c r="F143">
        <v>500</v>
      </c>
      <c r="G143">
        <v>500</v>
      </c>
      <c r="H143">
        <v>500</v>
      </c>
      <c r="I143" t="s">
        <v>1233</v>
      </c>
      <c r="J143" t="s">
        <v>1234</v>
      </c>
      <c r="K143" t="s">
        <v>1235</v>
      </c>
      <c r="L143" t="s">
        <v>1236</v>
      </c>
      <c r="M143" t="s">
        <v>1237</v>
      </c>
      <c r="N143" t="s">
        <v>1238</v>
      </c>
      <c r="O143" t="s">
        <v>1239</v>
      </c>
      <c r="P143" t="s">
        <v>1240</v>
      </c>
      <c r="R143" s="7">
        <v>38004</v>
      </c>
      <c r="T143" t="s">
        <v>81</v>
      </c>
      <c r="W143" s="15">
        <v>7.2934722000000001</v>
      </c>
      <c r="X143" s="15">
        <v>-75.067472199999997</v>
      </c>
      <c r="AF143" t="s">
        <v>50</v>
      </c>
      <c r="AG143" t="s">
        <v>402</v>
      </c>
      <c r="AH143" t="s">
        <v>1186</v>
      </c>
      <c r="AI143" t="s">
        <v>1241</v>
      </c>
      <c r="AJ143">
        <v>150</v>
      </c>
    </row>
    <row r="144" spans="1:36">
      <c r="A144" t="s">
        <v>1170</v>
      </c>
      <c r="B144" t="s">
        <v>1171</v>
      </c>
      <c r="C144" t="s">
        <v>1230</v>
      </c>
      <c r="D144" t="s">
        <v>1242</v>
      </c>
      <c r="E144" t="s">
        <v>1232</v>
      </c>
      <c r="F144">
        <v>500</v>
      </c>
      <c r="G144">
        <v>500</v>
      </c>
      <c r="H144">
        <v>500</v>
      </c>
      <c r="I144" t="s">
        <v>1233</v>
      </c>
      <c r="J144" t="s">
        <v>1234</v>
      </c>
      <c r="K144" t="s">
        <v>1235</v>
      </c>
      <c r="L144" t="s">
        <v>1236</v>
      </c>
      <c r="M144" t="s">
        <v>1237</v>
      </c>
      <c r="N144" t="s">
        <v>1238</v>
      </c>
      <c r="O144" t="s">
        <v>1239</v>
      </c>
      <c r="P144" t="s">
        <v>1240</v>
      </c>
      <c r="R144" s="7">
        <v>38004</v>
      </c>
      <c r="T144" t="s">
        <v>81</v>
      </c>
      <c r="W144" s="15">
        <v>7.2934722000000001</v>
      </c>
      <c r="X144" s="15">
        <v>-75.067472199999997</v>
      </c>
      <c r="AF144" t="s">
        <v>50</v>
      </c>
      <c r="AG144" t="s">
        <v>402</v>
      </c>
      <c r="AH144" t="s">
        <v>1186</v>
      </c>
      <c r="AI144" t="s">
        <v>1241</v>
      </c>
      <c r="AJ144">
        <v>151</v>
      </c>
    </row>
    <row r="145" spans="1:36">
      <c r="A145" t="s">
        <v>1170</v>
      </c>
      <c r="B145" t="s">
        <v>1171</v>
      </c>
      <c r="C145" t="s">
        <v>1243</v>
      </c>
      <c r="D145" t="s">
        <v>1244</v>
      </c>
      <c r="E145" t="s">
        <v>1245</v>
      </c>
      <c r="F145">
        <v>700</v>
      </c>
      <c r="G145">
        <v>700</v>
      </c>
      <c r="H145">
        <v>700</v>
      </c>
      <c r="I145" t="s">
        <v>1246</v>
      </c>
      <c r="J145" t="s">
        <v>1247</v>
      </c>
      <c r="K145" t="s">
        <v>1248</v>
      </c>
      <c r="L145" t="s">
        <v>1249</v>
      </c>
      <c r="M145" t="s">
        <v>1250</v>
      </c>
      <c r="N145" t="s">
        <v>1251</v>
      </c>
      <c r="O145" t="s">
        <v>1252</v>
      </c>
      <c r="P145" t="s">
        <v>1253</v>
      </c>
      <c r="R145" s="7">
        <v>38006</v>
      </c>
      <c r="T145" t="s">
        <v>119</v>
      </c>
      <c r="W145" s="15">
        <v>7.2545999999999999</v>
      </c>
      <c r="X145" s="15">
        <v>-75.048810000000003</v>
      </c>
      <c r="AF145" t="s">
        <v>50</v>
      </c>
      <c r="AG145" t="s">
        <v>402</v>
      </c>
      <c r="AH145" t="s">
        <v>1186</v>
      </c>
      <c r="AI145" t="s">
        <v>1254</v>
      </c>
      <c r="AJ145">
        <v>152</v>
      </c>
    </row>
    <row r="146" spans="1:36">
      <c r="A146" t="s">
        <v>1170</v>
      </c>
      <c r="B146" t="s">
        <v>1171</v>
      </c>
      <c r="C146" t="s">
        <v>1243</v>
      </c>
      <c r="D146" t="s">
        <v>1255</v>
      </c>
      <c r="E146" t="s">
        <v>1245</v>
      </c>
      <c r="F146">
        <v>700</v>
      </c>
      <c r="G146">
        <v>700</v>
      </c>
      <c r="H146">
        <v>700</v>
      </c>
      <c r="I146" t="s">
        <v>1246</v>
      </c>
      <c r="J146" t="s">
        <v>1247</v>
      </c>
      <c r="K146" t="s">
        <v>1248</v>
      </c>
      <c r="L146" t="s">
        <v>1249</v>
      </c>
      <c r="M146" t="s">
        <v>1250</v>
      </c>
      <c r="N146" t="s">
        <v>1251</v>
      </c>
      <c r="O146" t="s">
        <v>1252</v>
      </c>
      <c r="P146" t="s">
        <v>1253</v>
      </c>
      <c r="R146" s="7">
        <v>38006</v>
      </c>
      <c r="T146" t="s">
        <v>119</v>
      </c>
      <c r="W146" s="15">
        <v>7.2545999999999999</v>
      </c>
      <c r="X146" s="15">
        <v>-75.048810000000003</v>
      </c>
      <c r="Y146" t="s">
        <v>1256</v>
      </c>
      <c r="Z146">
        <v>683</v>
      </c>
      <c r="AF146" t="s">
        <v>50</v>
      </c>
      <c r="AG146" t="s">
        <v>402</v>
      </c>
      <c r="AH146" t="s">
        <v>1186</v>
      </c>
      <c r="AI146" t="s">
        <v>1254</v>
      </c>
      <c r="AJ146">
        <v>153</v>
      </c>
    </row>
    <row r="147" spans="1:36">
      <c r="A147" t="s">
        <v>1170</v>
      </c>
      <c r="B147" t="s">
        <v>1171</v>
      </c>
      <c r="C147" t="s">
        <v>1257</v>
      </c>
      <c r="D147" t="s">
        <v>1258</v>
      </c>
      <c r="E147" t="s">
        <v>1259</v>
      </c>
      <c r="F147">
        <v>610</v>
      </c>
      <c r="G147">
        <v>610</v>
      </c>
      <c r="H147">
        <v>610</v>
      </c>
      <c r="I147" t="s">
        <v>1260</v>
      </c>
      <c r="J147" t="s">
        <v>1261</v>
      </c>
      <c r="K147" t="s">
        <v>1262</v>
      </c>
      <c r="L147" t="s">
        <v>1263</v>
      </c>
      <c r="M147" t="s">
        <v>1264</v>
      </c>
      <c r="N147" t="s">
        <v>1265</v>
      </c>
      <c r="O147" t="s">
        <v>1266</v>
      </c>
      <c r="P147" t="s">
        <v>1267</v>
      </c>
      <c r="R147" s="7">
        <v>38008</v>
      </c>
      <c r="T147" t="s">
        <v>119</v>
      </c>
      <c r="W147" s="15">
        <v>7.2833889000000003</v>
      </c>
      <c r="X147" s="15">
        <v>-75.05</v>
      </c>
      <c r="AF147" t="s">
        <v>50</v>
      </c>
      <c r="AG147" t="s">
        <v>402</v>
      </c>
      <c r="AH147" t="s">
        <v>1186</v>
      </c>
      <c r="AI147" t="s">
        <v>1268</v>
      </c>
      <c r="AJ147">
        <v>154</v>
      </c>
    </row>
    <row r="148" spans="1:36">
      <c r="A148" t="s">
        <v>1170</v>
      </c>
      <c r="B148" t="s">
        <v>1171</v>
      </c>
      <c r="C148" t="s">
        <v>1269</v>
      </c>
      <c r="D148" t="s">
        <v>1270</v>
      </c>
      <c r="E148" t="s">
        <v>1271</v>
      </c>
      <c r="F148">
        <v>800</v>
      </c>
      <c r="G148">
        <v>800</v>
      </c>
      <c r="H148">
        <v>800</v>
      </c>
      <c r="I148" t="s">
        <v>1272</v>
      </c>
      <c r="J148" t="s">
        <v>1273</v>
      </c>
      <c r="K148" t="s">
        <v>1274</v>
      </c>
      <c r="L148" t="s">
        <v>1275</v>
      </c>
      <c r="M148" t="s">
        <v>1276</v>
      </c>
      <c r="N148" t="s">
        <v>1277</v>
      </c>
      <c r="O148" t="s">
        <v>1278</v>
      </c>
      <c r="P148" t="s">
        <v>1279</v>
      </c>
      <c r="R148" s="7">
        <v>39193</v>
      </c>
      <c r="T148" t="s">
        <v>318</v>
      </c>
      <c r="W148" s="15">
        <v>5.9000700000000004</v>
      </c>
      <c r="X148" s="15">
        <v>-74.85718</v>
      </c>
      <c r="Y148">
        <v>893.81299999999999</v>
      </c>
      <c r="Z148">
        <v>334</v>
      </c>
      <c r="AA148" t="s">
        <v>1280</v>
      </c>
      <c r="AB148" t="s">
        <v>1281</v>
      </c>
      <c r="AF148" t="s">
        <v>50</v>
      </c>
      <c r="AG148" t="s">
        <v>402</v>
      </c>
      <c r="AH148" t="s">
        <v>1200</v>
      </c>
      <c r="AI148" t="s">
        <v>1282</v>
      </c>
      <c r="AJ148">
        <v>155</v>
      </c>
    </row>
    <row r="149" spans="1:36">
      <c r="A149" t="s">
        <v>1283</v>
      </c>
      <c r="B149" t="s">
        <v>1284</v>
      </c>
      <c r="C149" t="s">
        <v>1285</v>
      </c>
      <c r="D149" t="s">
        <v>1286</v>
      </c>
      <c r="E149" t="s">
        <v>1287</v>
      </c>
      <c r="F149">
        <v>200</v>
      </c>
      <c r="G149">
        <v>200</v>
      </c>
      <c r="H149">
        <v>200</v>
      </c>
      <c r="P149" t="s">
        <v>80</v>
      </c>
      <c r="R149" s="7">
        <v>16502</v>
      </c>
      <c r="T149" t="s">
        <v>119</v>
      </c>
      <c r="W149" s="15">
        <v>0.72565999999999997</v>
      </c>
      <c r="X149" s="15">
        <v>-75.263819999999996</v>
      </c>
      <c r="Y149">
        <v>4712.6779999999999</v>
      </c>
      <c r="Z149">
        <v>200</v>
      </c>
      <c r="AB149" t="s">
        <v>1288</v>
      </c>
      <c r="AF149" t="s">
        <v>50</v>
      </c>
      <c r="AG149" t="s">
        <v>1289</v>
      </c>
      <c r="AH149" t="s">
        <v>1290</v>
      </c>
      <c r="AI149" t="s">
        <v>1291</v>
      </c>
      <c r="AJ149">
        <v>156</v>
      </c>
    </row>
    <row r="150" spans="1:36">
      <c r="A150" t="s">
        <v>1283</v>
      </c>
      <c r="B150" t="s">
        <v>1284</v>
      </c>
      <c r="C150" t="s">
        <v>1292</v>
      </c>
      <c r="D150" t="s">
        <v>1293</v>
      </c>
      <c r="E150" t="s">
        <v>1294</v>
      </c>
      <c r="F150">
        <v>1300</v>
      </c>
      <c r="G150">
        <v>1300</v>
      </c>
      <c r="H150">
        <v>1300</v>
      </c>
      <c r="P150" t="s">
        <v>80</v>
      </c>
      <c r="R150" s="7">
        <v>17543</v>
      </c>
      <c r="W150" s="15">
        <v>11.10533</v>
      </c>
      <c r="X150" s="15">
        <v>-74.101259999999996</v>
      </c>
      <c r="Y150">
        <v>1405.8409999999999</v>
      </c>
      <c r="Z150">
        <v>1291</v>
      </c>
      <c r="AB150" t="s">
        <v>1295</v>
      </c>
      <c r="AF150" t="s">
        <v>50</v>
      </c>
      <c r="AG150" t="s">
        <v>1296</v>
      </c>
      <c r="AH150" t="s">
        <v>1297</v>
      </c>
      <c r="AI150" t="s">
        <v>1298</v>
      </c>
      <c r="AJ150">
        <v>157</v>
      </c>
    </row>
    <row r="151" spans="1:36">
      <c r="A151" t="s">
        <v>1283</v>
      </c>
      <c r="B151" t="s">
        <v>1284</v>
      </c>
      <c r="C151" t="s">
        <v>1292</v>
      </c>
      <c r="D151" t="s">
        <v>1299</v>
      </c>
      <c r="E151" t="s">
        <v>1294</v>
      </c>
      <c r="F151">
        <v>1300</v>
      </c>
      <c r="G151">
        <v>1300</v>
      </c>
      <c r="H151">
        <v>1300</v>
      </c>
      <c r="P151" t="s">
        <v>80</v>
      </c>
      <c r="R151" s="7">
        <v>17543</v>
      </c>
      <c r="W151" s="15">
        <v>11.10533</v>
      </c>
      <c r="X151" s="15">
        <v>-74.101259999999996</v>
      </c>
      <c r="Y151">
        <v>1405.8409999999999</v>
      </c>
      <c r="Z151">
        <v>1291</v>
      </c>
      <c r="AB151" t="s">
        <v>1295</v>
      </c>
      <c r="AF151" t="s">
        <v>50</v>
      </c>
      <c r="AG151" t="s">
        <v>1296</v>
      </c>
      <c r="AH151" t="s">
        <v>1297</v>
      </c>
      <c r="AI151" t="s">
        <v>1298</v>
      </c>
      <c r="AJ151">
        <v>158</v>
      </c>
    </row>
    <row r="152" spans="1:36">
      <c r="A152" t="s">
        <v>1283</v>
      </c>
      <c r="B152" t="s">
        <v>1284</v>
      </c>
      <c r="C152" t="s">
        <v>1300</v>
      </c>
      <c r="D152" t="s">
        <v>1301</v>
      </c>
      <c r="E152" t="s">
        <v>1302</v>
      </c>
      <c r="F152" t="s">
        <v>1303</v>
      </c>
      <c r="G152">
        <v>700</v>
      </c>
      <c r="H152">
        <v>900</v>
      </c>
      <c r="P152" t="s">
        <v>80</v>
      </c>
      <c r="R152" s="7">
        <v>21635</v>
      </c>
      <c r="T152" t="s">
        <v>119</v>
      </c>
      <c r="W152" s="15">
        <v>7.0110700000000001</v>
      </c>
      <c r="X152" s="15">
        <v>-72.128829999999994</v>
      </c>
      <c r="Y152">
        <v>2060.288</v>
      </c>
      <c r="Z152">
        <v>401</v>
      </c>
      <c r="AA152" t="s">
        <v>1304</v>
      </c>
      <c r="AB152" t="s">
        <v>1305</v>
      </c>
      <c r="AF152" t="s">
        <v>50</v>
      </c>
      <c r="AG152" t="s">
        <v>1306</v>
      </c>
      <c r="AH152" t="s">
        <v>1307</v>
      </c>
      <c r="AI152" t="s">
        <v>1308</v>
      </c>
      <c r="AJ152">
        <v>159</v>
      </c>
    </row>
    <row r="153" spans="1:36">
      <c r="A153" t="s">
        <v>1283</v>
      </c>
      <c r="B153" t="s">
        <v>1284</v>
      </c>
      <c r="C153" t="s">
        <v>1309</v>
      </c>
      <c r="D153" t="s">
        <v>1310</v>
      </c>
      <c r="E153" t="s">
        <v>1311</v>
      </c>
      <c r="P153" t="s">
        <v>80</v>
      </c>
      <c r="R153" s="7">
        <v>22412</v>
      </c>
      <c r="T153" t="s">
        <v>119</v>
      </c>
      <c r="W153" s="15">
        <v>4.9181299999999997</v>
      </c>
      <c r="X153" s="15">
        <v>-74.417839999999998</v>
      </c>
      <c r="Y153">
        <v>835.35299999999995</v>
      </c>
      <c r="Z153">
        <v>1647</v>
      </c>
      <c r="AB153" t="s">
        <v>1312</v>
      </c>
      <c r="AF153" t="s">
        <v>50</v>
      </c>
      <c r="AG153" t="s">
        <v>98</v>
      </c>
      <c r="AH153" t="s">
        <v>1313</v>
      </c>
      <c r="AI153" t="s">
        <v>1314</v>
      </c>
      <c r="AJ153">
        <v>160</v>
      </c>
    </row>
    <row r="154" spans="1:36">
      <c r="A154" t="s">
        <v>1283</v>
      </c>
      <c r="B154" t="s">
        <v>1284</v>
      </c>
      <c r="C154" t="s">
        <v>1315</v>
      </c>
      <c r="D154" t="s">
        <v>1316</v>
      </c>
      <c r="E154" t="s">
        <v>1317</v>
      </c>
      <c r="F154">
        <v>5</v>
      </c>
      <c r="G154">
        <v>5</v>
      </c>
      <c r="H154">
        <v>5</v>
      </c>
      <c r="I154" t="s">
        <v>1318</v>
      </c>
      <c r="J154" t="s">
        <v>1319</v>
      </c>
      <c r="K154" t="s">
        <v>1320</v>
      </c>
      <c r="L154" t="s">
        <v>1321</v>
      </c>
      <c r="M154" t="s">
        <v>1322</v>
      </c>
      <c r="P154" t="s">
        <v>80</v>
      </c>
      <c r="R154" s="7">
        <v>28946</v>
      </c>
      <c r="W154" s="15">
        <v>4.1569000000000003</v>
      </c>
      <c r="X154" s="15">
        <v>-77.137039999999999</v>
      </c>
      <c r="Y154">
        <v>3254.4549999999999</v>
      </c>
      <c r="Z154">
        <v>13</v>
      </c>
      <c r="AB154" t="s">
        <v>1323</v>
      </c>
      <c r="AF154" t="s">
        <v>50</v>
      </c>
      <c r="AG154" t="s">
        <v>374</v>
      </c>
      <c r="AH154" t="s">
        <v>1324</v>
      </c>
      <c r="AI154" t="s">
        <v>1325</v>
      </c>
      <c r="AJ154">
        <v>161</v>
      </c>
    </row>
    <row r="155" spans="1:36">
      <c r="A155" t="s">
        <v>1283</v>
      </c>
      <c r="B155" t="s">
        <v>1284</v>
      </c>
      <c r="C155" t="s">
        <v>1326</v>
      </c>
      <c r="D155" t="s">
        <v>1327</v>
      </c>
      <c r="E155" t="s">
        <v>1328</v>
      </c>
      <c r="F155">
        <v>1300</v>
      </c>
      <c r="G155">
        <v>1300</v>
      </c>
      <c r="H155">
        <v>1300</v>
      </c>
      <c r="P155" t="s">
        <v>80</v>
      </c>
      <c r="R155" s="7">
        <v>30411</v>
      </c>
      <c r="T155" t="s">
        <v>111</v>
      </c>
      <c r="W155" s="15">
        <v>1.7346699999999999</v>
      </c>
      <c r="X155" s="15">
        <v>-76.000010000000003</v>
      </c>
      <c r="Y155">
        <v>3798.6889999999999</v>
      </c>
      <c r="Z155">
        <v>1497</v>
      </c>
      <c r="AB155" t="s">
        <v>1329</v>
      </c>
      <c r="AF155" t="s">
        <v>50</v>
      </c>
      <c r="AG155" t="s">
        <v>51</v>
      </c>
      <c r="AH155" t="s">
        <v>1330</v>
      </c>
      <c r="AI155" t="s">
        <v>1331</v>
      </c>
      <c r="AJ155">
        <v>163</v>
      </c>
    </row>
    <row r="156" spans="1:36">
      <c r="A156" t="s">
        <v>1283</v>
      </c>
      <c r="B156" t="s">
        <v>1284</v>
      </c>
      <c r="C156" t="s">
        <v>1332</v>
      </c>
      <c r="D156" t="s">
        <v>1333</v>
      </c>
      <c r="E156" t="s">
        <v>1334</v>
      </c>
      <c r="P156" t="s">
        <v>80</v>
      </c>
      <c r="R156" s="7">
        <v>31581</v>
      </c>
      <c r="W156" s="15">
        <v>4.5790899999999999</v>
      </c>
      <c r="X156" s="15">
        <v>-73.360740000000007</v>
      </c>
      <c r="Y156">
        <v>7578.2569999999996</v>
      </c>
      <c r="Z156">
        <v>761</v>
      </c>
      <c r="AB156" t="s">
        <v>1335</v>
      </c>
      <c r="AF156" t="s">
        <v>50</v>
      </c>
      <c r="AG156" t="s">
        <v>1336</v>
      </c>
      <c r="AH156" t="s">
        <v>1337</v>
      </c>
      <c r="AI156" t="s">
        <v>1338</v>
      </c>
      <c r="AJ156">
        <v>164</v>
      </c>
    </row>
    <row r="157" spans="1:36">
      <c r="A157" t="s">
        <v>1283</v>
      </c>
      <c r="B157" t="s">
        <v>1284</v>
      </c>
      <c r="C157" t="s">
        <v>1339</v>
      </c>
      <c r="D157" t="s">
        <v>1340</v>
      </c>
      <c r="E157" t="s">
        <v>1341</v>
      </c>
      <c r="F157" t="s">
        <v>1342</v>
      </c>
      <c r="G157">
        <v>410</v>
      </c>
      <c r="H157">
        <v>560</v>
      </c>
      <c r="P157" t="s">
        <v>80</v>
      </c>
      <c r="R157" s="7">
        <v>32200</v>
      </c>
      <c r="T157" t="s">
        <v>119</v>
      </c>
      <c r="W157" s="15">
        <v>3.5868799999999998</v>
      </c>
      <c r="X157" s="15">
        <v>-76.782539999999997</v>
      </c>
      <c r="Y157">
        <v>4062.6880000000001</v>
      </c>
      <c r="Z157">
        <v>816</v>
      </c>
      <c r="AB157" t="s">
        <v>1343</v>
      </c>
      <c r="AF157" t="s">
        <v>50</v>
      </c>
      <c r="AG157" t="s">
        <v>83</v>
      </c>
      <c r="AH157" t="s">
        <v>1344</v>
      </c>
      <c r="AI157" t="s">
        <v>1345</v>
      </c>
      <c r="AJ157">
        <v>165</v>
      </c>
    </row>
    <row r="158" spans="1:36">
      <c r="A158" t="s">
        <v>1283</v>
      </c>
      <c r="B158" t="s">
        <v>1284</v>
      </c>
      <c r="C158" t="s">
        <v>1346</v>
      </c>
      <c r="D158" t="s">
        <v>1347</v>
      </c>
      <c r="E158" t="s">
        <v>1348</v>
      </c>
      <c r="F158" t="s">
        <v>1349</v>
      </c>
      <c r="G158">
        <v>1050</v>
      </c>
      <c r="H158">
        <v>1350</v>
      </c>
      <c r="I158" t="s">
        <v>1350</v>
      </c>
      <c r="J158" t="s">
        <v>1351</v>
      </c>
      <c r="K158" t="s">
        <v>1352</v>
      </c>
      <c r="L158" t="s">
        <v>1353</v>
      </c>
      <c r="M158" t="s">
        <v>1354</v>
      </c>
      <c r="P158" t="s">
        <v>80</v>
      </c>
      <c r="R158" s="7">
        <v>32452</v>
      </c>
      <c r="T158" t="s">
        <v>119</v>
      </c>
      <c r="W158" s="15">
        <v>6.7441800000000001</v>
      </c>
      <c r="X158" s="15">
        <v>-76.368160000000003</v>
      </c>
      <c r="Y158">
        <v>3673.5120000000002</v>
      </c>
      <c r="Z158">
        <v>784</v>
      </c>
      <c r="AB158" t="s">
        <v>1355</v>
      </c>
      <c r="AF158" t="s">
        <v>50</v>
      </c>
      <c r="AG158" t="s">
        <v>402</v>
      </c>
      <c r="AH158" t="s">
        <v>1356</v>
      </c>
      <c r="AI158" t="s">
        <v>1357</v>
      </c>
      <c r="AJ158">
        <v>166</v>
      </c>
    </row>
    <row r="159" spans="1:36">
      <c r="A159" t="s">
        <v>1283</v>
      </c>
      <c r="B159" t="s">
        <v>1284</v>
      </c>
      <c r="C159" t="s">
        <v>1358</v>
      </c>
      <c r="D159" t="s">
        <v>1359</v>
      </c>
      <c r="E159" t="s">
        <v>1360</v>
      </c>
      <c r="F159">
        <v>800</v>
      </c>
      <c r="G159">
        <v>800</v>
      </c>
      <c r="H159">
        <v>800</v>
      </c>
      <c r="P159" t="s">
        <v>80</v>
      </c>
      <c r="R159" s="7">
        <v>38846</v>
      </c>
      <c r="T159" t="s">
        <v>119</v>
      </c>
      <c r="W159" s="15">
        <v>1.20902</v>
      </c>
      <c r="X159" s="15">
        <v>-76.527479999999997</v>
      </c>
      <c r="Y159">
        <v>8043.1989999999996</v>
      </c>
      <c r="Z159">
        <v>812</v>
      </c>
      <c r="AB159" t="s">
        <v>1361</v>
      </c>
      <c r="AF159" t="s">
        <v>50</v>
      </c>
      <c r="AG159" t="s">
        <v>283</v>
      </c>
      <c r="AH159" t="s">
        <v>1362</v>
      </c>
      <c r="AI159" t="s">
        <v>1363</v>
      </c>
      <c r="AJ159">
        <v>167</v>
      </c>
    </row>
    <row r="160" spans="1:36">
      <c r="A160" t="s">
        <v>1283</v>
      </c>
      <c r="B160" t="s">
        <v>1284</v>
      </c>
      <c r="C160" t="s">
        <v>1364</v>
      </c>
      <c r="D160" t="s">
        <v>1060</v>
      </c>
      <c r="E160" t="s">
        <v>1365</v>
      </c>
      <c r="F160">
        <v>641</v>
      </c>
      <c r="G160">
        <v>641</v>
      </c>
      <c r="H160">
        <v>641</v>
      </c>
      <c r="I160" t="s">
        <v>1366</v>
      </c>
      <c r="J160" t="s">
        <v>1367</v>
      </c>
      <c r="K160" t="s">
        <v>1368</v>
      </c>
      <c r="L160" t="s">
        <v>1369</v>
      </c>
      <c r="M160" t="s">
        <v>1370</v>
      </c>
      <c r="N160" t="s">
        <v>1371</v>
      </c>
      <c r="O160" t="s">
        <v>1372</v>
      </c>
      <c r="P160" t="s">
        <v>1373</v>
      </c>
      <c r="R160" s="7">
        <v>39954</v>
      </c>
      <c r="T160" t="s">
        <v>318</v>
      </c>
      <c r="W160" s="15">
        <v>4.8692722000000002</v>
      </c>
      <c r="X160" s="15">
        <v>-76.250647200000003</v>
      </c>
      <c r="AF160" t="s">
        <v>50</v>
      </c>
      <c r="AG160" t="s">
        <v>1374</v>
      </c>
      <c r="AH160" t="s">
        <v>375</v>
      </c>
      <c r="AI160" t="s">
        <v>1375</v>
      </c>
      <c r="AJ160">
        <v>168</v>
      </c>
    </row>
    <row r="161" spans="1:36">
      <c r="A161" t="s">
        <v>1283</v>
      </c>
      <c r="B161" t="s">
        <v>1284</v>
      </c>
      <c r="C161" t="s">
        <v>1376</v>
      </c>
      <c r="D161" t="s">
        <v>1377</v>
      </c>
      <c r="E161" t="s">
        <v>1378</v>
      </c>
      <c r="F161">
        <v>800</v>
      </c>
      <c r="G161">
        <v>800</v>
      </c>
      <c r="H161">
        <v>800</v>
      </c>
      <c r="P161" t="s">
        <v>80</v>
      </c>
      <c r="R161" s="7"/>
      <c r="T161" t="s">
        <v>119</v>
      </c>
      <c r="W161" s="15">
        <v>6.1316600000000001</v>
      </c>
      <c r="X161" s="15">
        <v>-77.303820000000002</v>
      </c>
      <c r="Y161">
        <v>3006.6210000000001</v>
      </c>
      <c r="Z161">
        <v>177</v>
      </c>
      <c r="AB161" t="s">
        <v>1379</v>
      </c>
      <c r="AF161" t="s">
        <v>50</v>
      </c>
      <c r="AG161" t="s">
        <v>374</v>
      </c>
      <c r="AH161" t="s">
        <v>1380</v>
      </c>
      <c r="AI161" t="s">
        <v>1381</v>
      </c>
      <c r="AJ161">
        <v>169</v>
      </c>
    </row>
    <row r="162" spans="1:36">
      <c r="A162" t="s">
        <v>1283</v>
      </c>
      <c r="B162" t="s">
        <v>1284</v>
      </c>
      <c r="C162" t="s">
        <v>1382</v>
      </c>
      <c r="D162" t="s">
        <v>1383</v>
      </c>
      <c r="E162" t="s">
        <v>1384</v>
      </c>
      <c r="F162" t="s">
        <v>1342</v>
      </c>
      <c r="G162">
        <v>410</v>
      </c>
      <c r="H162">
        <v>560</v>
      </c>
      <c r="P162" t="s">
        <v>80</v>
      </c>
      <c r="R162" s="7"/>
      <c r="W162" s="15">
        <v>3.06074</v>
      </c>
      <c r="X162" s="15">
        <v>-74.46275</v>
      </c>
      <c r="Y162">
        <v>5084.5</v>
      </c>
      <c r="Z162">
        <v>510</v>
      </c>
      <c r="AA162" t="s">
        <v>1385</v>
      </c>
      <c r="AB162" t="s">
        <v>1386</v>
      </c>
      <c r="AF162" t="s">
        <v>50</v>
      </c>
      <c r="AG162" t="s">
        <v>1336</v>
      </c>
      <c r="AH162" t="s">
        <v>1387</v>
      </c>
      <c r="AI162" t="s">
        <v>1388</v>
      </c>
      <c r="AJ162">
        <v>170</v>
      </c>
    </row>
    <row r="163" spans="1:36">
      <c r="A163" t="s">
        <v>1389</v>
      </c>
      <c r="B163" t="s">
        <v>1390</v>
      </c>
      <c r="C163" t="s">
        <v>1391</v>
      </c>
      <c r="D163" t="s">
        <v>1392</v>
      </c>
      <c r="E163" t="s">
        <v>1393</v>
      </c>
      <c r="F163">
        <v>250</v>
      </c>
      <c r="G163">
        <v>250</v>
      </c>
      <c r="H163">
        <v>250</v>
      </c>
      <c r="P163" t="s">
        <v>80</v>
      </c>
      <c r="R163" s="7">
        <v>25728</v>
      </c>
      <c r="T163" t="s">
        <v>65</v>
      </c>
      <c r="W163" s="15">
        <v>2.2950400000000002</v>
      </c>
      <c r="X163" s="15">
        <v>-73.880510000000001</v>
      </c>
      <c r="Y163" t="s">
        <v>1394</v>
      </c>
      <c r="Z163">
        <v>241</v>
      </c>
      <c r="AB163" t="s">
        <v>1395</v>
      </c>
      <c r="AF163" t="s">
        <v>50</v>
      </c>
      <c r="AG163" t="s">
        <v>1336</v>
      </c>
      <c r="AH163" t="s">
        <v>1396</v>
      </c>
      <c r="AI163" t="s">
        <v>1397</v>
      </c>
      <c r="AJ163">
        <v>171</v>
      </c>
    </row>
    <row r="164" spans="1:36">
      <c r="A164" t="s">
        <v>1389</v>
      </c>
      <c r="B164" t="s">
        <v>1390</v>
      </c>
      <c r="C164" t="s">
        <v>1391</v>
      </c>
      <c r="D164" t="s">
        <v>1398</v>
      </c>
      <c r="E164" t="s">
        <v>1393</v>
      </c>
      <c r="F164">
        <v>25</v>
      </c>
      <c r="G164">
        <v>25</v>
      </c>
      <c r="H164">
        <v>25</v>
      </c>
      <c r="P164" t="s">
        <v>80</v>
      </c>
      <c r="R164" s="7">
        <v>25728</v>
      </c>
      <c r="T164" t="s">
        <v>65</v>
      </c>
      <c r="W164" s="15">
        <v>2.2950400000000002</v>
      </c>
      <c r="X164" s="15">
        <v>-73.880510000000001</v>
      </c>
      <c r="Y164" t="s">
        <v>1394</v>
      </c>
      <c r="Z164">
        <v>241</v>
      </c>
      <c r="AB164" t="s">
        <v>1395</v>
      </c>
      <c r="AF164" t="s">
        <v>50</v>
      </c>
      <c r="AG164" t="s">
        <v>1336</v>
      </c>
      <c r="AH164" t="s">
        <v>1396</v>
      </c>
      <c r="AI164" t="s">
        <v>1397</v>
      </c>
      <c r="AJ164">
        <v>172</v>
      </c>
    </row>
    <row r="165" spans="1:36">
      <c r="A165" t="s">
        <v>1399</v>
      </c>
      <c r="B165" t="s">
        <v>1400</v>
      </c>
      <c r="C165" t="s">
        <v>1401</v>
      </c>
      <c r="D165" t="s">
        <v>1402</v>
      </c>
      <c r="E165" t="s">
        <v>1403</v>
      </c>
      <c r="F165" t="s">
        <v>1404</v>
      </c>
      <c r="G165">
        <v>1800</v>
      </c>
      <c r="H165">
        <v>1900</v>
      </c>
      <c r="I165" t="s">
        <v>1405</v>
      </c>
      <c r="J165" t="s">
        <v>1405</v>
      </c>
      <c r="K165" t="s">
        <v>1406</v>
      </c>
      <c r="L165" t="s">
        <v>1406</v>
      </c>
      <c r="M165" t="s">
        <v>1407</v>
      </c>
      <c r="N165" t="s">
        <v>1408</v>
      </c>
      <c r="O165" t="s">
        <v>1409</v>
      </c>
      <c r="P165" t="s">
        <v>1410</v>
      </c>
      <c r="R165" s="7">
        <v>40343</v>
      </c>
      <c r="T165" t="s">
        <v>318</v>
      </c>
      <c r="W165" s="15">
        <v>6.6869443999999998</v>
      </c>
      <c r="X165" s="15">
        <v>-73.437194399999996</v>
      </c>
      <c r="AF165" t="s">
        <v>50</v>
      </c>
      <c r="AG165" t="s">
        <v>1411</v>
      </c>
      <c r="AH165" t="s">
        <v>1412</v>
      </c>
      <c r="AI165" t="s">
        <v>1413</v>
      </c>
      <c r="AJ165">
        <v>173</v>
      </c>
    </row>
    <row r="166" spans="1:36">
      <c r="A166" t="s">
        <v>1399</v>
      </c>
      <c r="B166" t="s">
        <v>1400</v>
      </c>
      <c r="C166" t="s">
        <v>1414</v>
      </c>
      <c r="D166" t="s">
        <v>1415</v>
      </c>
      <c r="E166" t="s">
        <v>1416</v>
      </c>
      <c r="F166">
        <v>1401</v>
      </c>
      <c r="G166">
        <v>1401</v>
      </c>
      <c r="H166">
        <v>1401</v>
      </c>
      <c r="I166">
        <v>6.5865999999999998</v>
      </c>
      <c r="J166">
        <v>6.5865999999999998</v>
      </c>
      <c r="K166">
        <v>73.518199999999993</v>
      </c>
      <c r="L166">
        <v>73.518199999999993</v>
      </c>
      <c r="M166" t="s">
        <v>1417</v>
      </c>
      <c r="P166" t="s">
        <v>80</v>
      </c>
      <c r="R166" s="7">
        <v>45423</v>
      </c>
      <c r="T166" t="s">
        <v>318</v>
      </c>
      <c r="W166" s="15">
        <v>6.5865999999999998</v>
      </c>
      <c r="X166" s="15">
        <v>-73.518199999999993</v>
      </c>
      <c r="AF166" t="s">
        <v>50</v>
      </c>
      <c r="AG166" t="s">
        <v>1418</v>
      </c>
      <c r="AH166" t="s">
        <v>1419</v>
      </c>
      <c r="AI166" t="s">
        <v>1420</v>
      </c>
      <c r="AJ166">
        <v>174</v>
      </c>
    </row>
    <row r="167" spans="1:36">
      <c r="A167" t="s">
        <v>1399</v>
      </c>
      <c r="B167" t="s">
        <v>1400</v>
      </c>
      <c r="C167" t="s">
        <v>1421</v>
      </c>
      <c r="D167" t="s">
        <v>1422</v>
      </c>
      <c r="E167" t="s">
        <v>1423</v>
      </c>
      <c r="F167">
        <v>1616</v>
      </c>
      <c r="G167">
        <v>1616</v>
      </c>
      <c r="H167">
        <v>1616</v>
      </c>
      <c r="I167" t="s">
        <v>1424</v>
      </c>
      <c r="J167" t="s">
        <v>1424</v>
      </c>
      <c r="K167" t="s">
        <v>1425</v>
      </c>
      <c r="L167" t="s">
        <v>1426</v>
      </c>
      <c r="M167" t="s">
        <v>1427</v>
      </c>
      <c r="N167" t="s">
        <v>1428</v>
      </c>
      <c r="O167" t="s">
        <v>1429</v>
      </c>
      <c r="P167" t="s">
        <v>1430</v>
      </c>
      <c r="R167" s="7">
        <v>45466</v>
      </c>
      <c r="T167" t="s">
        <v>318</v>
      </c>
      <c r="W167" s="15">
        <v>6.7383332999999999</v>
      </c>
      <c r="X167" s="15">
        <v>-73.427972199999999</v>
      </c>
      <c r="AF167" t="s">
        <v>50</v>
      </c>
      <c r="AG167" t="s">
        <v>1431</v>
      </c>
      <c r="AH167" t="s">
        <v>1432</v>
      </c>
      <c r="AI167" t="s">
        <v>1433</v>
      </c>
      <c r="AJ167">
        <v>175</v>
      </c>
    </row>
    <row r="168" spans="1:36">
      <c r="A168" t="s">
        <v>1434</v>
      </c>
      <c r="B168" t="s">
        <v>1435</v>
      </c>
      <c r="C168" t="s">
        <v>1436</v>
      </c>
      <c r="D168" t="s">
        <v>1437</v>
      </c>
      <c r="E168" t="s">
        <v>1438</v>
      </c>
      <c r="F168">
        <v>2500</v>
      </c>
      <c r="G168">
        <v>2500</v>
      </c>
      <c r="H168">
        <v>2500</v>
      </c>
      <c r="P168" t="s">
        <v>80</v>
      </c>
      <c r="R168" s="7">
        <v>26674</v>
      </c>
      <c r="T168" t="s">
        <v>119</v>
      </c>
      <c r="W168" s="15">
        <v>0.83831</v>
      </c>
      <c r="X168" s="15">
        <v>-77.616919999999993</v>
      </c>
      <c r="Y168">
        <v>2955.806</v>
      </c>
      <c r="Z168">
        <v>2876</v>
      </c>
      <c r="AB168" t="s">
        <v>1439</v>
      </c>
      <c r="AF168" t="s">
        <v>50</v>
      </c>
      <c r="AG168" t="s">
        <v>127</v>
      </c>
      <c r="AH168" t="s">
        <v>1440</v>
      </c>
      <c r="AI168" t="s">
        <v>1441</v>
      </c>
      <c r="AJ168">
        <v>176</v>
      </c>
    </row>
    <row r="169" spans="1:36">
      <c r="A169" t="s">
        <v>1434</v>
      </c>
      <c r="B169" t="s">
        <v>1435</v>
      </c>
      <c r="C169" t="s">
        <v>1442</v>
      </c>
      <c r="D169" t="s">
        <v>1443</v>
      </c>
      <c r="E169" t="s">
        <v>1444</v>
      </c>
      <c r="F169" t="s">
        <v>1445</v>
      </c>
      <c r="G169">
        <v>2700</v>
      </c>
      <c r="H169">
        <v>2800</v>
      </c>
      <c r="P169" t="s">
        <v>80</v>
      </c>
      <c r="R169" s="7">
        <v>32376</v>
      </c>
      <c r="T169" t="s">
        <v>111</v>
      </c>
      <c r="W169" s="15">
        <v>4.7813100000000004</v>
      </c>
      <c r="X169" s="15">
        <v>-76.494979999999998</v>
      </c>
      <c r="Y169">
        <v>1679.8140000000001</v>
      </c>
      <c r="Z169">
        <v>2572</v>
      </c>
      <c r="AB169" t="s">
        <v>1446</v>
      </c>
      <c r="AF169" t="s">
        <v>50</v>
      </c>
      <c r="AG169" t="s">
        <v>374</v>
      </c>
      <c r="AH169" t="s">
        <v>1447</v>
      </c>
      <c r="AI169" t="s">
        <v>1448</v>
      </c>
      <c r="AJ169">
        <v>177</v>
      </c>
    </row>
    <row r="170" spans="1:36">
      <c r="A170" t="s">
        <v>1434</v>
      </c>
      <c r="B170" t="s">
        <v>1435</v>
      </c>
      <c r="C170" t="s">
        <v>1442</v>
      </c>
      <c r="D170" t="s">
        <v>1449</v>
      </c>
      <c r="E170" t="s">
        <v>1444</v>
      </c>
      <c r="F170" t="s">
        <v>1445</v>
      </c>
      <c r="G170">
        <v>2700</v>
      </c>
      <c r="H170">
        <v>2800</v>
      </c>
      <c r="P170" t="s">
        <v>80</v>
      </c>
      <c r="R170" s="7">
        <v>32376</v>
      </c>
      <c r="T170" t="s">
        <v>111</v>
      </c>
      <c r="W170" s="15">
        <v>4.7813100000000004</v>
      </c>
      <c r="X170" s="15">
        <v>-76.494979999999998</v>
      </c>
      <c r="Y170">
        <v>1679.8140000000001</v>
      </c>
      <c r="Z170">
        <v>2572</v>
      </c>
      <c r="AB170" t="s">
        <v>1446</v>
      </c>
      <c r="AF170" t="s">
        <v>50</v>
      </c>
      <c r="AG170" t="s">
        <v>374</v>
      </c>
      <c r="AH170" t="s">
        <v>1447</v>
      </c>
      <c r="AI170" t="s">
        <v>1448</v>
      </c>
      <c r="AJ170">
        <v>178</v>
      </c>
    </row>
    <row r="171" spans="1:36">
      <c r="A171" t="s">
        <v>1434</v>
      </c>
      <c r="B171" t="s">
        <v>1435</v>
      </c>
      <c r="C171" t="s">
        <v>1450</v>
      </c>
      <c r="D171" t="s">
        <v>1451</v>
      </c>
      <c r="E171" t="s">
        <v>1452</v>
      </c>
      <c r="F171">
        <v>1820</v>
      </c>
      <c r="G171">
        <v>1820</v>
      </c>
      <c r="H171">
        <v>1820</v>
      </c>
      <c r="I171" t="s">
        <v>1453</v>
      </c>
      <c r="J171" t="s">
        <v>1454</v>
      </c>
      <c r="K171" t="s">
        <v>1455</v>
      </c>
      <c r="L171" t="s">
        <v>1456</v>
      </c>
      <c r="M171" t="s">
        <v>1457</v>
      </c>
      <c r="N171" t="s">
        <v>1458</v>
      </c>
      <c r="O171" t="s">
        <v>1459</v>
      </c>
      <c r="P171" t="s">
        <v>1460</v>
      </c>
      <c r="R171" s="7">
        <v>32904</v>
      </c>
      <c r="T171" t="s">
        <v>119</v>
      </c>
      <c r="W171" s="15">
        <v>1.1716667000000001</v>
      </c>
      <c r="X171" s="15">
        <v>-78.002499999999998</v>
      </c>
      <c r="AF171" t="s">
        <v>50</v>
      </c>
      <c r="AG171" t="s">
        <v>127</v>
      </c>
      <c r="AH171" t="s">
        <v>1461</v>
      </c>
      <c r="AI171" t="s">
        <v>1462</v>
      </c>
      <c r="AJ171">
        <v>179</v>
      </c>
    </row>
    <row r="172" spans="1:36">
      <c r="A172" t="s">
        <v>1434</v>
      </c>
      <c r="B172" t="s">
        <v>1435</v>
      </c>
      <c r="C172" t="s">
        <v>1463</v>
      </c>
      <c r="D172" t="s">
        <v>1451</v>
      </c>
      <c r="E172" t="s">
        <v>1452</v>
      </c>
      <c r="F172">
        <v>1820</v>
      </c>
      <c r="G172">
        <v>1820</v>
      </c>
      <c r="H172">
        <v>1820</v>
      </c>
      <c r="I172" t="s">
        <v>1453</v>
      </c>
      <c r="J172" t="s">
        <v>1454</v>
      </c>
      <c r="K172" t="s">
        <v>1455</v>
      </c>
      <c r="L172" t="s">
        <v>1456</v>
      </c>
      <c r="M172" t="s">
        <v>1457</v>
      </c>
      <c r="N172" t="s">
        <v>1458</v>
      </c>
      <c r="O172" t="s">
        <v>1459</v>
      </c>
      <c r="P172" t="s">
        <v>1460</v>
      </c>
      <c r="Q172" s="9"/>
      <c r="R172" s="7">
        <v>32904</v>
      </c>
      <c r="W172" s="15">
        <v>1.1716667000000001</v>
      </c>
      <c r="X172" s="15">
        <v>-78.002499999999998</v>
      </c>
      <c r="AF172" t="s">
        <v>50</v>
      </c>
      <c r="AJ172">
        <v>180</v>
      </c>
    </row>
    <row r="173" spans="1:36">
      <c r="A173" t="s">
        <v>1464</v>
      </c>
      <c r="B173" t="s">
        <v>1465</v>
      </c>
      <c r="C173" t="s">
        <v>1466</v>
      </c>
      <c r="D173" t="s">
        <v>1467</v>
      </c>
      <c r="E173" t="s">
        <v>1468</v>
      </c>
      <c r="F173">
        <v>1100</v>
      </c>
      <c r="G173">
        <v>1100</v>
      </c>
      <c r="H173">
        <v>1100</v>
      </c>
      <c r="P173" t="s">
        <v>80</v>
      </c>
      <c r="R173" s="7">
        <v>16908</v>
      </c>
      <c r="T173" t="s">
        <v>119</v>
      </c>
      <c r="W173" s="15">
        <v>6.5461900000000002</v>
      </c>
      <c r="X173" s="15">
        <v>-75.232699999999994</v>
      </c>
      <c r="Y173">
        <v>574.10400000000004</v>
      </c>
      <c r="Z173">
        <v>1092</v>
      </c>
      <c r="AB173" t="s">
        <v>1469</v>
      </c>
      <c r="AF173" t="s">
        <v>50</v>
      </c>
      <c r="AG173" t="s">
        <v>402</v>
      </c>
      <c r="AH173" t="s">
        <v>855</v>
      </c>
      <c r="AI173" t="s">
        <v>1470</v>
      </c>
      <c r="AJ173">
        <v>181</v>
      </c>
    </row>
    <row r="174" spans="1:36">
      <c r="A174" t="s">
        <v>1464</v>
      </c>
      <c r="B174" t="s">
        <v>1465</v>
      </c>
      <c r="C174" t="s">
        <v>1471</v>
      </c>
      <c r="D174" t="s">
        <v>1472</v>
      </c>
      <c r="E174" t="s">
        <v>1473</v>
      </c>
      <c r="F174">
        <v>1100</v>
      </c>
      <c r="G174">
        <v>1100</v>
      </c>
      <c r="H174">
        <v>1100</v>
      </c>
      <c r="P174" t="s">
        <v>80</v>
      </c>
      <c r="R174" s="7">
        <v>16908</v>
      </c>
      <c r="T174" t="s">
        <v>119</v>
      </c>
      <c r="W174" s="15">
        <v>6.5461900000000002</v>
      </c>
      <c r="X174" s="15">
        <v>-75.232699999999994</v>
      </c>
      <c r="Y174">
        <v>574.10400000000004</v>
      </c>
      <c r="Z174">
        <v>1092</v>
      </c>
      <c r="AB174" t="s">
        <v>1469</v>
      </c>
      <c r="AF174" t="s">
        <v>50</v>
      </c>
      <c r="AG174" t="s">
        <v>402</v>
      </c>
      <c r="AH174" t="s">
        <v>1474</v>
      </c>
      <c r="AI174" t="s">
        <v>1475</v>
      </c>
      <c r="AJ174">
        <v>182</v>
      </c>
    </row>
    <row r="175" spans="1:36">
      <c r="A175" t="s">
        <v>1464</v>
      </c>
      <c r="B175" t="s">
        <v>1465</v>
      </c>
      <c r="C175" t="s">
        <v>1476</v>
      </c>
      <c r="D175" t="s">
        <v>1477</v>
      </c>
      <c r="E175" t="s">
        <v>1478</v>
      </c>
      <c r="F175" t="s">
        <v>1303</v>
      </c>
      <c r="G175">
        <v>700</v>
      </c>
      <c r="H175">
        <v>900</v>
      </c>
      <c r="I175" t="s">
        <v>1479</v>
      </c>
      <c r="J175" t="s">
        <v>1480</v>
      </c>
      <c r="K175" t="s">
        <v>1481</v>
      </c>
      <c r="L175" t="s">
        <v>1482</v>
      </c>
      <c r="M175" t="s">
        <v>1483</v>
      </c>
      <c r="N175" t="s">
        <v>1484</v>
      </c>
      <c r="O175" t="s">
        <v>1485</v>
      </c>
      <c r="P175" t="s">
        <v>1486</v>
      </c>
      <c r="R175" s="7">
        <v>33586</v>
      </c>
      <c r="T175" t="s">
        <v>119</v>
      </c>
      <c r="W175" s="15">
        <v>6.0333332999999998</v>
      </c>
      <c r="X175" s="15">
        <v>-75.133333300000004</v>
      </c>
      <c r="AF175" t="s">
        <v>50</v>
      </c>
      <c r="AG175" t="s">
        <v>402</v>
      </c>
      <c r="AH175" t="s">
        <v>1487</v>
      </c>
      <c r="AI175" t="s">
        <v>1488</v>
      </c>
      <c r="AJ175">
        <v>183</v>
      </c>
    </row>
    <row r="176" spans="1:36">
      <c r="A176" t="s">
        <v>1464</v>
      </c>
      <c r="B176" t="s">
        <v>1465</v>
      </c>
      <c r="C176" t="s">
        <v>1489</v>
      </c>
      <c r="D176" t="s">
        <v>1490</v>
      </c>
      <c r="E176" t="s">
        <v>1491</v>
      </c>
      <c r="F176" t="s">
        <v>1492</v>
      </c>
      <c r="G176">
        <v>860</v>
      </c>
      <c r="H176">
        <v>910</v>
      </c>
      <c r="I176" t="s">
        <v>1493</v>
      </c>
      <c r="J176" t="s">
        <v>1494</v>
      </c>
      <c r="K176" t="s">
        <v>1495</v>
      </c>
      <c r="L176" t="s">
        <v>1496</v>
      </c>
      <c r="M176" t="s">
        <v>1497</v>
      </c>
      <c r="N176" t="s">
        <v>1498</v>
      </c>
      <c r="O176" t="s">
        <v>1499</v>
      </c>
      <c r="P176" t="s">
        <v>1500</v>
      </c>
      <c r="R176" s="7">
        <v>40747</v>
      </c>
      <c r="T176" t="s">
        <v>119</v>
      </c>
      <c r="W176" s="15">
        <v>6.5381499999999999</v>
      </c>
      <c r="X176" s="15">
        <v>-76.322199999999995</v>
      </c>
      <c r="Y176">
        <v>2588.0100000000002</v>
      </c>
      <c r="Z176">
        <v>861</v>
      </c>
      <c r="AB176" t="s">
        <v>1501</v>
      </c>
      <c r="AF176" t="s">
        <v>50</v>
      </c>
      <c r="AG176" t="s">
        <v>402</v>
      </c>
      <c r="AH176" t="s">
        <v>1356</v>
      </c>
      <c r="AI176" t="s">
        <v>1502</v>
      </c>
      <c r="AJ176">
        <v>185</v>
      </c>
    </row>
    <row r="177" spans="1:36">
      <c r="A177" t="s">
        <v>1464</v>
      </c>
      <c r="B177" t="s">
        <v>1465</v>
      </c>
      <c r="C177" t="s">
        <v>1503</v>
      </c>
      <c r="D177" t="s">
        <v>1490</v>
      </c>
      <c r="E177" t="s">
        <v>1504</v>
      </c>
      <c r="F177" t="s">
        <v>1505</v>
      </c>
      <c r="G177">
        <v>950</v>
      </c>
      <c r="H177">
        <v>1000</v>
      </c>
      <c r="I177" t="s">
        <v>1506</v>
      </c>
      <c r="J177" t="s">
        <v>1507</v>
      </c>
      <c r="K177" t="s">
        <v>1508</v>
      </c>
      <c r="L177" t="s">
        <v>1509</v>
      </c>
      <c r="M177" t="s">
        <v>1510</v>
      </c>
      <c r="N177" t="s">
        <v>1511</v>
      </c>
      <c r="O177" t="s">
        <v>1512</v>
      </c>
      <c r="P177" t="s">
        <v>1513</v>
      </c>
      <c r="R177" s="7">
        <v>40750</v>
      </c>
      <c r="T177" t="s">
        <v>119</v>
      </c>
      <c r="W177" s="15">
        <v>6.5381499999999999</v>
      </c>
      <c r="X177" s="15">
        <v>-76.322199999999995</v>
      </c>
      <c r="Y177">
        <v>2588.0100000000002</v>
      </c>
      <c r="Z177">
        <v>861</v>
      </c>
      <c r="AB177" t="s">
        <v>1501</v>
      </c>
      <c r="AF177" t="s">
        <v>50</v>
      </c>
      <c r="AG177" t="s">
        <v>402</v>
      </c>
      <c r="AH177" t="s">
        <v>1356</v>
      </c>
      <c r="AI177" t="s">
        <v>1514</v>
      </c>
      <c r="AJ177">
        <v>187</v>
      </c>
    </row>
    <row r="178" spans="1:36">
      <c r="A178" t="s">
        <v>1464</v>
      </c>
      <c r="B178" t="s">
        <v>1465</v>
      </c>
      <c r="C178" t="s">
        <v>1515</v>
      </c>
      <c r="D178" t="s">
        <v>1516</v>
      </c>
      <c r="E178" t="s">
        <v>1517</v>
      </c>
      <c r="F178">
        <v>900</v>
      </c>
      <c r="G178">
        <v>900</v>
      </c>
      <c r="H178">
        <v>900</v>
      </c>
      <c r="I178" t="s">
        <v>1518</v>
      </c>
      <c r="J178" t="s">
        <v>1519</v>
      </c>
      <c r="K178" t="s">
        <v>1520</v>
      </c>
      <c r="L178" t="s">
        <v>1521</v>
      </c>
      <c r="M178" t="s">
        <v>1522</v>
      </c>
      <c r="N178" t="s">
        <v>1523</v>
      </c>
      <c r="O178" t="s">
        <v>1524</v>
      </c>
      <c r="P178" t="s">
        <v>1525</v>
      </c>
      <c r="R178" s="7">
        <v>27260</v>
      </c>
      <c r="T178" t="s">
        <v>399</v>
      </c>
      <c r="W178" s="15">
        <v>5.5751166999999997</v>
      </c>
      <c r="X178" s="15">
        <v>-74.890183300000004</v>
      </c>
      <c r="AF178" t="s">
        <v>50</v>
      </c>
      <c r="AG178" t="s">
        <v>167</v>
      </c>
      <c r="AH178" t="s">
        <v>1526</v>
      </c>
      <c r="AI178" t="s">
        <v>1527</v>
      </c>
      <c r="AJ178">
        <v>188</v>
      </c>
    </row>
    <row r="179" spans="1:36">
      <c r="A179" t="s">
        <v>1464</v>
      </c>
      <c r="B179" t="s">
        <v>1465</v>
      </c>
      <c r="C179" t="s">
        <v>1528</v>
      </c>
      <c r="D179" t="s">
        <v>1529</v>
      </c>
      <c r="E179" t="s">
        <v>1530</v>
      </c>
      <c r="F179">
        <v>900</v>
      </c>
      <c r="G179">
        <v>900</v>
      </c>
      <c r="H179">
        <v>900</v>
      </c>
      <c r="I179" t="s">
        <v>1531</v>
      </c>
      <c r="J179" t="s">
        <v>1532</v>
      </c>
      <c r="K179" t="s">
        <v>1533</v>
      </c>
      <c r="L179" t="s">
        <v>1534</v>
      </c>
      <c r="M179" t="s">
        <v>1535</v>
      </c>
      <c r="N179" t="s">
        <v>1536</v>
      </c>
      <c r="O179" t="s">
        <v>1537</v>
      </c>
      <c r="P179" t="s">
        <v>1538</v>
      </c>
      <c r="R179" s="7">
        <v>41029</v>
      </c>
      <c r="T179" t="s">
        <v>119</v>
      </c>
      <c r="W179" s="15">
        <v>5.0588889000000004</v>
      </c>
      <c r="X179" s="15">
        <v>-75.735444400000006</v>
      </c>
      <c r="AF179" t="s">
        <v>50</v>
      </c>
      <c r="AG179" t="s">
        <v>167</v>
      </c>
      <c r="AH179" t="s">
        <v>1539</v>
      </c>
      <c r="AI179" t="s">
        <v>1540</v>
      </c>
      <c r="AJ179">
        <v>189</v>
      </c>
    </row>
    <row r="180" spans="1:36">
      <c r="A180" t="s">
        <v>1464</v>
      </c>
      <c r="B180" t="s">
        <v>1465</v>
      </c>
      <c r="C180" t="s">
        <v>1541</v>
      </c>
      <c r="D180" t="s">
        <v>1542</v>
      </c>
      <c r="E180" t="s">
        <v>1543</v>
      </c>
      <c r="F180">
        <v>1100</v>
      </c>
      <c r="G180">
        <v>1100</v>
      </c>
      <c r="H180">
        <v>1100</v>
      </c>
      <c r="I180" t="s">
        <v>1544</v>
      </c>
      <c r="J180" t="s">
        <v>1545</v>
      </c>
      <c r="K180" t="s">
        <v>1546</v>
      </c>
      <c r="L180" t="s">
        <v>1547</v>
      </c>
      <c r="M180" t="s">
        <v>1548</v>
      </c>
      <c r="N180" t="s">
        <v>1549</v>
      </c>
      <c r="O180" t="s">
        <v>1550</v>
      </c>
      <c r="P180" t="s">
        <v>1551</v>
      </c>
      <c r="R180" s="7">
        <v>36011</v>
      </c>
      <c r="T180" t="s">
        <v>111</v>
      </c>
      <c r="W180" s="15">
        <v>1.2331444</v>
      </c>
      <c r="X180" s="15">
        <v>-76.532844400000002</v>
      </c>
      <c r="AF180" t="s">
        <v>50</v>
      </c>
      <c r="AG180" t="s">
        <v>283</v>
      </c>
      <c r="AH180" t="s">
        <v>1014</v>
      </c>
      <c r="AI180" t="s">
        <v>1552</v>
      </c>
      <c r="AJ180">
        <v>190</v>
      </c>
    </row>
    <row r="181" spans="1:36">
      <c r="A181" t="s">
        <v>1464</v>
      </c>
      <c r="B181" t="s">
        <v>1465</v>
      </c>
      <c r="C181" t="s">
        <v>1553</v>
      </c>
      <c r="D181" t="s">
        <v>1554</v>
      </c>
      <c r="E181" t="s">
        <v>281</v>
      </c>
      <c r="F181">
        <v>1600</v>
      </c>
      <c r="G181">
        <v>1600</v>
      </c>
      <c r="H181">
        <v>1600</v>
      </c>
      <c r="I181" t="s">
        <v>1555</v>
      </c>
      <c r="J181" t="s">
        <v>1556</v>
      </c>
      <c r="K181" t="s">
        <v>1557</v>
      </c>
      <c r="L181" t="s">
        <v>1558</v>
      </c>
      <c r="M181" t="s">
        <v>1559</v>
      </c>
      <c r="N181" t="s">
        <v>1560</v>
      </c>
      <c r="O181" t="s">
        <v>1561</v>
      </c>
      <c r="P181" t="s">
        <v>1562</v>
      </c>
      <c r="R181" s="7">
        <v>38825</v>
      </c>
      <c r="T181" t="s">
        <v>119</v>
      </c>
      <c r="W181" s="15">
        <v>2.51058</v>
      </c>
      <c r="X181" s="15">
        <v>-76.984210000000004</v>
      </c>
      <c r="Y181">
        <v>1862.7349999999999</v>
      </c>
      <c r="Z181">
        <v>1783</v>
      </c>
      <c r="AB181" t="s">
        <v>282</v>
      </c>
      <c r="AF181" t="s">
        <v>50</v>
      </c>
      <c r="AG181" t="s">
        <v>283</v>
      </c>
      <c r="AH181" t="s">
        <v>284</v>
      </c>
      <c r="AI181" t="s">
        <v>285</v>
      </c>
      <c r="AJ181">
        <v>191</v>
      </c>
    </row>
    <row r="182" spans="1:36">
      <c r="A182" t="s">
        <v>1464</v>
      </c>
      <c r="B182" t="s">
        <v>1465</v>
      </c>
      <c r="C182" t="s">
        <v>1563</v>
      </c>
      <c r="D182" t="s">
        <v>1564</v>
      </c>
      <c r="E182" t="s">
        <v>1565</v>
      </c>
      <c r="F182">
        <v>641</v>
      </c>
      <c r="G182">
        <v>641</v>
      </c>
      <c r="H182">
        <v>641</v>
      </c>
      <c r="I182" t="s">
        <v>1566</v>
      </c>
      <c r="J182" t="s">
        <v>1567</v>
      </c>
      <c r="K182" t="s">
        <v>1568</v>
      </c>
      <c r="L182" t="s">
        <v>1569</v>
      </c>
      <c r="M182" t="s">
        <v>1570</v>
      </c>
      <c r="N182" t="s">
        <v>1371</v>
      </c>
      <c r="O182" t="s">
        <v>1372</v>
      </c>
      <c r="P182" t="s">
        <v>1373</v>
      </c>
      <c r="R182" s="7">
        <v>39954</v>
      </c>
      <c r="T182" t="s">
        <v>119</v>
      </c>
      <c r="W182" s="15">
        <v>4.8692722000000002</v>
      </c>
      <c r="X182" s="15">
        <v>-76.250647200000003</v>
      </c>
      <c r="AF182" t="s">
        <v>50</v>
      </c>
      <c r="AG182" t="s">
        <v>374</v>
      </c>
      <c r="AH182" t="s">
        <v>375</v>
      </c>
      <c r="AI182" t="s">
        <v>1375</v>
      </c>
      <c r="AJ182">
        <v>192</v>
      </c>
    </row>
    <row r="183" spans="1:36">
      <c r="A183" t="s">
        <v>1464</v>
      </c>
      <c r="B183" t="s">
        <v>1465</v>
      </c>
      <c r="C183" t="s">
        <v>1571</v>
      </c>
      <c r="D183" t="s">
        <v>1529</v>
      </c>
      <c r="E183" t="s">
        <v>1565</v>
      </c>
      <c r="F183">
        <v>641</v>
      </c>
      <c r="G183">
        <v>641</v>
      </c>
      <c r="H183">
        <v>641</v>
      </c>
      <c r="I183" t="s">
        <v>1566</v>
      </c>
      <c r="J183" t="s">
        <v>1567</v>
      </c>
      <c r="K183" t="s">
        <v>1572</v>
      </c>
      <c r="L183" t="s">
        <v>1573</v>
      </c>
      <c r="M183" t="s">
        <v>1574</v>
      </c>
      <c r="N183" t="s">
        <v>1371</v>
      </c>
      <c r="O183" t="s">
        <v>1372</v>
      </c>
      <c r="P183" t="s">
        <v>1373</v>
      </c>
      <c r="R183" s="7">
        <v>39985</v>
      </c>
      <c r="T183" t="s">
        <v>119</v>
      </c>
      <c r="W183" s="15">
        <v>4.8692722000000002</v>
      </c>
      <c r="X183" s="15">
        <v>-76.250647200000003</v>
      </c>
      <c r="AF183" t="s">
        <v>50</v>
      </c>
      <c r="AG183" t="s">
        <v>374</v>
      </c>
      <c r="AH183" t="s">
        <v>375</v>
      </c>
      <c r="AI183" t="s">
        <v>1375</v>
      </c>
      <c r="AJ183">
        <v>193</v>
      </c>
    </row>
    <row r="184" spans="1:36">
      <c r="A184" t="s">
        <v>1464</v>
      </c>
      <c r="B184" t="s">
        <v>1465</v>
      </c>
      <c r="C184" t="s">
        <v>1575</v>
      </c>
      <c r="D184" t="s">
        <v>1564</v>
      </c>
      <c r="E184" t="s">
        <v>1565</v>
      </c>
      <c r="F184">
        <v>641</v>
      </c>
      <c r="G184">
        <v>641</v>
      </c>
      <c r="H184">
        <v>641</v>
      </c>
      <c r="I184" t="s">
        <v>1566</v>
      </c>
      <c r="J184" t="s">
        <v>1567</v>
      </c>
      <c r="K184" t="s">
        <v>1572</v>
      </c>
      <c r="L184" t="s">
        <v>1573</v>
      </c>
      <c r="M184" t="s">
        <v>1574</v>
      </c>
      <c r="N184" t="s">
        <v>1371</v>
      </c>
      <c r="O184" t="s">
        <v>1372</v>
      </c>
      <c r="P184" t="s">
        <v>1373</v>
      </c>
      <c r="R184" s="7">
        <v>39985</v>
      </c>
      <c r="T184" t="s">
        <v>119</v>
      </c>
      <c r="W184" s="15">
        <v>4.8692722000000002</v>
      </c>
      <c r="X184" s="15">
        <v>-76.250647200000003</v>
      </c>
      <c r="AF184" t="s">
        <v>50</v>
      </c>
      <c r="AG184" t="s">
        <v>374</v>
      </c>
      <c r="AH184" t="s">
        <v>375</v>
      </c>
      <c r="AI184" t="s">
        <v>1375</v>
      </c>
      <c r="AJ184">
        <v>194</v>
      </c>
    </row>
    <row r="185" spans="1:36">
      <c r="A185" t="s">
        <v>1464</v>
      </c>
      <c r="B185" t="s">
        <v>1465</v>
      </c>
      <c r="C185" t="s">
        <v>1576</v>
      </c>
      <c r="D185" t="s">
        <v>1577</v>
      </c>
      <c r="E185" t="s">
        <v>1578</v>
      </c>
      <c r="F185">
        <v>5</v>
      </c>
      <c r="G185">
        <v>5</v>
      </c>
      <c r="H185">
        <v>5</v>
      </c>
      <c r="I185" t="s">
        <v>1318</v>
      </c>
      <c r="J185" t="s">
        <v>1319</v>
      </c>
      <c r="K185" t="s">
        <v>1579</v>
      </c>
      <c r="L185" t="s">
        <v>1580</v>
      </c>
      <c r="M185" t="s">
        <v>1581</v>
      </c>
      <c r="N185" t="s">
        <v>1582</v>
      </c>
      <c r="O185" t="s">
        <v>1583</v>
      </c>
      <c r="P185" t="s">
        <v>1584</v>
      </c>
      <c r="R185" s="7">
        <v>28946</v>
      </c>
      <c r="T185" t="s">
        <v>119</v>
      </c>
      <c r="W185" s="15">
        <v>4.1569000000000003</v>
      </c>
      <c r="X185" s="15">
        <v>-77.137039999999999</v>
      </c>
      <c r="Y185">
        <v>3254.4549999999999</v>
      </c>
      <c r="Z185">
        <v>13</v>
      </c>
      <c r="AB185" t="s">
        <v>1323</v>
      </c>
      <c r="AF185" t="s">
        <v>50</v>
      </c>
      <c r="AG185" t="s">
        <v>50</v>
      </c>
      <c r="AH185" t="s">
        <v>374</v>
      </c>
      <c r="AI185" t="s">
        <v>1585</v>
      </c>
      <c r="AJ185">
        <v>195</v>
      </c>
    </row>
    <row r="186" spans="1:36">
      <c r="A186" t="s">
        <v>1464</v>
      </c>
      <c r="B186" t="s">
        <v>1465</v>
      </c>
      <c r="C186" t="s">
        <v>1586</v>
      </c>
      <c r="D186" t="s">
        <v>1587</v>
      </c>
      <c r="E186" t="s">
        <v>1588</v>
      </c>
      <c r="F186">
        <v>1540</v>
      </c>
      <c r="G186">
        <v>1540</v>
      </c>
      <c r="H186">
        <v>1540</v>
      </c>
      <c r="P186" t="s">
        <v>80</v>
      </c>
      <c r="R186" s="7">
        <v>24828</v>
      </c>
      <c r="T186" t="s">
        <v>65</v>
      </c>
      <c r="W186" s="15">
        <v>4.9695400000000003</v>
      </c>
      <c r="X186" s="15">
        <v>-74.394469999999998</v>
      </c>
      <c r="Y186">
        <v>377.488</v>
      </c>
      <c r="Z186">
        <v>1283</v>
      </c>
      <c r="AB186" t="s">
        <v>1589</v>
      </c>
      <c r="AF186" t="s">
        <v>50</v>
      </c>
      <c r="AG186" t="s">
        <v>98</v>
      </c>
      <c r="AH186" t="s">
        <v>1590</v>
      </c>
      <c r="AI186" t="s">
        <v>1591</v>
      </c>
      <c r="AJ186">
        <v>196</v>
      </c>
    </row>
    <row r="187" spans="1:36">
      <c r="A187" t="s">
        <v>1464</v>
      </c>
      <c r="B187" t="s">
        <v>1465</v>
      </c>
      <c r="C187" t="s">
        <v>1592</v>
      </c>
      <c r="D187" t="s">
        <v>1593</v>
      </c>
      <c r="E187" t="s">
        <v>1594</v>
      </c>
      <c r="F187">
        <v>1620</v>
      </c>
      <c r="G187">
        <v>1620</v>
      </c>
      <c r="H187">
        <v>1620</v>
      </c>
      <c r="P187" t="s">
        <v>80</v>
      </c>
      <c r="R187" s="7">
        <v>30406</v>
      </c>
      <c r="T187" t="s">
        <v>119</v>
      </c>
      <c r="W187" s="15">
        <v>4.9182300000000003</v>
      </c>
      <c r="X187" s="15">
        <v>-74.417810000000003</v>
      </c>
      <c r="Y187">
        <v>1402.2139999999999</v>
      </c>
      <c r="Z187">
        <v>1647</v>
      </c>
      <c r="AB187" t="s">
        <v>1595</v>
      </c>
      <c r="AF187" t="s">
        <v>50</v>
      </c>
      <c r="AG187" t="s">
        <v>98</v>
      </c>
      <c r="AH187" t="s">
        <v>1596</v>
      </c>
      <c r="AI187" t="s">
        <v>1597</v>
      </c>
      <c r="AJ187">
        <v>197</v>
      </c>
    </row>
    <row r="188" spans="1:36">
      <c r="A188" t="s">
        <v>1464</v>
      </c>
      <c r="B188" t="s">
        <v>1465</v>
      </c>
      <c r="C188" t="s">
        <v>1598</v>
      </c>
      <c r="D188" t="s">
        <v>1599</v>
      </c>
      <c r="E188" t="s">
        <v>1594</v>
      </c>
      <c r="F188">
        <v>1620</v>
      </c>
      <c r="G188">
        <v>1620</v>
      </c>
      <c r="H188">
        <v>1620</v>
      </c>
      <c r="P188" t="s">
        <v>80</v>
      </c>
      <c r="R188" s="7">
        <v>30406</v>
      </c>
      <c r="T188" t="s">
        <v>119</v>
      </c>
      <c r="W188" s="15">
        <v>4.9182300000000003</v>
      </c>
      <c r="X188" s="15">
        <v>-74.417810000000003</v>
      </c>
      <c r="Y188">
        <v>1402.2139999999999</v>
      </c>
      <c r="Z188">
        <v>1647</v>
      </c>
      <c r="AB188" t="s">
        <v>1595</v>
      </c>
      <c r="AF188" t="s">
        <v>50</v>
      </c>
      <c r="AG188" t="s">
        <v>98</v>
      </c>
      <c r="AH188" t="s">
        <v>1596</v>
      </c>
      <c r="AI188" t="s">
        <v>1597</v>
      </c>
      <c r="AJ188">
        <v>198</v>
      </c>
    </row>
    <row r="189" spans="1:36">
      <c r="A189" t="s">
        <v>1464</v>
      </c>
      <c r="B189" t="s">
        <v>1465</v>
      </c>
      <c r="C189" t="s">
        <v>1600</v>
      </c>
      <c r="D189" t="s">
        <v>1601</v>
      </c>
      <c r="E189" t="s">
        <v>1602</v>
      </c>
      <c r="F189">
        <v>880</v>
      </c>
      <c r="G189">
        <v>880</v>
      </c>
      <c r="H189">
        <v>880</v>
      </c>
      <c r="I189" t="s">
        <v>1603</v>
      </c>
      <c r="J189" t="s">
        <v>1604</v>
      </c>
      <c r="K189" t="s">
        <v>1605</v>
      </c>
      <c r="L189" t="s">
        <v>1606</v>
      </c>
      <c r="M189" t="s">
        <v>1607</v>
      </c>
      <c r="N189" t="s">
        <v>1608</v>
      </c>
      <c r="O189" t="s">
        <v>1609</v>
      </c>
      <c r="P189" t="s">
        <v>1610</v>
      </c>
      <c r="R189" s="7">
        <v>36002</v>
      </c>
      <c r="T189" t="s">
        <v>119</v>
      </c>
      <c r="W189" s="15">
        <v>4.7680899999999999</v>
      </c>
      <c r="X189" s="15">
        <v>-73.327200000000005</v>
      </c>
      <c r="Y189">
        <v>340.38200000000001</v>
      </c>
      <c r="Z189">
        <v>809</v>
      </c>
      <c r="AB189" t="s">
        <v>1611</v>
      </c>
      <c r="AF189" t="s">
        <v>50</v>
      </c>
      <c r="AG189" t="s">
        <v>98</v>
      </c>
      <c r="AH189" t="s">
        <v>1612</v>
      </c>
      <c r="AI189" t="s">
        <v>1613</v>
      </c>
      <c r="AJ189">
        <v>199</v>
      </c>
    </row>
    <row r="190" spans="1:36">
      <c r="A190" t="s">
        <v>1464</v>
      </c>
      <c r="B190" t="s">
        <v>1465</v>
      </c>
      <c r="C190" t="s">
        <v>1614</v>
      </c>
      <c r="D190" t="s">
        <v>1615</v>
      </c>
      <c r="E190" t="s">
        <v>1616</v>
      </c>
      <c r="F190">
        <v>1400</v>
      </c>
      <c r="G190">
        <v>1400</v>
      </c>
      <c r="H190">
        <v>1400</v>
      </c>
      <c r="I190" t="s">
        <v>1617</v>
      </c>
      <c r="J190" t="s">
        <v>1618</v>
      </c>
      <c r="K190" t="s">
        <v>1619</v>
      </c>
      <c r="L190" t="s">
        <v>1620</v>
      </c>
      <c r="M190" t="s">
        <v>1621</v>
      </c>
      <c r="N190" t="s">
        <v>1622</v>
      </c>
      <c r="O190" t="s">
        <v>1623</v>
      </c>
      <c r="P190" t="s">
        <v>1624</v>
      </c>
      <c r="R190" s="7">
        <v>30205</v>
      </c>
      <c r="T190" t="s">
        <v>65</v>
      </c>
      <c r="W190" s="15">
        <v>1.8562917000000001</v>
      </c>
      <c r="X190" s="15">
        <v>-76.039391699999996</v>
      </c>
      <c r="AF190" t="s">
        <v>50</v>
      </c>
      <c r="AG190" t="s">
        <v>51</v>
      </c>
      <c r="AH190" t="s">
        <v>140</v>
      </c>
      <c r="AI190" t="s">
        <v>1625</v>
      </c>
      <c r="AJ190">
        <v>200</v>
      </c>
    </row>
    <row r="191" spans="1:36">
      <c r="A191" t="s">
        <v>1464</v>
      </c>
      <c r="B191" t="s">
        <v>1465</v>
      </c>
      <c r="C191" t="s">
        <v>1626</v>
      </c>
      <c r="D191" t="s">
        <v>1627</v>
      </c>
      <c r="E191" t="s">
        <v>1628</v>
      </c>
      <c r="F191">
        <v>1200</v>
      </c>
      <c r="G191">
        <v>1200</v>
      </c>
      <c r="H191">
        <v>1200</v>
      </c>
      <c r="I191" t="s">
        <v>1629</v>
      </c>
      <c r="J191" t="s">
        <v>1630</v>
      </c>
      <c r="K191" t="s">
        <v>1631</v>
      </c>
      <c r="L191" t="s">
        <v>1632</v>
      </c>
      <c r="M191" t="s">
        <v>1633</v>
      </c>
      <c r="N191" t="s">
        <v>1634</v>
      </c>
      <c r="O191" t="s">
        <v>1635</v>
      </c>
      <c r="P191" t="s">
        <v>1636</v>
      </c>
      <c r="R191" s="7">
        <v>30411</v>
      </c>
      <c r="T191" t="s">
        <v>119</v>
      </c>
      <c r="W191" s="15">
        <v>1.8038027999999999</v>
      </c>
      <c r="X191" s="15">
        <v>-75.889702799999995</v>
      </c>
      <c r="AF191" t="s">
        <v>50</v>
      </c>
      <c r="AG191" t="s">
        <v>51</v>
      </c>
      <c r="AH191" t="s">
        <v>1330</v>
      </c>
      <c r="AI191" t="s">
        <v>1637</v>
      </c>
      <c r="AJ191">
        <v>201</v>
      </c>
    </row>
    <row r="192" spans="1:36">
      <c r="A192" t="s">
        <v>1464</v>
      </c>
      <c r="B192" t="s">
        <v>1465</v>
      </c>
      <c r="C192" t="s">
        <v>1638</v>
      </c>
      <c r="D192" t="s">
        <v>1639</v>
      </c>
      <c r="E192" t="s">
        <v>1640</v>
      </c>
      <c r="F192">
        <v>1400</v>
      </c>
      <c r="G192">
        <v>1400</v>
      </c>
      <c r="H192">
        <v>1400</v>
      </c>
      <c r="I192" t="s">
        <v>1641</v>
      </c>
      <c r="J192" t="s">
        <v>1642</v>
      </c>
      <c r="K192" t="s">
        <v>1643</v>
      </c>
      <c r="L192" t="s">
        <v>1644</v>
      </c>
      <c r="M192" t="s">
        <v>1645</v>
      </c>
      <c r="N192" t="s">
        <v>1646</v>
      </c>
      <c r="O192" t="s">
        <v>1647</v>
      </c>
      <c r="P192" t="s">
        <v>1648</v>
      </c>
      <c r="R192" s="7">
        <v>33145</v>
      </c>
      <c r="T192" t="s">
        <v>65</v>
      </c>
      <c r="W192" s="15">
        <v>3.3769999999999998</v>
      </c>
      <c r="X192" s="15">
        <v>-74.802458299999998</v>
      </c>
      <c r="AF192" t="s">
        <v>50</v>
      </c>
      <c r="AG192" t="s">
        <v>51</v>
      </c>
      <c r="AH192" t="s">
        <v>50</v>
      </c>
      <c r="AI192" t="s">
        <v>1649</v>
      </c>
      <c r="AJ192">
        <v>202</v>
      </c>
    </row>
    <row r="193" spans="1:36">
      <c r="A193" t="s">
        <v>1464</v>
      </c>
      <c r="B193" t="s">
        <v>1465</v>
      </c>
      <c r="C193" t="s">
        <v>1638</v>
      </c>
      <c r="D193" t="s">
        <v>1650</v>
      </c>
      <c r="E193" t="s">
        <v>1640</v>
      </c>
      <c r="F193">
        <v>1400</v>
      </c>
      <c r="G193">
        <v>1400</v>
      </c>
      <c r="H193">
        <v>1400</v>
      </c>
      <c r="I193" t="s">
        <v>1641</v>
      </c>
      <c r="J193" t="s">
        <v>1642</v>
      </c>
      <c r="K193" t="s">
        <v>1643</v>
      </c>
      <c r="L193" t="s">
        <v>1644</v>
      </c>
      <c r="M193" t="s">
        <v>1645</v>
      </c>
      <c r="N193" t="s">
        <v>1646</v>
      </c>
      <c r="O193" t="s">
        <v>1647</v>
      </c>
      <c r="P193" t="s">
        <v>1648</v>
      </c>
      <c r="R193" s="7">
        <v>33145</v>
      </c>
      <c r="T193" t="s">
        <v>65</v>
      </c>
      <c r="W193" s="15">
        <v>3.3769999999999998</v>
      </c>
      <c r="X193" s="15">
        <v>-74.802458299999998</v>
      </c>
      <c r="AF193" t="s">
        <v>50</v>
      </c>
      <c r="AG193" t="s">
        <v>51</v>
      </c>
      <c r="AH193" t="s">
        <v>50</v>
      </c>
      <c r="AI193" t="s">
        <v>1649</v>
      </c>
      <c r="AJ193">
        <v>203</v>
      </c>
    </row>
    <row r="194" spans="1:36">
      <c r="A194" t="s">
        <v>1464</v>
      </c>
      <c r="B194" t="s">
        <v>1465</v>
      </c>
      <c r="C194" t="s">
        <v>1651</v>
      </c>
      <c r="D194" t="s">
        <v>1652</v>
      </c>
      <c r="E194" t="s">
        <v>1653</v>
      </c>
      <c r="F194">
        <v>1150</v>
      </c>
      <c r="G194">
        <v>1150</v>
      </c>
      <c r="H194">
        <v>1150</v>
      </c>
      <c r="I194" t="s">
        <v>1654</v>
      </c>
      <c r="J194" t="s">
        <v>1655</v>
      </c>
      <c r="K194" t="s">
        <v>1656</v>
      </c>
      <c r="L194" t="s">
        <v>1657</v>
      </c>
      <c r="M194" t="s">
        <v>1658</v>
      </c>
      <c r="N194" t="s">
        <v>1659</v>
      </c>
      <c r="O194" t="s">
        <v>1660</v>
      </c>
      <c r="P194" t="s">
        <v>1661</v>
      </c>
      <c r="R194" s="7">
        <v>32948</v>
      </c>
      <c r="T194" t="s">
        <v>119</v>
      </c>
      <c r="W194" s="15">
        <v>1.2519499999999999</v>
      </c>
      <c r="X194" s="15">
        <v>-77.996679999999998</v>
      </c>
      <c r="Y194">
        <v>1684.6179999999999</v>
      </c>
      <c r="Z194">
        <v>1496</v>
      </c>
      <c r="AB194" t="s">
        <v>1662</v>
      </c>
      <c r="AF194" t="s">
        <v>50</v>
      </c>
      <c r="AG194" t="s">
        <v>127</v>
      </c>
      <c r="AH194" t="s">
        <v>652</v>
      </c>
      <c r="AI194" t="s">
        <v>1663</v>
      </c>
      <c r="AJ194">
        <v>205</v>
      </c>
    </row>
    <row r="195" spans="1:36">
      <c r="A195" t="s">
        <v>1464</v>
      </c>
      <c r="B195" t="s">
        <v>1465</v>
      </c>
      <c r="C195" t="s">
        <v>1664</v>
      </c>
      <c r="D195" t="s">
        <v>1564</v>
      </c>
      <c r="E195" t="s">
        <v>1665</v>
      </c>
      <c r="F195">
        <v>1950</v>
      </c>
      <c r="G195">
        <v>1950</v>
      </c>
      <c r="H195">
        <v>1950</v>
      </c>
      <c r="I195" t="s">
        <v>1666</v>
      </c>
      <c r="J195" t="s">
        <v>1667</v>
      </c>
      <c r="K195" t="s">
        <v>1668</v>
      </c>
      <c r="L195" t="s">
        <v>1669</v>
      </c>
      <c r="M195" t="s">
        <v>1670</v>
      </c>
      <c r="N195" t="s">
        <v>315</v>
      </c>
      <c r="O195" t="s">
        <v>316</v>
      </c>
      <c r="P195" t="s">
        <v>317</v>
      </c>
      <c r="R195" s="7">
        <v>40014</v>
      </c>
      <c r="T195" t="s">
        <v>119</v>
      </c>
      <c r="W195" s="15">
        <v>4.6857300000000004</v>
      </c>
      <c r="X195" s="15">
        <v>-75.578029999999998</v>
      </c>
      <c r="Y195">
        <v>5540.5119999999997</v>
      </c>
      <c r="Z195">
        <v>2087</v>
      </c>
      <c r="AB195" t="s">
        <v>1153</v>
      </c>
      <c r="AF195" t="s">
        <v>50</v>
      </c>
      <c r="AG195" t="s">
        <v>1671</v>
      </c>
      <c r="AH195" t="s">
        <v>803</v>
      </c>
      <c r="AI195" t="s">
        <v>1672</v>
      </c>
      <c r="AJ195">
        <v>206</v>
      </c>
    </row>
    <row r="196" spans="1:36">
      <c r="A196" t="s">
        <v>1464</v>
      </c>
      <c r="B196" t="s">
        <v>1465</v>
      </c>
      <c r="C196" t="s">
        <v>1673</v>
      </c>
      <c r="D196" t="s">
        <v>1674</v>
      </c>
      <c r="E196" t="s">
        <v>1675</v>
      </c>
      <c r="P196" t="s">
        <v>80</v>
      </c>
      <c r="R196" s="7">
        <v>24733</v>
      </c>
      <c r="T196" t="s">
        <v>119</v>
      </c>
      <c r="W196" s="15">
        <v>3.6387900000000002</v>
      </c>
      <c r="X196" s="15">
        <v>-77.006979999999999</v>
      </c>
      <c r="Y196">
        <v>4951.4979999999996</v>
      </c>
      <c r="Z196">
        <v>98</v>
      </c>
      <c r="AA196" t="s">
        <v>1676</v>
      </c>
      <c r="AB196" t="s">
        <v>1677</v>
      </c>
      <c r="AF196" t="s">
        <v>50</v>
      </c>
      <c r="AG196" t="s">
        <v>83</v>
      </c>
      <c r="AH196" t="s">
        <v>1678</v>
      </c>
      <c r="AI196" t="s">
        <v>1679</v>
      </c>
      <c r="AJ196">
        <v>207</v>
      </c>
    </row>
    <row r="197" spans="1:36">
      <c r="A197" t="s">
        <v>1680</v>
      </c>
      <c r="B197" t="s">
        <v>1681</v>
      </c>
      <c r="C197" t="s">
        <v>1682</v>
      </c>
      <c r="D197" t="s">
        <v>1683</v>
      </c>
      <c r="E197" t="s">
        <v>1684</v>
      </c>
      <c r="F197">
        <v>3460</v>
      </c>
      <c r="G197">
        <v>3460</v>
      </c>
      <c r="H197">
        <v>3460</v>
      </c>
      <c r="P197" t="s">
        <v>80</v>
      </c>
      <c r="R197" s="7">
        <v>30895</v>
      </c>
      <c r="W197" s="15">
        <v>6.4375799999999996</v>
      </c>
      <c r="X197" s="15">
        <v>-76.115899999999996</v>
      </c>
      <c r="Y197">
        <v>7088.2489999999998</v>
      </c>
      <c r="Z197">
        <v>2463</v>
      </c>
      <c r="AB197" t="s">
        <v>1683</v>
      </c>
      <c r="AF197" t="s">
        <v>50</v>
      </c>
      <c r="AG197" t="s">
        <v>402</v>
      </c>
      <c r="AH197" t="s">
        <v>1685</v>
      </c>
      <c r="AI197" t="s">
        <v>1686</v>
      </c>
      <c r="AJ197">
        <v>208</v>
      </c>
    </row>
    <row r="198" spans="1:36">
      <c r="A198" t="s">
        <v>1680</v>
      </c>
      <c r="B198" t="s">
        <v>1681</v>
      </c>
      <c r="C198" t="s">
        <v>1687</v>
      </c>
      <c r="D198" t="s">
        <v>1688</v>
      </c>
      <c r="E198" t="s">
        <v>1689</v>
      </c>
      <c r="F198">
        <v>3540</v>
      </c>
      <c r="G198">
        <v>3540</v>
      </c>
      <c r="H198">
        <v>3540</v>
      </c>
      <c r="I198" t="s">
        <v>1690</v>
      </c>
      <c r="J198" t="s">
        <v>1691</v>
      </c>
      <c r="K198" t="s">
        <v>1692</v>
      </c>
      <c r="L198" t="s">
        <v>1693</v>
      </c>
      <c r="M198" t="s">
        <v>1694</v>
      </c>
      <c r="N198" t="s">
        <v>1695</v>
      </c>
      <c r="O198" t="s">
        <v>1696</v>
      </c>
      <c r="P198" t="s">
        <v>1697</v>
      </c>
      <c r="R198" s="7">
        <v>36775</v>
      </c>
      <c r="W198" s="15">
        <v>6.5</v>
      </c>
      <c r="X198" s="15">
        <v>-76.116666699999996</v>
      </c>
      <c r="AF198" t="s">
        <v>50</v>
      </c>
      <c r="AG198" t="s">
        <v>402</v>
      </c>
      <c r="AH198" t="s">
        <v>1685</v>
      </c>
      <c r="AI198" t="s">
        <v>1698</v>
      </c>
      <c r="AJ198">
        <v>209</v>
      </c>
    </row>
    <row r="199" spans="1:36">
      <c r="A199" t="s">
        <v>1680</v>
      </c>
      <c r="B199" t="s">
        <v>1681</v>
      </c>
      <c r="C199" t="s">
        <v>1699</v>
      </c>
      <c r="D199" t="s">
        <v>1700</v>
      </c>
      <c r="E199" t="s">
        <v>1701</v>
      </c>
      <c r="F199">
        <v>3290</v>
      </c>
      <c r="G199">
        <v>3290</v>
      </c>
      <c r="H199">
        <v>3290</v>
      </c>
      <c r="I199" t="s">
        <v>1702</v>
      </c>
      <c r="J199" t="s">
        <v>1703</v>
      </c>
      <c r="K199" t="s">
        <v>1704</v>
      </c>
      <c r="L199" t="s">
        <v>1705</v>
      </c>
      <c r="M199" t="s">
        <v>1706</v>
      </c>
      <c r="N199" t="s">
        <v>1707</v>
      </c>
      <c r="O199" t="s">
        <v>1708</v>
      </c>
      <c r="P199" t="s">
        <v>1709</v>
      </c>
      <c r="R199" s="7">
        <v>37404</v>
      </c>
      <c r="T199" t="s">
        <v>119</v>
      </c>
      <c r="W199" s="15">
        <v>6.6858611000000003</v>
      </c>
      <c r="X199" s="15">
        <v>-75.674888899999999</v>
      </c>
      <c r="AF199" t="s">
        <v>50</v>
      </c>
      <c r="AG199" t="s">
        <v>402</v>
      </c>
      <c r="AH199" t="s">
        <v>1710</v>
      </c>
      <c r="AI199" t="s">
        <v>1711</v>
      </c>
      <c r="AJ199">
        <v>210</v>
      </c>
    </row>
    <row r="200" spans="1:36">
      <c r="A200" t="s">
        <v>1680</v>
      </c>
      <c r="B200" t="s">
        <v>1681</v>
      </c>
      <c r="C200" t="s">
        <v>1699</v>
      </c>
      <c r="D200" t="s">
        <v>1712</v>
      </c>
      <c r="E200" t="s">
        <v>1701</v>
      </c>
      <c r="F200">
        <v>3290</v>
      </c>
      <c r="G200">
        <v>3290</v>
      </c>
      <c r="H200">
        <v>3290</v>
      </c>
      <c r="I200" t="s">
        <v>1702</v>
      </c>
      <c r="J200" t="s">
        <v>1703</v>
      </c>
      <c r="K200" t="s">
        <v>1704</v>
      </c>
      <c r="L200" t="s">
        <v>1705</v>
      </c>
      <c r="M200" t="s">
        <v>1706</v>
      </c>
      <c r="N200" t="s">
        <v>1707</v>
      </c>
      <c r="O200" t="s">
        <v>1708</v>
      </c>
      <c r="P200" t="s">
        <v>1709</v>
      </c>
      <c r="R200" s="7">
        <v>37404</v>
      </c>
      <c r="T200" t="s">
        <v>119</v>
      </c>
      <c r="W200" s="15">
        <v>6.6858611000000003</v>
      </c>
      <c r="X200" s="15">
        <v>-75.674888899999999</v>
      </c>
      <c r="AF200" t="s">
        <v>50</v>
      </c>
      <c r="AG200" t="s">
        <v>402</v>
      </c>
      <c r="AH200" t="s">
        <v>1710</v>
      </c>
      <c r="AI200" t="s">
        <v>1711</v>
      </c>
      <c r="AJ200">
        <v>211</v>
      </c>
    </row>
    <row r="201" spans="1:36">
      <c r="A201" t="s">
        <v>1680</v>
      </c>
      <c r="B201" t="s">
        <v>1681</v>
      </c>
      <c r="C201" t="s">
        <v>1713</v>
      </c>
      <c r="D201" t="s">
        <v>1714</v>
      </c>
      <c r="E201" t="s">
        <v>1715</v>
      </c>
      <c r="F201">
        <v>3110</v>
      </c>
      <c r="G201">
        <v>3110</v>
      </c>
      <c r="H201">
        <v>3110</v>
      </c>
      <c r="I201" t="s">
        <v>1716</v>
      </c>
      <c r="J201" t="s">
        <v>1717</v>
      </c>
      <c r="K201" t="s">
        <v>1718</v>
      </c>
      <c r="L201" t="s">
        <v>1719</v>
      </c>
      <c r="M201" t="s">
        <v>1720</v>
      </c>
      <c r="N201" t="s">
        <v>1721</v>
      </c>
      <c r="O201" t="s">
        <v>1722</v>
      </c>
      <c r="P201" t="s">
        <v>1723</v>
      </c>
      <c r="R201" s="7">
        <v>37460</v>
      </c>
      <c r="W201" s="15">
        <v>6.7717499999999999</v>
      </c>
      <c r="X201" s="15">
        <v>-75.694694400000003</v>
      </c>
      <c r="AF201" t="s">
        <v>50</v>
      </c>
      <c r="AG201" t="s">
        <v>402</v>
      </c>
      <c r="AH201" t="s">
        <v>1724</v>
      </c>
      <c r="AI201" t="s">
        <v>1725</v>
      </c>
      <c r="AJ201">
        <v>213</v>
      </c>
    </row>
    <row r="202" spans="1:36">
      <c r="A202" t="s">
        <v>1680</v>
      </c>
      <c r="B202" t="s">
        <v>1681</v>
      </c>
      <c r="C202" t="s">
        <v>1726</v>
      </c>
      <c r="D202" t="s">
        <v>1714</v>
      </c>
      <c r="E202" t="s">
        <v>1727</v>
      </c>
      <c r="F202">
        <v>3110</v>
      </c>
      <c r="G202">
        <v>3110</v>
      </c>
      <c r="H202">
        <v>3110</v>
      </c>
      <c r="I202" t="s">
        <v>1716</v>
      </c>
      <c r="J202" t="s">
        <v>1717</v>
      </c>
      <c r="K202" t="s">
        <v>1718</v>
      </c>
      <c r="L202" t="s">
        <v>1719</v>
      </c>
      <c r="M202" t="s">
        <v>1720</v>
      </c>
      <c r="N202" t="s">
        <v>1721</v>
      </c>
      <c r="O202" t="s">
        <v>1722</v>
      </c>
      <c r="P202" t="s">
        <v>1723</v>
      </c>
      <c r="R202" s="7">
        <v>37460</v>
      </c>
      <c r="T202" t="s">
        <v>119</v>
      </c>
      <c r="W202" s="15">
        <v>6.7717499999999999</v>
      </c>
      <c r="X202" s="15">
        <v>-75.694694400000003</v>
      </c>
      <c r="AF202" t="s">
        <v>50</v>
      </c>
      <c r="AG202" t="s">
        <v>402</v>
      </c>
      <c r="AH202" t="s">
        <v>1728</v>
      </c>
      <c r="AI202" t="s">
        <v>1729</v>
      </c>
      <c r="AJ202">
        <v>214</v>
      </c>
    </row>
    <row r="203" spans="1:36">
      <c r="A203" t="s">
        <v>1680</v>
      </c>
      <c r="B203" t="s">
        <v>1681</v>
      </c>
      <c r="C203" t="s">
        <v>1730</v>
      </c>
      <c r="D203" t="s">
        <v>1731</v>
      </c>
      <c r="E203" t="s">
        <v>1732</v>
      </c>
      <c r="F203">
        <v>3400</v>
      </c>
      <c r="G203">
        <v>3400</v>
      </c>
      <c r="H203">
        <v>3400</v>
      </c>
      <c r="I203" t="s">
        <v>1733</v>
      </c>
      <c r="J203" t="s">
        <v>1734</v>
      </c>
      <c r="K203" t="s">
        <v>1735</v>
      </c>
      <c r="L203" t="s">
        <v>1736</v>
      </c>
      <c r="M203" t="s">
        <v>1737</v>
      </c>
      <c r="N203" t="s">
        <v>1738</v>
      </c>
      <c r="O203" t="s">
        <v>1739</v>
      </c>
      <c r="P203" t="s">
        <v>1740</v>
      </c>
      <c r="R203" s="7">
        <v>14735</v>
      </c>
      <c r="T203" t="s">
        <v>119</v>
      </c>
      <c r="W203" s="15">
        <v>5.0000194000000002</v>
      </c>
      <c r="X203" s="15">
        <v>-75.349983300000005</v>
      </c>
      <c r="AF203" t="s">
        <v>50</v>
      </c>
      <c r="AG203" t="s">
        <v>167</v>
      </c>
      <c r="AH203" t="s">
        <v>1741</v>
      </c>
      <c r="AI203" t="s">
        <v>1742</v>
      </c>
      <c r="AJ203">
        <v>215</v>
      </c>
    </row>
    <row r="204" spans="1:36">
      <c r="A204" t="s">
        <v>1680</v>
      </c>
      <c r="B204" t="s">
        <v>1681</v>
      </c>
      <c r="C204" t="s">
        <v>1743</v>
      </c>
      <c r="D204" t="s">
        <v>1744</v>
      </c>
      <c r="E204" t="s">
        <v>1745</v>
      </c>
      <c r="F204">
        <v>3000</v>
      </c>
      <c r="G204">
        <v>3000</v>
      </c>
      <c r="H204">
        <v>3000</v>
      </c>
      <c r="I204" t="s">
        <v>1746</v>
      </c>
      <c r="J204" t="s">
        <v>1747</v>
      </c>
      <c r="K204" t="s">
        <v>1748</v>
      </c>
      <c r="L204" t="s">
        <v>1749</v>
      </c>
      <c r="M204" t="s">
        <v>1750</v>
      </c>
      <c r="N204" t="s">
        <v>1751</v>
      </c>
      <c r="O204" t="s">
        <v>1752</v>
      </c>
      <c r="P204" t="s">
        <v>1753</v>
      </c>
      <c r="R204" s="7">
        <v>21402</v>
      </c>
      <c r="T204" t="s">
        <v>119</v>
      </c>
      <c r="W204" s="15">
        <v>4.9817666999999997</v>
      </c>
      <c r="X204" s="15">
        <v>-75.360238899999999</v>
      </c>
      <c r="AF204" t="s">
        <v>50</v>
      </c>
      <c r="AG204" t="s">
        <v>167</v>
      </c>
      <c r="AH204" t="s">
        <v>1754</v>
      </c>
      <c r="AI204" t="s">
        <v>1755</v>
      </c>
      <c r="AJ204">
        <v>216</v>
      </c>
    </row>
    <row r="205" spans="1:36">
      <c r="A205" t="s">
        <v>1680</v>
      </c>
      <c r="B205" t="s">
        <v>1681</v>
      </c>
      <c r="C205" t="s">
        <v>1756</v>
      </c>
      <c r="D205" t="s">
        <v>1757</v>
      </c>
      <c r="E205" t="s">
        <v>1758</v>
      </c>
      <c r="F205">
        <v>3240</v>
      </c>
      <c r="G205">
        <v>3240</v>
      </c>
      <c r="H205">
        <v>3240</v>
      </c>
      <c r="I205" t="s">
        <v>1733</v>
      </c>
      <c r="J205" t="s">
        <v>1734</v>
      </c>
      <c r="K205" t="s">
        <v>1735</v>
      </c>
      <c r="L205" t="s">
        <v>1736</v>
      </c>
      <c r="M205" t="s">
        <v>1737</v>
      </c>
      <c r="N205" t="s">
        <v>1738</v>
      </c>
      <c r="O205" t="s">
        <v>1739</v>
      </c>
      <c r="P205" t="s">
        <v>1740</v>
      </c>
      <c r="R205" s="7">
        <v>21736</v>
      </c>
      <c r="W205" s="15">
        <v>5.0000194000000002</v>
      </c>
      <c r="X205" s="15">
        <v>-75.349983300000005</v>
      </c>
      <c r="AF205" t="s">
        <v>50</v>
      </c>
      <c r="AG205" t="s">
        <v>167</v>
      </c>
      <c r="AH205" t="s">
        <v>1759</v>
      </c>
      <c r="AI205" t="s">
        <v>1760</v>
      </c>
      <c r="AJ205">
        <v>217</v>
      </c>
    </row>
    <row r="206" spans="1:36">
      <c r="A206" t="s">
        <v>1680</v>
      </c>
      <c r="B206" t="s">
        <v>1681</v>
      </c>
      <c r="C206" t="s">
        <v>1761</v>
      </c>
      <c r="D206" t="s">
        <v>1762</v>
      </c>
      <c r="E206" t="s">
        <v>1763</v>
      </c>
      <c r="I206" t="s">
        <v>1733</v>
      </c>
      <c r="J206" t="s">
        <v>1734</v>
      </c>
      <c r="K206" t="s">
        <v>1735</v>
      </c>
      <c r="L206" t="s">
        <v>1736</v>
      </c>
      <c r="M206" t="s">
        <v>1737</v>
      </c>
      <c r="N206" t="s">
        <v>1738</v>
      </c>
      <c r="O206" t="s">
        <v>1739</v>
      </c>
      <c r="P206" t="s">
        <v>1740</v>
      </c>
      <c r="R206" s="7">
        <v>22576</v>
      </c>
      <c r="W206" s="15">
        <v>5.0000194000000002</v>
      </c>
      <c r="X206" s="15">
        <v>-75.349983300000005</v>
      </c>
      <c r="AF206" t="s">
        <v>50</v>
      </c>
      <c r="AG206" t="s">
        <v>167</v>
      </c>
      <c r="AH206" t="s">
        <v>1764</v>
      </c>
      <c r="AJ206">
        <v>218</v>
      </c>
    </row>
    <row r="207" spans="1:36">
      <c r="A207" t="s">
        <v>1680</v>
      </c>
      <c r="B207" t="s">
        <v>1681</v>
      </c>
      <c r="C207" t="s">
        <v>1765</v>
      </c>
      <c r="D207" t="s">
        <v>1766</v>
      </c>
      <c r="E207" t="s">
        <v>1767</v>
      </c>
      <c r="F207" t="s">
        <v>1768</v>
      </c>
      <c r="G207">
        <v>3000</v>
      </c>
      <c r="H207">
        <v>3500</v>
      </c>
      <c r="I207" t="s">
        <v>1733</v>
      </c>
      <c r="J207" t="s">
        <v>1734</v>
      </c>
      <c r="K207" t="s">
        <v>1735</v>
      </c>
      <c r="L207" t="s">
        <v>1736</v>
      </c>
      <c r="M207" t="s">
        <v>1737</v>
      </c>
      <c r="N207" t="s">
        <v>1738</v>
      </c>
      <c r="O207" t="s">
        <v>1739</v>
      </c>
      <c r="P207" t="s">
        <v>1740</v>
      </c>
      <c r="R207" s="7">
        <v>24266</v>
      </c>
      <c r="W207" s="15">
        <v>5.0000194000000002</v>
      </c>
      <c r="X207" s="15">
        <v>-75.349983300000005</v>
      </c>
      <c r="AF207" t="s">
        <v>50</v>
      </c>
      <c r="AG207" t="s">
        <v>167</v>
      </c>
      <c r="AH207" t="s">
        <v>1769</v>
      </c>
      <c r="AJ207">
        <v>219</v>
      </c>
    </row>
    <row r="208" spans="1:36">
      <c r="A208" t="s">
        <v>1680</v>
      </c>
      <c r="B208" t="s">
        <v>1681</v>
      </c>
      <c r="C208" t="s">
        <v>1770</v>
      </c>
      <c r="D208" t="s">
        <v>1771</v>
      </c>
      <c r="E208" t="s">
        <v>1772</v>
      </c>
      <c r="F208">
        <v>2650</v>
      </c>
      <c r="G208">
        <v>2650</v>
      </c>
      <c r="H208">
        <v>2650</v>
      </c>
      <c r="P208" t="s">
        <v>80</v>
      </c>
      <c r="R208" s="7">
        <v>31350</v>
      </c>
      <c r="T208" t="s">
        <v>119</v>
      </c>
      <c r="W208" s="15">
        <v>5.0310300000000003</v>
      </c>
      <c r="X208" s="15">
        <v>-75.511129999999994</v>
      </c>
      <c r="Y208">
        <v>495.93400000000003</v>
      </c>
      <c r="Z208">
        <v>2018</v>
      </c>
      <c r="AB208" t="s">
        <v>992</v>
      </c>
      <c r="AF208" t="s">
        <v>50</v>
      </c>
      <c r="AG208" t="s">
        <v>167</v>
      </c>
      <c r="AH208" t="s">
        <v>993</v>
      </c>
      <c r="AI208" t="s">
        <v>1773</v>
      </c>
      <c r="AJ208">
        <v>221</v>
      </c>
    </row>
    <row r="209" spans="1:36">
      <c r="A209" t="s">
        <v>1680</v>
      </c>
      <c r="B209" t="s">
        <v>1681</v>
      </c>
      <c r="C209" t="s">
        <v>1774</v>
      </c>
      <c r="D209" t="s">
        <v>1775</v>
      </c>
      <c r="E209" t="s">
        <v>1776</v>
      </c>
      <c r="F209">
        <v>3734</v>
      </c>
      <c r="G209">
        <v>3734</v>
      </c>
      <c r="H209">
        <v>3734</v>
      </c>
      <c r="I209" t="s">
        <v>1777</v>
      </c>
      <c r="J209" t="s">
        <v>1778</v>
      </c>
      <c r="K209" t="s">
        <v>1779</v>
      </c>
      <c r="L209" t="s">
        <v>1780</v>
      </c>
      <c r="M209" t="s">
        <v>1781</v>
      </c>
      <c r="N209" t="s">
        <v>1782</v>
      </c>
      <c r="O209" t="s">
        <v>1783</v>
      </c>
      <c r="P209" t="s">
        <v>1784</v>
      </c>
      <c r="R209" s="7">
        <v>38198</v>
      </c>
      <c r="T209" t="s">
        <v>119</v>
      </c>
      <c r="W209" s="15">
        <v>5.0586389</v>
      </c>
      <c r="X209" s="15">
        <v>-75.383444400000002</v>
      </c>
      <c r="AF209" t="s">
        <v>50</v>
      </c>
      <c r="AG209" t="s">
        <v>167</v>
      </c>
      <c r="AH209" t="s">
        <v>168</v>
      </c>
      <c r="AI209" t="s">
        <v>1785</v>
      </c>
      <c r="AJ209">
        <v>222</v>
      </c>
    </row>
    <row r="210" spans="1:36">
      <c r="A210" t="s">
        <v>1680</v>
      </c>
      <c r="B210" t="s">
        <v>1681</v>
      </c>
      <c r="C210" t="s">
        <v>1786</v>
      </c>
      <c r="D210" t="s">
        <v>1787</v>
      </c>
      <c r="E210" t="s">
        <v>1788</v>
      </c>
      <c r="F210">
        <v>3677</v>
      </c>
      <c r="G210">
        <v>3677</v>
      </c>
      <c r="H210">
        <v>3677</v>
      </c>
      <c r="I210" t="s">
        <v>1789</v>
      </c>
      <c r="J210" t="s">
        <v>1790</v>
      </c>
      <c r="K210" t="s">
        <v>1779</v>
      </c>
      <c r="L210" t="s">
        <v>1780</v>
      </c>
      <c r="M210" t="s">
        <v>1791</v>
      </c>
      <c r="N210" t="s">
        <v>1792</v>
      </c>
      <c r="O210" t="s">
        <v>1783</v>
      </c>
      <c r="P210" t="s">
        <v>1793</v>
      </c>
      <c r="R210" s="7">
        <v>38198</v>
      </c>
      <c r="T210" t="s">
        <v>119</v>
      </c>
      <c r="W210" s="15">
        <v>5.0039167000000004</v>
      </c>
      <c r="X210" s="15">
        <v>-75.383444400000002</v>
      </c>
      <c r="AF210" t="s">
        <v>50</v>
      </c>
      <c r="AG210" t="s">
        <v>167</v>
      </c>
      <c r="AH210" t="s">
        <v>1794</v>
      </c>
      <c r="AI210" t="s">
        <v>1795</v>
      </c>
      <c r="AJ210">
        <v>223</v>
      </c>
    </row>
    <row r="211" spans="1:36">
      <c r="A211" t="s">
        <v>1680</v>
      </c>
      <c r="B211" t="s">
        <v>1681</v>
      </c>
      <c r="C211" t="s">
        <v>1796</v>
      </c>
      <c r="D211" t="s">
        <v>1797</v>
      </c>
      <c r="E211" t="s">
        <v>1798</v>
      </c>
      <c r="F211">
        <v>3580</v>
      </c>
      <c r="G211">
        <v>3580</v>
      </c>
      <c r="H211">
        <v>3580</v>
      </c>
      <c r="I211" t="s">
        <v>1799</v>
      </c>
      <c r="J211" t="s">
        <v>1800</v>
      </c>
      <c r="K211" t="s">
        <v>1801</v>
      </c>
      <c r="L211" t="s">
        <v>1802</v>
      </c>
      <c r="M211" t="s">
        <v>1803</v>
      </c>
      <c r="P211" t="s">
        <v>80</v>
      </c>
      <c r="R211" s="7">
        <v>38594</v>
      </c>
      <c r="W211" s="15">
        <v>4.9722</v>
      </c>
      <c r="X211" s="15">
        <v>-75.380589999999998</v>
      </c>
      <c r="Y211">
        <v>615.61400000000003</v>
      </c>
      <c r="Z211">
        <v>3513</v>
      </c>
      <c r="AB211" t="s">
        <v>1804</v>
      </c>
      <c r="AF211" t="s">
        <v>50</v>
      </c>
      <c r="AG211" t="s">
        <v>167</v>
      </c>
      <c r="AH211" t="s">
        <v>1805</v>
      </c>
      <c r="AI211" t="s">
        <v>1806</v>
      </c>
      <c r="AJ211">
        <v>224</v>
      </c>
    </row>
    <row r="212" spans="1:36">
      <c r="A212" t="s">
        <v>1680</v>
      </c>
      <c r="B212" t="s">
        <v>1681</v>
      </c>
      <c r="C212" t="s">
        <v>1807</v>
      </c>
      <c r="D212" t="s">
        <v>1808</v>
      </c>
      <c r="E212" t="s">
        <v>1809</v>
      </c>
      <c r="F212">
        <v>3680</v>
      </c>
      <c r="G212">
        <v>3680</v>
      </c>
      <c r="H212">
        <v>3680</v>
      </c>
      <c r="I212" t="s">
        <v>1810</v>
      </c>
      <c r="J212" t="s">
        <v>1811</v>
      </c>
      <c r="K212" t="s">
        <v>1812</v>
      </c>
      <c r="L212" t="s">
        <v>1813</v>
      </c>
      <c r="M212" t="s">
        <v>1814</v>
      </c>
      <c r="N212" t="s">
        <v>1815</v>
      </c>
      <c r="O212" t="s">
        <v>1816</v>
      </c>
      <c r="P212" t="s">
        <v>1817</v>
      </c>
      <c r="R212" s="7">
        <v>38937</v>
      </c>
      <c r="W212" s="15">
        <v>4.9652778</v>
      </c>
      <c r="X212" s="15">
        <v>-75.368250000000003</v>
      </c>
      <c r="AF212" t="s">
        <v>50</v>
      </c>
      <c r="AG212" t="s">
        <v>167</v>
      </c>
      <c r="AH212" t="s">
        <v>1818</v>
      </c>
      <c r="AJ212">
        <v>225</v>
      </c>
    </row>
    <row r="213" spans="1:36">
      <c r="A213" t="s">
        <v>1680</v>
      </c>
      <c r="B213" t="s">
        <v>1681</v>
      </c>
      <c r="C213" t="s">
        <v>1819</v>
      </c>
      <c r="D213" t="s">
        <v>1820</v>
      </c>
      <c r="E213" t="s">
        <v>1821</v>
      </c>
      <c r="F213">
        <v>3000</v>
      </c>
      <c r="G213">
        <v>3000</v>
      </c>
      <c r="H213">
        <v>3000</v>
      </c>
      <c r="P213" t="s">
        <v>80</v>
      </c>
      <c r="R213" s="7">
        <v>39693</v>
      </c>
      <c r="T213" t="s">
        <v>119</v>
      </c>
      <c r="W213" s="15">
        <v>5.3832899999999997</v>
      </c>
      <c r="X213" s="15">
        <v>-75.353309999999993</v>
      </c>
      <c r="Y213">
        <v>1469.046</v>
      </c>
      <c r="Z213">
        <v>2946</v>
      </c>
      <c r="AB213" t="s">
        <v>1822</v>
      </c>
      <c r="AF213" t="s">
        <v>50</v>
      </c>
      <c r="AG213" t="s">
        <v>167</v>
      </c>
      <c r="AH213" t="s">
        <v>1823</v>
      </c>
      <c r="AI213" t="s">
        <v>1824</v>
      </c>
      <c r="AJ213">
        <v>226</v>
      </c>
    </row>
    <row r="214" spans="1:36">
      <c r="A214" t="s">
        <v>1680</v>
      </c>
      <c r="B214" t="s">
        <v>1681</v>
      </c>
      <c r="C214" t="s">
        <v>1825</v>
      </c>
      <c r="D214" t="s">
        <v>1820</v>
      </c>
      <c r="E214" t="s">
        <v>1826</v>
      </c>
      <c r="F214">
        <v>3808</v>
      </c>
      <c r="G214">
        <v>3808</v>
      </c>
      <c r="H214">
        <v>3808</v>
      </c>
      <c r="I214" t="s">
        <v>1827</v>
      </c>
      <c r="J214" t="s">
        <v>1828</v>
      </c>
      <c r="K214" t="s">
        <v>1829</v>
      </c>
      <c r="L214" t="s">
        <v>1830</v>
      </c>
      <c r="M214" t="s">
        <v>1831</v>
      </c>
      <c r="N214" t="s">
        <v>1832</v>
      </c>
      <c r="O214" t="s">
        <v>1833</v>
      </c>
      <c r="P214" t="s">
        <v>1834</v>
      </c>
      <c r="R214" s="7">
        <v>39955</v>
      </c>
      <c r="T214" t="s">
        <v>119</v>
      </c>
      <c r="W214" s="15">
        <v>5.0627500000000003</v>
      </c>
      <c r="X214" s="15">
        <v>-75.382388899999995</v>
      </c>
      <c r="AF214" t="s">
        <v>50</v>
      </c>
      <c r="AG214" t="s">
        <v>167</v>
      </c>
      <c r="AH214" t="s">
        <v>168</v>
      </c>
      <c r="AI214" t="s">
        <v>1835</v>
      </c>
      <c r="AJ214">
        <v>227</v>
      </c>
    </row>
    <row r="215" spans="1:36">
      <c r="A215" t="s">
        <v>1680</v>
      </c>
      <c r="B215" t="s">
        <v>1681</v>
      </c>
      <c r="C215" t="s">
        <v>1836</v>
      </c>
      <c r="D215" t="s">
        <v>1837</v>
      </c>
      <c r="E215" t="s">
        <v>1838</v>
      </c>
      <c r="F215">
        <v>3083</v>
      </c>
      <c r="G215">
        <v>3083</v>
      </c>
      <c r="H215">
        <v>3083</v>
      </c>
      <c r="I215" t="s">
        <v>1839</v>
      </c>
      <c r="J215" t="s">
        <v>1840</v>
      </c>
      <c r="K215" t="s">
        <v>1841</v>
      </c>
      <c r="L215" t="s">
        <v>1842</v>
      </c>
      <c r="M215" t="s">
        <v>1843</v>
      </c>
      <c r="P215" t="s">
        <v>80</v>
      </c>
      <c r="R215" s="7">
        <v>40576</v>
      </c>
      <c r="T215" t="s">
        <v>119</v>
      </c>
      <c r="W215" s="15">
        <v>5.3704499999999999</v>
      </c>
      <c r="X215" s="15">
        <v>-75.385949999999994</v>
      </c>
      <c r="Y215">
        <v>5096.4889999999996</v>
      </c>
      <c r="Z215">
        <v>2888</v>
      </c>
      <c r="AB215" t="s">
        <v>1844</v>
      </c>
      <c r="AF215" t="s">
        <v>50</v>
      </c>
      <c r="AG215" t="s">
        <v>167</v>
      </c>
      <c r="AH215" t="s">
        <v>1823</v>
      </c>
      <c r="AI215" t="s">
        <v>1845</v>
      </c>
      <c r="AJ215">
        <v>228</v>
      </c>
    </row>
    <row r="216" spans="1:36">
      <c r="A216" t="s">
        <v>1680</v>
      </c>
      <c r="B216" t="s">
        <v>1681</v>
      </c>
      <c r="C216" t="s">
        <v>1846</v>
      </c>
      <c r="D216" t="s">
        <v>1837</v>
      </c>
      <c r="E216" t="s">
        <v>1847</v>
      </c>
      <c r="F216" t="s">
        <v>1848</v>
      </c>
      <c r="G216">
        <v>3500</v>
      </c>
      <c r="H216">
        <v>3800</v>
      </c>
      <c r="P216" t="s">
        <v>80</v>
      </c>
      <c r="R216" s="7">
        <v>40744</v>
      </c>
      <c r="T216" t="s">
        <v>111</v>
      </c>
      <c r="W216" s="15">
        <v>4.9722</v>
      </c>
      <c r="X216" s="15">
        <v>-75.380589999999998</v>
      </c>
      <c r="Y216">
        <v>615.61400000000003</v>
      </c>
      <c r="Z216">
        <v>3513</v>
      </c>
      <c r="AB216" t="s">
        <v>1849</v>
      </c>
      <c r="AF216" t="s">
        <v>50</v>
      </c>
      <c r="AG216" t="s">
        <v>167</v>
      </c>
      <c r="AH216" t="s">
        <v>993</v>
      </c>
      <c r="AI216" t="s">
        <v>1850</v>
      </c>
      <c r="AJ216">
        <v>229</v>
      </c>
    </row>
    <row r="217" spans="1:36">
      <c r="A217" t="s">
        <v>1680</v>
      </c>
      <c r="B217" t="s">
        <v>1681</v>
      </c>
      <c r="C217" t="s">
        <v>1851</v>
      </c>
      <c r="D217" t="s">
        <v>1852</v>
      </c>
      <c r="E217" t="s">
        <v>1767</v>
      </c>
      <c r="F217" t="s">
        <v>1768</v>
      </c>
      <c r="G217">
        <v>3000</v>
      </c>
      <c r="H217">
        <v>3500</v>
      </c>
      <c r="I217" t="s">
        <v>1733</v>
      </c>
      <c r="J217" t="s">
        <v>1734</v>
      </c>
      <c r="K217" t="s">
        <v>1735</v>
      </c>
      <c r="L217" t="s">
        <v>1736</v>
      </c>
      <c r="M217" t="s">
        <v>1737</v>
      </c>
      <c r="N217" t="s">
        <v>1738</v>
      </c>
      <c r="O217" t="s">
        <v>1739</v>
      </c>
      <c r="P217" t="s">
        <v>1740</v>
      </c>
      <c r="R217" s="7">
        <v>24266</v>
      </c>
      <c r="W217" s="15">
        <v>5.0000194000000002</v>
      </c>
      <c r="X217" s="15">
        <v>-75.349983300000005</v>
      </c>
      <c r="AF217" t="s">
        <v>50</v>
      </c>
      <c r="AG217" t="s">
        <v>167</v>
      </c>
      <c r="AH217" t="s">
        <v>1769</v>
      </c>
      <c r="AJ217">
        <v>230</v>
      </c>
    </row>
    <row r="218" spans="1:36">
      <c r="A218" t="s">
        <v>1853</v>
      </c>
      <c r="B218" t="s">
        <v>1681</v>
      </c>
      <c r="C218" t="s">
        <v>1854</v>
      </c>
      <c r="D218" t="s">
        <v>1855</v>
      </c>
      <c r="E218" t="s">
        <v>1856</v>
      </c>
      <c r="F218">
        <v>3000</v>
      </c>
      <c r="G218">
        <v>3000</v>
      </c>
      <c r="H218">
        <v>3000</v>
      </c>
      <c r="I218" t="s">
        <v>1857</v>
      </c>
      <c r="J218" t="s">
        <v>1857</v>
      </c>
      <c r="K218" t="s">
        <v>1858</v>
      </c>
      <c r="L218" t="s">
        <v>1858</v>
      </c>
      <c r="M218" t="s">
        <v>1859</v>
      </c>
      <c r="N218" t="s">
        <v>1860</v>
      </c>
      <c r="O218" t="s">
        <v>1861</v>
      </c>
      <c r="P218" t="s">
        <v>1862</v>
      </c>
      <c r="R218" s="7">
        <v>36550</v>
      </c>
      <c r="T218" t="s">
        <v>1863</v>
      </c>
      <c r="W218" s="15">
        <v>2.3666667000000001</v>
      </c>
      <c r="X218" s="15">
        <v>-76.416666699999993</v>
      </c>
      <c r="AF218" t="s">
        <v>50</v>
      </c>
      <c r="AG218" t="s">
        <v>283</v>
      </c>
      <c r="AH218" t="s">
        <v>1864</v>
      </c>
      <c r="AI218" t="s">
        <v>1865</v>
      </c>
      <c r="AJ218">
        <v>232</v>
      </c>
    </row>
    <row r="219" spans="1:36">
      <c r="A219" t="s">
        <v>1680</v>
      </c>
      <c r="B219" t="s">
        <v>1681</v>
      </c>
      <c r="C219" t="s">
        <v>1866</v>
      </c>
      <c r="D219" t="s">
        <v>1867</v>
      </c>
      <c r="E219" t="s">
        <v>1868</v>
      </c>
      <c r="F219">
        <v>3150</v>
      </c>
      <c r="G219">
        <v>3150</v>
      </c>
      <c r="H219">
        <v>3150</v>
      </c>
      <c r="P219" t="s">
        <v>80</v>
      </c>
      <c r="R219" s="7">
        <v>21459</v>
      </c>
      <c r="T219" t="s">
        <v>111</v>
      </c>
      <c r="W219" s="15">
        <v>1.92153</v>
      </c>
      <c r="X219" s="15">
        <v>-76.633510000000001</v>
      </c>
      <c r="Y219">
        <v>9128.3960000000006</v>
      </c>
      <c r="Z219">
        <v>3176</v>
      </c>
      <c r="AB219" t="s">
        <v>1869</v>
      </c>
      <c r="AF219" t="s">
        <v>50</v>
      </c>
      <c r="AG219" t="s">
        <v>283</v>
      </c>
      <c r="AH219" t="s">
        <v>1870</v>
      </c>
      <c r="AI219" t="s">
        <v>1871</v>
      </c>
      <c r="AJ219">
        <v>233</v>
      </c>
    </row>
    <row r="220" spans="1:36">
      <c r="A220" t="s">
        <v>1680</v>
      </c>
      <c r="B220" t="s">
        <v>1681</v>
      </c>
      <c r="C220" t="s">
        <v>1872</v>
      </c>
      <c r="D220" t="s">
        <v>1873</v>
      </c>
      <c r="E220" t="s">
        <v>1874</v>
      </c>
      <c r="F220">
        <v>3180</v>
      </c>
      <c r="G220">
        <v>3180</v>
      </c>
      <c r="H220">
        <v>3180</v>
      </c>
      <c r="P220" t="s">
        <v>80</v>
      </c>
      <c r="R220" s="7">
        <v>29474</v>
      </c>
      <c r="T220" t="s">
        <v>119</v>
      </c>
      <c r="W220" s="15">
        <v>2.8284400000000001</v>
      </c>
      <c r="X220" s="15">
        <v>-76.062989999999999</v>
      </c>
      <c r="Y220">
        <v>951.51300000000003</v>
      </c>
      <c r="Z220">
        <v>2726</v>
      </c>
      <c r="AB220" t="s">
        <v>1875</v>
      </c>
      <c r="AF220" t="s">
        <v>50</v>
      </c>
      <c r="AG220" t="s">
        <v>283</v>
      </c>
      <c r="AH220" t="s">
        <v>1876</v>
      </c>
      <c r="AI220" t="s">
        <v>1877</v>
      </c>
      <c r="AJ220">
        <v>234</v>
      </c>
    </row>
    <row r="221" spans="1:36">
      <c r="A221" t="s">
        <v>1680</v>
      </c>
      <c r="B221" t="s">
        <v>1681</v>
      </c>
      <c r="C221" t="s">
        <v>1878</v>
      </c>
      <c r="D221" t="s">
        <v>1879</v>
      </c>
      <c r="E221" t="s">
        <v>1880</v>
      </c>
      <c r="F221">
        <v>3600</v>
      </c>
      <c r="G221">
        <v>3600</v>
      </c>
      <c r="H221">
        <v>3600</v>
      </c>
      <c r="I221" t="s">
        <v>1881</v>
      </c>
      <c r="J221" t="s">
        <v>1882</v>
      </c>
      <c r="K221" t="s">
        <v>1883</v>
      </c>
      <c r="L221" t="s">
        <v>1884</v>
      </c>
      <c r="M221" t="s">
        <v>1885</v>
      </c>
      <c r="N221" t="s">
        <v>1886</v>
      </c>
      <c r="O221" t="s">
        <v>1887</v>
      </c>
      <c r="P221" t="s">
        <v>1888</v>
      </c>
      <c r="R221" s="7">
        <v>35911</v>
      </c>
      <c r="T221" t="s">
        <v>119</v>
      </c>
      <c r="W221" s="15">
        <v>2.3812443999999999</v>
      </c>
      <c r="X221" s="15">
        <v>-76.454863900000007</v>
      </c>
      <c r="AF221" t="s">
        <v>50</v>
      </c>
      <c r="AG221" t="s">
        <v>283</v>
      </c>
      <c r="AH221" t="s">
        <v>1889</v>
      </c>
      <c r="AJ221">
        <v>235</v>
      </c>
    </row>
    <row r="222" spans="1:36">
      <c r="A222" t="s">
        <v>1680</v>
      </c>
      <c r="B222" t="s">
        <v>1681</v>
      </c>
      <c r="C222" t="s">
        <v>1890</v>
      </c>
      <c r="D222" t="s">
        <v>1891</v>
      </c>
      <c r="E222" t="s">
        <v>1892</v>
      </c>
      <c r="I222" t="s">
        <v>1893</v>
      </c>
      <c r="J222" t="s">
        <v>1894</v>
      </c>
      <c r="K222" t="s">
        <v>1883</v>
      </c>
      <c r="L222" t="s">
        <v>1884</v>
      </c>
      <c r="M222" t="s">
        <v>1895</v>
      </c>
      <c r="N222" t="s">
        <v>1896</v>
      </c>
      <c r="O222" t="s">
        <v>1887</v>
      </c>
      <c r="P222" t="s">
        <v>1897</v>
      </c>
      <c r="R222" s="7">
        <v>35911</v>
      </c>
      <c r="T222" t="s">
        <v>119</v>
      </c>
      <c r="W222" s="15">
        <v>2.3811111</v>
      </c>
      <c r="X222" s="15">
        <v>-76.454863900000007</v>
      </c>
      <c r="AF222" t="s">
        <v>50</v>
      </c>
      <c r="AG222" t="s">
        <v>283</v>
      </c>
      <c r="AH222" t="s">
        <v>1864</v>
      </c>
      <c r="AI222" t="s">
        <v>1898</v>
      </c>
      <c r="AJ222">
        <v>237</v>
      </c>
    </row>
    <row r="223" spans="1:36">
      <c r="A223" t="s">
        <v>1680</v>
      </c>
      <c r="B223" t="s">
        <v>1681</v>
      </c>
      <c r="C223" t="s">
        <v>1899</v>
      </c>
      <c r="D223" t="s">
        <v>1900</v>
      </c>
      <c r="E223" t="s">
        <v>1901</v>
      </c>
      <c r="F223" t="s">
        <v>1902</v>
      </c>
      <c r="G223">
        <v>3100</v>
      </c>
      <c r="H223">
        <v>3600</v>
      </c>
      <c r="I223" t="s">
        <v>785</v>
      </c>
      <c r="J223" t="s">
        <v>786</v>
      </c>
      <c r="K223" t="s">
        <v>787</v>
      </c>
      <c r="L223" t="s">
        <v>788</v>
      </c>
      <c r="M223" t="s">
        <v>789</v>
      </c>
      <c r="N223" t="s">
        <v>790</v>
      </c>
      <c r="O223" t="s">
        <v>791</v>
      </c>
      <c r="P223" t="s">
        <v>792</v>
      </c>
      <c r="R223" s="7">
        <v>37447</v>
      </c>
      <c r="T223" t="s">
        <v>119</v>
      </c>
      <c r="W223" s="15">
        <v>2.5039278</v>
      </c>
      <c r="X223" s="15">
        <v>-76.391227799999996</v>
      </c>
      <c r="AF223" t="s">
        <v>50</v>
      </c>
      <c r="AG223" t="s">
        <v>283</v>
      </c>
      <c r="AH223" t="s">
        <v>1903</v>
      </c>
      <c r="AI223" t="s">
        <v>1904</v>
      </c>
      <c r="AJ223">
        <v>238</v>
      </c>
    </row>
    <row r="224" spans="1:36">
      <c r="A224" t="s">
        <v>1680</v>
      </c>
      <c r="B224" t="s">
        <v>1681</v>
      </c>
      <c r="C224" t="s">
        <v>1905</v>
      </c>
      <c r="D224" t="s">
        <v>1906</v>
      </c>
      <c r="E224" t="s">
        <v>1907</v>
      </c>
      <c r="F224">
        <v>3200</v>
      </c>
      <c r="G224">
        <v>3200</v>
      </c>
      <c r="H224">
        <v>3200</v>
      </c>
      <c r="I224" t="s">
        <v>779</v>
      </c>
      <c r="J224" t="s">
        <v>780</v>
      </c>
      <c r="K224" t="s">
        <v>770</v>
      </c>
      <c r="L224" t="s">
        <v>771</v>
      </c>
      <c r="M224" t="s">
        <v>781</v>
      </c>
      <c r="N224" t="s">
        <v>700</v>
      </c>
      <c r="O224" t="s">
        <v>774</v>
      </c>
      <c r="P224" t="s">
        <v>782</v>
      </c>
      <c r="R224" s="7">
        <v>37660</v>
      </c>
      <c r="T224" t="s">
        <v>65</v>
      </c>
      <c r="W224" s="15">
        <v>2.43397</v>
      </c>
      <c r="X224" s="15">
        <v>-76.416759999999996</v>
      </c>
      <c r="Y224">
        <v>4151.67</v>
      </c>
      <c r="Z224">
        <v>2908</v>
      </c>
      <c r="AB224" t="s">
        <v>1908</v>
      </c>
      <c r="AF224" t="s">
        <v>50</v>
      </c>
      <c r="AG224" t="s">
        <v>283</v>
      </c>
      <c r="AH224" t="s">
        <v>703</v>
      </c>
      <c r="AI224" t="s">
        <v>1909</v>
      </c>
      <c r="AJ224">
        <v>239</v>
      </c>
    </row>
    <row r="225" spans="1:36">
      <c r="A225" t="s">
        <v>1680</v>
      </c>
      <c r="B225" t="s">
        <v>1681</v>
      </c>
      <c r="C225" t="s">
        <v>1910</v>
      </c>
      <c r="D225" t="s">
        <v>1911</v>
      </c>
      <c r="E225" t="s">
        <v>1912</v>
      </c>
      <c r="F225" t="s">
        <v>1913</v>
      </c>
      <c r="G225">
        <v>2500</v>
      </c>
      <c r="H225">
        <v>3000</v>
      </c>
      <c r="I225" t="s">
        <v>1914</v>
      </c>
      <c r="J225" t="s">
        <v>1915</v>
      </c>
      <c r="K225" t="s">
        <v>1916</v>
      </c>
      <c r="L225" t="s">
        <v>1917</v>
      </c>
      <c r="M225" t="s">
        <v>1918</v>
      </c>
      <c r="N225" t="s">
        <v>1919</v>
      </c>
      <c r="O225" t="s">
        <v>1920</v>
      </c>
      <c r="P225" t="s">
        <v>1921</v>
      </c>
      <c r="R225" s="7">
        <v>37865</v>
      </c>
      <c r="T225" t="s">
        <v>119</v>
      </c>
      <c r="W225" s="15">
        <v>1.7598611</v>
      </c>
      <c r="X225" s="15">
        <v>-76.905833299999998</v>
      </c>
      <c r="AF225" t="s">
        <v>50</v>
      </c>
      <c r="AG225" t="s">
        <v>283</v>
      </c>
      <c r="AH225" t="s">
        <v>1922</v>
      </c>
      <c r="AI225" t="s">
        <v>1923</v>
      </c>
      <c r="AJ225">
        <v>240</v>
      </c>
    </row>
    <row r="226" spans="1:36">
      <c r="A226" t="s">
        <v>1680</v>
      </c>
      <c r="B226" t="s">
        <v>1681</v>
      </c>
      <c r="C226" t="s">
        <v>1924</v>
      </c>
      <c r="D226" t="s">
        <v>1925</v>
      </c>
      <c r="E226" t="s">
        <v>1926</v>
      </c>
      <c r="F226">
        <v>3887</v>
      </c>
      <c r="G226">
        <v>3887</v>
      </c>
      <c r="H226">
        <v>3887</v>
      </c>
      <c r="I226" t="s">
        <v>1927</v>
      </c>
      <c r="J226" t="s">
        <v>1928</v>
      </c>
      <c r="K226" t="s">
        <v>1929</v>
      </c>
      <c r="L226" t="s">
        <v>1930</v>
      </c>
      <c r="M226" t="s">
        <v>1931</v>
      </c>
      <c r="N226" t="s">
        <v>1932</v>
      </c>
      <c r="O226" t="s">
        <v>1933</v>
      </c>
      <c r="P226" t="s">
        <v>1934</v>
      </c>
      <c r="R226" s="7">
        <v>40020</v>
      </c>
      <c r="T226" t="s">
        <v>119</v>
      </c>
      <c r="W226" s="15">
        <v>2.3807667000000001</v>
      </c>
      <c r="X226" s="15">
        <v>-76.444083300000003</v>
      </c>
      <c r="AF226" t="s">
        <v>50</v>
      </c>
      <c r="AG226" t="s">
        <v>283</v>
      </c>
      <c r="AH226" t="s">
        <v>703</v>
      </c>
      <c r="AI226" t="s">
        <v>1935</v>
      </c>
      <c r="AJ226">
        <v>241</v>
      </c>
    </row>
    <row r="227" spans="1:36">
      <c r="A227" t="s">
        <v>1680</v>
      </c>
      <c r="B227" t="s">
        <v>1681</v>
      </c>
      <c r="C227" t="s">
        <v>1936</v>
      </c>
      <c r="D227" t="s">
        <v>1937</v>
      </c>
      <c r="E227" t="s">
        <v>1938</v>
      </c>
      <c r="F227">
        <v>2975</v>
      </c>
      <c r="G227">
        <v>2975</v>
      </c>
      <c r="H227">
        <v>2975</v>
      </c>
      <c r="P227" t="s">
        <v>80</v>
      </c>
      <c r="R227" s="7">
        <v>22579</v>
      </c>
      <c r="W227" s="15">
        <v>5.2004400000000004</v>
      </c>
      <c r="X227" s="15">
        <v>-73.880170000000007</v>
      </c>
      <c r="Y227">
        <v>1058.278</v>
      </c>
      <c r="Z227">
        <v>2915</v>
      </c>
      <c r="AB227" t="s">
        <v>1939</v>
      </c>
      <c r="AF227" t="s">
        <v>50</v>
      </c>
      <c r="AG227" t="s">
        <v>98</v>
      </c>
      <c r="AH227" t="s">
        <v>1940</v>
      </c>
      <c r="AJ227">
        <v>243</v>
      </c>
    </row>
    <row r="228" spans="1:36">
      <c r="A228" t="s">
        <v>1680</v>
      </c>
      <c r="B228" t="s">
        <v>1681</v>
      </c>
      <c r="C228" t="s">
        <v>1941</v>
      </c>
      <c r="D228" t="s">
        <v>1942</v>
      </c>
      <c r="E228" t="s">
        <v>1943</v>
      </c>
      <c r="F228">
        <v>3150</v>
      </c>
      <c r="G228">
        <v>3150</v>
      </c>
      <c r="H228">
        <v>3150</v>
      </c>
      <c r="P228" t="s">
        <v>80</v>
      </c>
      <c r="R228" s="7">
        <v>27051</v>
      </c>
      <c r="W228" s="15">
        <v>4.8370100000000003</v>
      </c>
      <c r="X228" s="15">
        <v>-73.810689999999994</v>
      </c>
      <c r="Y228">
        <v>3779.201</v>
      </c>
      <c r="Z228">
        <v>3365</v>
      </c>
      <c r="AB228" t="s">
        <v>1944</v>
      </c>
      <c r="AF228" t="s">
        <v>50</v>
      </c>
      <c r="AG228" t="s">
        <v>98</v>
      </c>
      <c r="AH228" t="s">
        <v>1945</v>
      </c>
      <c r="AI228" t="s">
        <v>1946</v>
      </c>
      <c r="AJ228">
        <v>244</v>
      </c>
    </row>
    <row r="229" spans="1:36">
      <c r="A229" t="s">
        <v>1680</v>
      </c>
      <c r="B229" t="s">
        <v>1681</v>
      </c>
      <c r="C229" t="s">
        <v>1947</v>
      </c>
      <c r="D229" t="s">
        <v>1948</v>
      </c>
      <c r="E229" t="s">
        <v>1949</v>
      </c>
      <c r="F229">
        <v>3000</v>
      </c>
      <c r="G229">
        <v>3000</v>
      </c>
      <c r="H229">
        <v>3000</v>
      </c>
      <c r="P229" t="s">
        <v>80</v>
      </c>
      <c r="R229" s="7">
        <v>27190</v>
      </c>
      <c r="W229" s="15">
        <v>4.47614</v>
      </c>
      <c r="X229" s="15">
        <v>-73.808109999999999</v>
      </c>
      <c r="Z229">
        <v>2970</v>
      </c>
      <c r="AB229" t="s">
        <v>1950</v>
      </c>
      <c r="AF229" t="s">
        <v>50</v>
      </c>
      <c r="AG229" t="s">
        <v>98</v>
      </c>
      <c r="AH229" t="s">
        <v>1951</v>
      </c>
      <c r="AI229" t="s">
        <v>1952</v>
      </c>
      <c r="AJ229">
        <v>245</v>
      </c>
    </row>
    <row r="230" spans="1:36">
      <c r="A230" t="s">
        <v>1680</v>
      </c>
      <c r="B230" t="s">
        <v>1681</v>
      </c>
      <c r="C230" t="s">
        <v>1953</v>
      </c>
      <c r="D230" t="s">
        <v>1954</v>
      </c>
      <c r="E230" t="s">
        <v>1955</v>
      </c>
      <c r="F230">
        <v>3000</v>
      </c>
      <c r="G230">
        <v>3000</v>
      </c>
      <c r="H230">
        <v>3000</v>
      </c>
      <c r="P230" t="s">
        <v>80</v>
      </c>
      <c r="R230" s="7">
        <v>27221</v>
      </c>
      <c r="W230" s="15">
        <v>4.5457999999999998</v>
      </c>
      <c r="X230" s="15">
        <v>-73.957359999999994</v>
      </c>
      <c r="Y230">
        <v>1301.1089999999999</v>
      </c>
      <c r="Z230">
        <v>2907</v>
      </c>
      <c r="AB230" t="s">
        <v>1956</v>
      </c>
      <c r="AF230" t="s">
        <v>50</v>
      </c>
      <c r="AG230" t="s">
        <v>98</v>
      </c>
      <c r="AH230" t="s">
        <v>1957</v>
      </c>
      <c r="AI230" t="s">
        <v>1958</v>
      </c>
      <c r="AJ230">
        <v>246</v>
      </c>
    </row>
    <row r="231" spans="1:36">
      <c r="A231" t="s">
        <v>1680</v>
      </c>
      <c r="B231" t="s">
        <v>1681</v>
      </c>
      <c r="C231" t="s">
        <v>1959</v>
      </c>
      <c r="D231" t="s">
        <v>1960</v>
      </c>
      <c r="E231" t="s">
        <v>1961</v>
      </c>
      <c r="F231">
        <v>3000</v>
      </c>
      <c r="G231">
        <v>3000</v>
      </c>
      <c r="H231">
        <v>3000</v>
      </c>
      <c r="P231" t="s">
        <v>80</v>
      </c>
      <c r="R231" s="7">
        <v>29266</v>
      </c>
      <c r="W231" s="15">
        <v>4.6320499999999996</v>
      </c>
      <c r="X231" s="15">
        <v>-74.035039999999995</v>
      </c>
      <c r="Y231">
        <v>2722.855</v>
      </c>
      <c r="Z231">
        <v>3178</v>
      </c>
      <c r="AB231" t="s">
        <v>1962</v>
      </c>
      <c r="AF231" t="s">
        <v>50</v>
      </c>
      <c r="AG231" t="s">
        <v>98</v>
      </c>
      <c r="AH231" t="s">
        <v>1963</v>
      </c>
      <c r="AI231" t="s">
        <v>1964</v>
      </c>
      <c r="AJ231">
        <v>247</v>
      </c>
    </row>
    <row r="232" spans="1:36">
      <c r="A232" t="s">
        <v>1680</v>
      </c>
      <c r="B232" t="s">
        <v>1681</v>
      </c>
      <c r="C232" t="s">
        <v>1965</v>
      </c>
      <c r="D232" t="s">
        <v>1966</v>
      </c>
      <c r="E232" t="s">
        <v>1967</v>
      </c>
      <c r="F232" t="s">
        <v>1968</v>
      </c>
      <c r="G232">
        <v>3900</v>
      </c>
      <c r="H232">
        <v>3950</v>
      </c>
      <c r="P232" t="s">
        <v>80</v>
      </c>
      <c r="R232" s="7">
        <v>29784</v>
      </c>
      <c r="T232" t="s">
        <v>119</v>
      </c>
      <c r="W232" s="15">
        <v>4.0812600000000003</v>
      </c>
      <c r="X232" s="15">
        <v>-74.247730000000004</v>
      </c>
      <c r="Y232">
        <v>9246.9719999999998</v>
      </c>
      <c r="Z232">
        <v>3901</v>
      </c>
      <c r="AB232" t="s">
        <v>1969</v>
      </c>
      <c r="AF232" t="s">
        <v>50</v>
      </c>
      <c r="AG232" t="s">
        <v>98</v>
      </c>
      <c r="AH232" t="s">
        <v>1970</v>
      </c>
      <c r="AI232" t="s">
        <v>1971</v>
      </c>
      <c r="AJ232">
        <v>248</v>
      </c>
    </row>
    <row r="233" spans="1:36">
      <c r="A233" t="s">
        <v>1680</v>
      </c>
      <c r="B233" t="s">
        <v>1681</v>
      </c>
      <c r="C233" t="s">
        <v>1972</v>
      </c>
      <c r="D233" t="s">
        <v>1973</v>
      </c>
      <c r="E233" t="s">
        <v>1974</v>
      </c>
      <c r="P233" t="s">
        <v>80</v>
      </c>
      <c r="R233" s="7">
        <v>32509</v>
      </c>
      <c r="W233" s="15">
        <v>5.1581900000000003</v>
      </c>
      <c r="X233" s="15">
        <v>-73.944550000000007</v>
      </c>
      <c r="Y233">
        <v>3551.0770000000002</v>
      </c>
      <c r="Z233">
        <v>3015</v>
      </c>
      <c r="AB233" t="s">
        <v>1975</v>
      </c>
      <c r="AF233" t="s">
        <v>50</v>
      </c>
      <c r="AG233" t="s">
        <v>98</v>
      </c>
      <c r="AH233" t="s">
        <v>1976</v>
      </c>
      <c r="AI233" t="s">
        <v>1977</v>
      </c>
      <c r="AJ233">
        <v>249</v>
      </c>
    </row>
    <row r="234" spans="1:36">
      <c r="A234" t="s">
        <v>1680</v>
      </c>
      <c r="B234" t="s">
        <v>1681</v>
      </c>
      <c r="C234" t="s">
        <v>1978</v>
      </c>
      <c r="D234" t="s">
        <v>1979</v>
      </c>
      <c r="E234" t="s">
        <v>1980</v>
      </c>
      <c r="F234" t="s">
        <v>1981</v>
      </c>
      <c r="G234">
        <v>3530</v>
      </c>
      <c r="H234">
        <v>3630</v>
      </c>
      <c r="P234" t="s">
        <v>80</v>
      </c>
      <c r="R234" s="7">
        <v>21494</v>
      </c>
      <c r="W234" s="15">
        <v>1.91706</v>
      </c>
      <c r="X234" s="15">
        <v>-76.600059999999999</v>
      </c>
      <c r="Y234">
        <v>2568.2910000000002</v>
      </c>
      <c r="Z234">
        <v>3503</v>
      </c>
      <c r="AB234" t="s">
        <v>1982</v>
      </c>
      <c r="AF234" t="s">
        <v>50</v>
      </c>
      <c r="AG234" t="s">
        <v>1983</v>
      </c>
      <c r="AH234" t="s">
        <v>1870</v>
      </c>
      <c r="AI234" t="s">
        <v>1984</v>
      </c>
      <c r="AJ234">
        <v>250</v>
      </c>
    </row>
    <row r="235" spans="1:36">
      <c r="A235" t="s">
        <v>1680</v>
      </c>
      <c r="B235" t="s">
        <v>1681</v>
      </c>
      <c r="C235" t="s">
        <v>1985</v>
      </c>
      <c r="D235" t="s">
        <v>1986</v>
      </c>
      <c r="E235" t="s">
        <v>1987</v>
      </c>
      <c r="F235">
        <v>3000</v>
      </c>
      <c r="G235">
        <v>3000</v>
      </c>
      <c r="H235">
        <v>3000</v>
      </c>
      <c r="I235" t="s">
        <v>1988</v>
      </c>
      <c r="J235" t="s">
        <v>1989</v>
      </c>
      <c r="K235" t="s">
        <v>1990</v>
      </c>
      <c r="L235" t="s">
        <v>1991</v>
      </c>
      <c r="M235" t="s">
        <v>1992</v>
      </c>
      <c r="N235" t="s">
        <v>1993</v>
      </c>
      <c r="O235" t="s">
        <v>1994</v>
      </c>
      <c r="P235" t="s">
        <v>1995</v>
      </c>
      <c r="R235" s="7">
        <v>26551</v>
      </c>
      <c r="T235" t="s">
        <v>119</v>
      </c>
      <c r="W235" s="15">
        <v>1.2136917</v>
      </c>
      <c r="X235" s="15">
        <v>-77.2726361</v>
      </c>
      <c r="AF235" t="s">
        <v>50</v>
      </c>
      <c r="AG235" t="s">
        <v>127</v>
      </c>
      <c r="AH235" t="s">
        <v>1996</v>
      </c>
      <c r="AI235" t="s">
        <v>1997</v>
      </c>
      <c r="AJ235">
        <v>251</v>
      </c>
    </row>
    <row r="236" spans="1:36">
      <c r="A236" t="s">
        <v>1680</v>
      </c>
      <c r="B236" t="s">
        <v>1681</v>
      </c>
      <c r="C236" t="s">
        <v>1998</v>
      </c>
      <c r="D236" t="s">
        <v>1999</v>
      </c>
      <c r="E236" t="s">
        <v>2000</v>
      </c>
      <c r="F236">
        <v>3200</v>
      </c>
      <c r="G236">
        <v>3200</v>
      </c>
      <c r="H236">
        <v>3200</v>
      </c>
      <c r="I236" t="s">
        <v>1988</v>
      </c>
      <c r="J236" t="s">
        <v>1989</v>
      </c>
      <c r="K236" t="s">
        <v>1990</v>
      </c>
      <c r="L236" t="s">
        <v>1991</v>
      </c>
      <c r="M236" t="s">
        <v>1992</v>
      </c>
      <c r="N236" t="s">
        <v>1993</v>
      </c>
      <c r="O236" t="s">
        <v>1994</v>
      </c>
      <c r="P236" t="s">
        <v>1995</v>
      </c>
      <c r="R236" s="7">
        <v>26601</v>
      </c>
      <c r="W236" s="15">
        <v>1.3660099999999999</v>
      </c>
      <c r="X236" s="15">
        <v>-77.798360000000002</v>
      </c>
      <c r="Y236">
        <v>1951.377</v>
      </c>
      <c r="Z236">
        <v>1082</v>
      </c>
      <c r="AB236" t="s">
        <v>2001</v>
      </c>
      <c r="AF236" t="s">
        <v>50</v>
      </c>
      <c r="AG236" t="s">
        <v>127</v>
      </c>
      <c r="AH236" t="s">
        <v>2002</v>
      </c>
      <c r="AI236" t="s">
        <v>2003</v>
      </c>
      <c r="AJ236">
        <v>252</v>
      </c>
    </row>
    <row r="237" spans="1:36">
      <c r="A237" t="s">
        <v>1680</v>
      </c>
      <c r="B237" t="s">
        <v>1681</v>
      </c>
      <c r="C237" t="s">
        <v>2004</v>
      </c>
      <c r="D237" t="s">
        <v>2005</v>
      </c>
      <c r="E237" t="s">
        <v>2006</v>
      </c>
      <c r="F237">
        <v>2900</v>
      </c>
      <c r="G237">
        <v>2900</v>
      </c>
      <c r="H237">
        <v>2900</v>
      </c>
      <c r="I237" t="s">
        <v>1988</v>
      </c>
      <c r="J237" t="s">
        <v>1989</v>
      </c>
      <c r="K237" t="s">
        <v>1990</v>
      </c>
      <c r="L237" t="s">
        <v>1991</v>
      </c>
      <c r="M237" t="s">
        <v>1992</v>
      </c>
      <c r="N237" t="s">
        <v>1993</v>
      </c>
      <c r="O237" t="s">
        <v>1994</v>
      </c>
      <c r="P237" t="s">
        <v>1995</v>
      </c>
      <c r="R237" s="7">
        <v>29524</v>
      </c>
      <c r="T237" t="s">
        <v>119</v>
      </c>
      <c r="W237" s="15">
        <v>1.18713</v>
      </c>
      <c r="X237" s="15">
        <v>-77.32423</v>
      </c>
      <c r="Y237">
        <v>5443.5439999999999</v>
      </c>
      <c r="Z237">
        <v>2996</v>
      </c>
      <c r="AB237" t="s">
        <v>2007</v>
      </c>
      <c r="AF237" t="s">
        <v>50</v>
      </c>
      <c r="AG237" t="s">
        <v>127</v>
      </c>
      <c r="AH237" t="s">
        <v>2008</v>
      </c>
      <c r="AJ237">
        <v>253</v>
      </c>
    </row>
    <row r="238" spans="1:36">
      <c r="A238" t="s">
        <v>1680</v>
      </c>
      <c r="B238" t="s">
        <v>1681</v>
      </c>
      <c r="C238" t="s">
        <v>2009</v>
      </c>
      <c r="D238" t="s">
        <v>2010</v>
      </c>
      <c r="E238" t="s">
        <v>2011</v>
      </c>
      <c r="F238">
        <v>3100</v>
      </c>
      <c r="G238">
        <v>3100</v>
      </c>
      <c r="H238">
        <v>3100</v>
      </c>
      <c r="I238" t="s">
        <v>1988</v>
      </c>
      <c r="J238" t="s">
        <v>1989</v>
      </c>
      <c r="K238" t="s">
        <v>1990</v>
      </c>
      <c r="L238" t="s">
        <v>1991</v>
      </c>
      <c r="M238" t="s">
        <v>1992</v>
      </c>
      <c r="N238" t="s">
        <v>1993</v>
      </c>
      <c r="O238" t="s">
        <v>1994</v>
      </c>
      <c r="P238" t="s">
        <v>1995</v>
      </c>
      <c r="R238" s="7">
        <v>30734</v>
      </c>
      <c r="T238" t="s">
        <v>119</v>
      </c>
      <c r="W238" s="15">
        <v>1.2136917</v>
      </c>
      <c r="X238" s="15">
        <v>-77.2726361</v>
      </c>
      <c r="AF238" t="s">
        <v>50</v>
      </c>
      <c r="AG238" t="s">
        <v>127</v>
      </c>
      <c r="AH238" t="s">
        <v>1996</v>
      </c>
      <c r="AI238" t="s">
        <v>2012</v>
      </c>
      <c r="AJ238">
        <v>254</v>
      </c>
    </row>
    <row r="239" spans="1:36">
      <c r="A239" t="s">
        <v>1680</v>
      </c>
      <c r="B239" t="s">
        <v>1681</v>
      </c>
      <c r="C239" t="s">
        <v>2013</v>
      </c>
      <c r="D239" t="s">
        <v>2014</v>
      </c>
      <c r="E239" t="s">
        <v>2015</v>
      </c>
      <c r="F239" t="s">
        <v>2016</v>
      </c>
      <c r="G239">
        <v>3400</v>
      </c>
      <c r="H239">
        <v>3500</v>
      </c>
      <c r="I239" t="s">
        <v>1988</v>
      </c>
      <c r="J239" t="s">
        <v>1989</v>
      </c>
      <c r="K239" t="s">
        <v>1990</v>
      </c>
      <c r="L239" t="s">
        <v>1991</v>
      </c>
      <c r="M239" t="s">
        <v>1992</v>
      </c>
      <c r="N239" t="s">
        <v>1993</v>
      </c>
      <c r="O239" t="s">
        <v>1994</v>
      </c>
      <c r="P239" t="s">
        <v>1995</v>
      </c>
      <c r="R239" s="7">
        <v>32859</v>
      </c>
      <c r="T239" t="s">
        <v>119</v>
      </c>
      <c r="W239" s="15">
        <v>1.2136917</v>
      </c>
      <c r="X239" s="15">
        <v>-77.2726361</v>
      </c>
      <c r="AF239" t="s">
        <v>50</v>
      </c>
      <c r="AG239" t="s">
        <v>127</v>
      </c>
      <c r="AH239" t="s">
        <v>1996</v>
      </c>
      <c r="AI239" t="s">
        <v>2017</v>
      </c>
      <c r="AJ239">
        <v>255</v>
      </c>
    </row>
    <row r="240" spans="1:36">
      <c r="A240" t="s">
        <v>1680</v>
      </c>
      <c r="B240" t="s">
        <v>1681</v>
      </c>
      <c r="C240" t="s">
        <v>2018</v>
      </c>
      <c r="D240" t="s">
        <v>2019</v>
      </c>
      <c r="E240" t="s">
        <v>2020</v>
      </c>
      <c r="F240" t="s">
        <v>2021</v>
      </c>
      <c r="G240">
        <v>3000</v>
      </c>
      <c r="H240">
        <v>3300</v>
      </c>
      <c r="I240" t="s">
        <v>1988</v>
      </c>
      <c r="J240" t="s">
        <v>1989</v>
      </c>
      <c r="K240" t="s">
        <v>1990</v>
      </c>
      <c r="L240" t="s">
        <v>1991</v>
      </c>
      <c r="M240" t="s">
        <v>1992</v>
      </c>
      <c r="N240" t="s">
        <v>1993</v>
      </c>
      <c r="O240" t="s">
        <v>1994</v>
      </c>
      <c r="P240" t="s">
        <v>1995</v>
      </c>
      <c r="R240" s="7">
        <v>33664</v>
      </c>
      <c r="W240" s="15">
        <v>1.2136917</v>
      </c>
      <c r="X240" s="15">
        <v>-77.2726361</v>
      </c>
      <c r="AF240" t="s">
        <v>50</v>
      </c>
      <c r="AG240" t="s">
        <v>127</v>
      </c>
      <c r="AH240" t="s">
        <v>1996</v>
      </c>
      <c r="AI240" t="s">
        <v>2022</v>
      </c>
      <c r="AJ240">
        <v>256</v>
      </c>
    </row>
    <row r="241" spans="1:36">
      <c r="A241" t="s">
        <v>1680</v>
      </c>
      <c r="B241" t="s">
        <v>1681</v>
      </c>
      <c r="C241" t="s">
        <v>2023</v>
      </c>
      <c r="D241" t="s">
        <v>2019</v>
      </c>
      <c r="E241" t="s">
        <v>2024</v>
      </c>
      <c r="F241" t="s">
        <v>2021</v>
      </c>
      <c r="G241">
        <v>3000</v>
      </c>
      <c r="H241">
        <v>3300</v>
      </c>
      <c r="P241" t="s">
        <v>80</v>
      </c>
      <c r="R241" s="7">
        <v>33664</v>
      </c>
      <c r="T241" t="s">
        <v>2025</v>
      </c>
      <c r="W241" s="15">
        <v>1.20048</v>
      </c>
      <c r="X241" s="15">
        <v>-77.315929999999994</v>
      </c>
      <c r="Y241">
        <v>4874.3140000000003</v>
      </c>
      <c r="Z241">
        <v>2893</v>
      </c>
      <c r="AA241" t="s">
        <v>2026</v>
      </c>
      <c r="AB241" t="s">
        <v>2027</v>
      </c>
      <c r="AF241" t="s">
        <v>50</v>
      </c>
      <c r="AG241" t="s">
        <v>127</v>
      </c>
      <c r="AH241" t="s">
        <v>1996</v>
      </c>
      <c r="AI241" t="s">
        <v>2028</v>
      </c>
      <c r="AJ241">
        <v>257</v>
      </c>
    </row>
    <row r="242" spans="1:36">
      <c r="A242" t="s">
        <v>1680</v>
      </c>
      <c r="B242" t="s">
        <v>1681</v>
      </c>
      <c r="C242" t="s">
        <v>2029</v>
      </c>
      <c r="D242" t="s">
        <v>2030</v>
      </c>
      <c r="E242" t="s">
        <v>2031</v>
      </c>
      <c r="F242">
        <v>3250</v>
      </c>
      <c r="G242">
        <v>3250</v>
      </c>
      <c r="H242">
        <v>3250</v>
      </c>
      <c r="I242" t="s">
        <v>2032</v>
      </c>
      <c r="J242" t="s">
        <v>2033</v>
      </c>
      <c r="K242" t="s">
        <v>1320</v>
      </c>
      <c r="L242" t="s">
        <v>1321</v>
      </c>
      <c r="M242" t="s">
        <v>2034</v>
      </c>
      <c r="N242" t="s">
        <v>2035</v>
      </c>
      <c r="O242" t="s">
        <v>1583</v>
      </c>
      <c r="P242" t="s">
        <v>2036</v>
      </c>
      <c r="R242" s="7">
        <v>35635</v>
      </c>
      <c r="T242" t="s">
        <v>119</v>
      </c>
      <c r="W242" s="15">
        <v>1.2183200000000001</v>
      </c>
      <c r="X242" s="15">
        <v>-77.170910000000006</v>
      </c>
      <c r="Y242">
        <v>1275.0609999999999</v>
      </c>
      <c r="Z242">
        <v>3254</v>
      </c>
      <c r="AB242" t="s">
        <v>2037</v>
      </c>
      <c r="AF242" t="s">
        <v>50</v>
      </c>
      <c r="AG242" t="s">
        <v>127</v>
      </c>
      <c r="AH242" t="s">
        <v>1996</v>
      </c>
      <c r="AI242" t="s">
        <v>2038</v>
      </c>
      <c r="AJ242">
        <v>258</v>
      </c>
    </row>
    <row r="243" spans="1:36">
      <c r="A243" t="s">
        <v>1680</v>
      </c>
      <c r="B243" t="s">
        <v>1681</v>
      </c>
      <c r="C243" t="s">
        <v>2039</v>
      </c>
      <c r="D243" t="s">
        <v>2040</v>
      </c>
      <c r="E243" t="s">
        <v>2041</v>
      </c>
      <c r="F243" t="s">
        <v>2021</v>
      </c>
      <c r="G243">
        <v>3000</v>
      </c>
      <c r="H243">
        <v>3300</v>
      </c>
      <c r="I243" t="s">
        <v>1988</v>
      </c>
      <c r="J243" t="s">
        <v>1989</v>
      </c>
      <c r="K243" t="s">
        <v>1990</v>
      </c>
      <c r="L243" t="s">
        <v>1991</v>
      </c>
      <c r="M243" t="s">
        <v>1992</v>
      </c>
      <c r="N243" t="s">
        <v>1993</v>
      </c>
      <c r="O243" t="s">
        <v>1994</v>
      </c>
      <c r="P243" t="s">
        <v>1995</v>
      </c>
      <c r="R243" s="7">
        <v>33664</v>
      </c>
      <c r="T243" t="s">
        <v>119</v>
      </c>
      <c r="W243" s="15">
        <v>1.2136917</v>
      </c>
      <c r="X243" s="15">
        <v>-77.2726361</v>
      </c>
      <c r="AF243" t="s">
        <v>50</v>
      </c>
      <c r="AG243" t="s">
        <v>2042</v>
      </c>
      <c r="AH243" t="s">
        <v>2043</v>
      </c>
      <c r="AI243" t="s">
        <v>2044</v>
      </c>
      <c r="AJ243">
        <v>259</v>
      </c>
    </row>
    <row r="244" spans="1:36">
      <c r="A244" t="s">
        <v>1680</v>
      </c>
      <c r="B244" t="s">
        <v>1681</v>
      </c>
      <c r="C244" t="s">
        <v>2045</v>
      </c>
      <c r="D244" t="s">
        <v>2046</v>
      </c>
      <c r="E244" t="s">
        <v>2047</v>
      </c>
      <c r="F244" t="s">
        <v>2048</v>
      </c>
      <c r="G244">
        <v>3000</v>
      </c>
      <c r="H244">
        <v>3200</v>
      </c>
      <c r="P244" t="s">
        <v>80</v>
      </c>
      <c r="R244" s="7">
        <v>15277</v>
      </c>
      <c r="W244" s="15">
        <v>7.39297</v>
      </c>
      <c r="X244" s="15">
        <v>-72.429209999999998</v>
      </c>
      <c r="Y244">
        <v>1661.5920000000001</v>
      </c>
      <c r="Z244">
        <v>2990</v>
      </c>
      <c r="AB244" t="s">
        <v>2049</v>
      </c>
      <c r="AF244" t="s">
        <v>50</v>
      </c>
      <c r="AG244" t="s">
        <v>1306</v>
      </c>
      <c r="AH244" t="s">
        <v>2050</v>
      </c>
      <c r="AI244" t="s">
        <v>2051</v>
      </c>
      <c r="AJ244">
        <v>260</v>
      </c>
    </row>
    <row r="245" spans="1:36">
      <c r="A245" t="s">
        <v>1680</v>
      </c>
      <c r="B245" t="s">
        <v>1681</v>
      </c>
      <c r="C245" t="s">
        <v>2052</v>
      </c>
      <c r="D245" t="s">
        <v>2053</v>
      </c>
      <c r="E245" t="s">
        <v>2054</v>
      </c>
      <c r="F245" t="s">
        <v>2055</v>
      </c>
      <c r="G245">
        <v>3150</v>
      </c>
      <c r="H245">
        <v>3250</v>
      </c>
      <c r="I245" t="s">
        <v>785</v>
      </c>
      <c r="J245" t="s">
        <v>786</v>
      </c>
      <c r="K245" t="s">
        <v>787</v>
      </c>
      <c r="L245" t="s">
        <v>788</v>
      </c>
      <c r="M245" t="s">
        <v>789</v>
      </c>
      <c r="N245" t="s">
        <v>790</v>
      </c>
      <c r="O245" t="s">
        <v>791</v>
      </c>
      <c r="P245" t="s">
        <v>792</v>
      </c>
      <c r="R245" s="7">
        <v>34076</v>
      </c>
      <c r="T245" t="s">
        <v>119</v>
      </c>
      <c r="W245" s="15">
        <v>1.1480399999999999</v>
      </c>
      <c r="X245" s="15">
        <v>-77.098079999999996</v>
      </c>
      <c r="Y245">
        <v>2065.6619999999998</v>
      </c>
      <c r="Z245">
        <v>3240</v>
      </c>
      <c r="AB245" t="s">
        <v>2056</v>
      </c>
      <c r="AF245" t="s">
        <v>50</v>
      </c>
      <c r="AG245" t="s">
        <v>67</v>
      </c>
      <c r="AH245" t="s">
        <v>2057</v>
      </c>
      <c r="AI245" t="s">
        <v>2058</v>
      </c>
      <c r="AJ245">
        <v>261</v>
      </c>
    </row>
    <row r="246" spans="1:36">
      <c r="A246" t="s">
        <v>1680</v>
      </c>
      <c r="B246" t="s">
        <v>1681</v>
      </c>
      <c r="C246" t="s">
        <v>2059</v>
      </c>
      <c r="D246" t="s">
        <v>2060</v>
      </c>
      <c r="E246" t="s">
        <v>2061</v>
      </c>
      <c r="F246">
        <v>2750</v>
      </c>
      <c r="G246">
        <v>2750</v>
      </c>
      <c r="H246">
        <v>2750</v>
      </c>
      <c r="I246" t="s">
        <v>797</v>
      </c>
      <c r="J246" t="s">
        <v>798</v>
      </c>
      <c r="K246" t="s">
        <v>2062</v>
      </c>
      <c r="L246" t="s">
        <v>2063</v>
      </c>
      <c r="M246" t="s">
        <v>2064</v>
      </c>
      <c r="N246" t="s">
        <v>801</v>
      </c>
      <c r="O246" t="s">
        <v>422</v>
      </c>
      <c r="P246" t="s">
        <v>802</v>
      </c>
      <c r="R246" s="7">
        <v>33786</v>
      </c>
      <c r="W246" s="15">
        <v>4.6666667000000004</v>
      </c>
      <c r="X246" s="15">
        <v>-75.5</v>
      </c>
      <c r="AF246" t="s">
        <v>50</v>
      </c>
      <c r="AG246" t="s">
        <v>182</v>
      </c>
      <c r="AH246" t="s">
        <v>803</v>
      </c>
      <c r="AI246" t="s">
        <v>2065</v>
      </c>
      <c r="AJ246">
        <v>262</v>
      </c>
    </row>
    <row r="247" spans="1:36">
      <c r="A247" t="s">
        <v>1680</v>
      </c>
      <c r="B247" t="s">
        <v>1681</v>
      </c>
      <c r="C247" t="s">
        <v>2066</v>
      </c>
      <c r="D247" t="s">
        <v>2067</v>
      </c>
      <c r="E247" t="s">
        <v>2068</v>
      </c>
      <c r="F247">
        <v>3600</v>
      </c>
      <c r="G247">
        <v>3600</v>
      </c>
      <c r="H247">
        <v>3600</v>
      </c>
      <c r="I247" t="s">
        <v>797</v>
      </c>
      <c r="J247" t="s">
        <v>798</v>
      </c>
      <c r="K247" t="s">
        <v>799</v>
      </c>
      <c r="L247" t="s">
        <v>419</v>
      </c>
      <c r="M247" t="s">
        <v>800</v>
      </c>
      <c r="N247" t="s">
        <v>801</v>
      </c>
      <c r="O247" t="s">
        <v>422</v>
      </c>
      <c r="P247" t="s">
        <v>802</v>
      </c>
      <c r="R247" s="7">
        <v>34637</v>
      </c>
      <c r="T247" t="s">
        <v>111</v>
      </c>
      <c r="W247" s="15">
        <v>4.6666667000000004</v>
      </c>
      <c r="X247" s="15">
        <v>-75.5</v>
      </c>
      <c r="AF247" t="s">
        <v>50</v>
      </c>
      <c r="AG247" t="s">
        <v>182</v>
      </c>
      <c r="AH247" t="s">
        <v>803</v>
      </c>
      <c r="AI247" t="s">
        <v>2069</v>
      </c>
      <c r="AJ247">
        <v>263</v>
      </c>
    </row>
    <row r="248" spans="1:36">
      <c r="A248" t="s">
        <v>1680</v>
      </c>
      <c r="B248" t="s">
        <v>1681</v>
      </c>
      <c r="C248" t="s">
        <v>2070</v>
      </c>
      <c r="D248" t="s">
        <v>2071</v>
      </c>
      <c r="E248" t="s">
        <v>2072</v>
      </c>
      <c r="F248" t="s">
        <v>2073</v>
      </c>
      <c r="G248">
        <v>2430</v>
      </c>
      <c r="H248">
        <v>3200</v>
      </c>
      <c r="I248" t="s">
        <v>2074</v>
      </c>
      <c r="J248" t="s">
        <v>2075</v>
      </c>
      <c r="K248" t="s">
        <v>2076</v>
      </c>
      <c r="L248" t="s">
        <v>2077</v>
      </c>
      <c r="M248" t="s">
        <v>2078</v>
      </c>
      <c r="N248" t="s">
        <v>2079</v>
      </c>
      <c r="O248" t="s">
        <v>2080</v>
      </c>
      <c r="P248" t="s">
        <v>2081</v>
      </c>
      <c r="R248" s="7">
        <v>40017</v>
      </c>
      <c r="T248" t="s">
        <v>119</v>
      </c>
      <c r="W248" s="15">
        <v>4.6414999999999997</v>
      </c>
      <c r="X248" s="15">
        <v>-75.486777799999999</v>
      </c>
      <c r="AF248" t="s">
        <v>50</v>
      </c>
      <c r="AG248" t="s">
        <v>182</v>
      </c>
      <c r="AH248" t="s">
        <v>803</v>
      </c>
      <c r="AI248" t="s">
        <v>2082</v>
      </c>
      <c r="AJ248">
        <v>264</v>
      </c>
    </row>
    <row r="249" spans="1:36">
      <c r="A249" t="s">
        <v>1680</v>
      </c>
      <c r="B249" t="s">
        <v>1681</v>
      </c>
      <c r="C249" t="s">
        <v>2083</v>
      </c>
      <c r="D249" t="s">
        <v>2084</v>
      </c>
      <c r="E249" t="s">
        <v>2085</v>
      </c>
      <c r="F249" t="s">
        <v>2086</v>
      </c>
      <c r="G249">
        <v>2871</v>
      </c>
      <c r="H249">
        <v>3502</v>
      </c>
      <c r="I249" t="s">
        <v>2087</v>
      </c>
      <c r="J249" t="s">
        <v>2088</v>
      </c>
      <c r="K249" t="s">
        <v>2089</v>
      </c>
      <c r="L249" t="s">
        <v>2090</v>
      </c>
      <c r="M249" t="s">
        <v>2091</v>
      </c>
      <c r="N249" t="s">
        <v>2092</v>
      </c>
      <c r="O249" t="s">
        <v>755</v>
      </c>
      <c r="P249" t="s">
        <v>2093</v>
      </c>
      <c r="R249" s="7">
        <v>40334</v>
      </c>
      <c r="T249" t="s">
        <v>119</v>
      </c>
      <c r="W249" s="15">
        <v>4.6500000000000004</v>
      </c>
      <c r="X249" s="15">
        <v>-75.483333299999998</v>
      </c>
      <c r="AF249" t="s">
        <v>50</v>
      </c>
      <c r="AG249" t="s">
        <v>182</v>
      </c>
      <c r="AH249" t="s">
        <v>803</v>
      </c>
      <c r="AI249" t="s">
        <v>2094</v>
      </c>
      <c r="AJ249">
        <v>265</v>
      </c>
    </row>
    <row r="250" spans="1:36">
      <c r="A250" t="s">
        <v>1680</v>
      </c>
      <c r="B250" t="s">
        <v>1681</v>
      </c>
      <c r="C250" t="s">
        <v>2095</v>
      </c>
      <c r="D250" t="s">
        <v>2096</v>
      </c>
      <c r="E250" t="s">
        <v>2097</v>
      </c>
      <c r="F250">
        <v>3280</v>
      </c>
      <c r="G250">
        <v>3280</v>
      </c>
      <c r="H250">
        <v>3280</v>
      </c>
      <c r="I250" t="s">
        <v>2098</v>
      </c>
      <c r="J250" t="s">
        <v>2099</v>
      </c>
      <c r="K250" t="s">
        <v>2100</v>
      </c>
      <c r="L250" t="s">
        <v>2101</v>
      </c>
      <c r="M250" t="s">
        <v>2102</v>
      </c>
      <c r="N250" t="s">
        <v>2103</v>
      </c>
      <c r="O250" t="s">
        <v>2104</v>
      </c>
      <c r="P250" t="s">
        <v>2105</v>
      </c>
      <c r="R250" s="7">
        <v>29247</v>
      </c>
      <c r="W250" s="15">
        <v>4.8666666999999997</v>
      </c>
      <c r="X250" s="15">
        <v>-75.616666699999996</v>
      </c>
      <c r="AF250" t="s">
        <v>50</v>
      </c>
      <c r="AG250" t="s">
        <v>360</v>
      </c>
      <c r="AH250" t="s">
        <v>2106</v>
      </c>
      <c r="AI250" t="s">
        <v>2107</v>
      </c>
      <c r="AJ250">
        <v>266</v>
      </c>
    </row>
    <row r="251" spans="1:36">
      <c r="A251" t="s">
        <v>1680</v>
      </c>
      <c r="B251" t="s">
        <v>1681</v>
      </c>
      <c r="C251" t="s">
        <v>2108</v>
      </c>
      <c r="D251" t="s">
        <v>2109</v>
      </c>
      <c r="E251" t="s">
        <v>2110</v>
      </c>
      <c r="F251">
        <v>3300</v>
      </c>
      <c r="G251">
        <v>3300</v>
      </c>
      <c r="H251">
        <v>3300</v>
      </c>
      <c r="P251" t="s">
        <v>80</v>
      </c>
      <c r="R251" s="7">
        <v>30438</v>
      </c>
      <c r="W251" s="15">
        <v>5.1285999999999996</v>
      </c>
      <c r="X251" s="15">
        <v>-76.048439999999999</v>
      </c>
      <c r="Y251">
        <v>2194.4319999999998</v>
      </c>
      <c r="Z251">
        <v>3052</v>
      </c>
      <c r="AB251" t="s">
        <v>2111</v>
      </c>
      <c r="AF251" t="s">
        <v>50</v>
      </c>
      <c r="AG251" t="s">
        <v>360</v>
      </c>
      <c r="AH251" t="s">
        <v>367</v>
      </c>
      <c r="AI251" t="s">
        <v>2112</v>
      </c>
      <c r="AJ251">
        <v>268</v>
      </c>
    </row>
    <row r="252" spans="1:36">
      <c r="A252" t="s">
        <v>1680</v>
      </c>
      <c r="B252" t="s">
        <v>1681</v>
      </c>
      <c r="C252" t="s">
        <v>2113</v>
      </c>
      <c r="D252" t="s">
        <v>2114</v>
      </c>
      <c r="E252" t="s">
        <v>2115</v>
      </c>
      <c r="F252">
        <v>2740</v>
      </c>
      <c r="G252">
        <v>2740</v>
      </c>
      <c r="H252">
        <v>2740</v>
      </c>
      <c r="I252" t="s">
        <v>2098</v>
      </c>
      <c r="J252" t="s">
        <v>2099</v>
      </c>
      <c r="K252" t="s">
        <v>2100</v>
      </c>
      <c r="L252" t="s">
        <v>2101</v>
      </c>
      <c r="M252" t="s">
        <v>2102</v>
      </c>
      <c r="N252" t="s">
        <v>2103</v>
      </c>
      <c r="O252" t="s">
        <v>2104</v>
      </c>
      <c r="P252" t="s">
        <v>2105</v>
      </c>
      <c r="R252" s="7">
        <v>31594</v>
      </c>
      <c r="W252" s="15">
        <v>4.8666666999999997</v>
      </c>
      <c r="X252" s="15">
        <v>-75.616666699999996</v>
      </c>
      <c r="AF252" t="s">
        <v>50</v>
      </c>
      <c r="AG252" t="s">
        <v>360</v>
      </c>
      <c r="AH252" t="s">
        <v>2116</v>
      </c>
      <c r="AI252" t="s">
        <v>2117</v>
      </c>
      <c r="AJ252">
        <v>269</v>
      </c>
    </row>
    <row r="253" spans="1:36">
      <c r="A253" t="s">
        <v>1680</v>
      </c>
      <c r="B253" t="s">
        <v>1681</v>
      </c>
      <c r="C253" t="s">
        <v>2118</v>
      </c>
      <c r="D253" t="s">
        <v>1837</v>
      </c>
      <c r="E253" t="s">
        <v>2119</v>
      </c>
      <c r="F253">
        <v>3648</v>
      </c>
      <c r="G253">
        <v>3648</v>
      </c>
      <c r="H253">
        <v>3648</v>
      </c>
      <c r="I253" t="s">
        <v>2120</v>
      </c>
      <c r="J253" t="s">
        <v>2121</v>
      </c>
      <c r="K253" t="s">
        <v>2122</v>
      </c>
      <c r="L253" t="s">
        <v>2123</v>
      </c>
      <c r="M253" t="s">
        <v>2124</v>
      </c>
      <c r="P253" t="s">
        <v>80</v>
      </c>
      <c r="R253" s="7">
        <v>40744</v>
      </c>
      <c r="T253" t="s">
        <v>119</v>
      </c>
      <c r="W253" s="15">
        <v>5.1208051000000001</v>
      </c>
      <c r="X253" s="15">
        <v>-76.059453199999993</v>
      </c>
      <c r="AF253" t="s">
        <v>50</v>
      </c>
      <c r="AG253" t="s">
        <v>360</v>
      </c>
      <c r="AH253" t="s">
        <v>367</v>
      </c>
      <c r="AI253" t="s">
        <v>2125</v>
      </c>
      <c r="AJ253">
        <v>270</v>
      </c>
    </row>
    <row r="254" spans="1:36">
      <c r="A254" t="s">
        <v>1680</v>
      </c>
      <c r="B254" t="s">
        <v>1681</v>
      </c>
      <c r="C254" t="s">
        <v>2126</v>
      </c>
      <c r="D254" t="s">
        <v>1820</v>
      </c>
      <c r="E254" t="s">
        <v>2127</v>
      </c>
      <c r="F254" t="s">
        <v>1768</v>
      </c>
      <c r="G254">
        <v>3000</v>
      </c>
      <c r="H254">
        <v>3500</v>
      </c>
      <c r="I254" t="s">
        <v>2120</v>
      </c>
      <c r="J254" t="s">
        <v>2121</v>
      </c>
      <c r="K254" t="s">
        <v>2122</v>
      </c>
      <c r="L254" t="s">
        <v>2123</v>
      </c>
      <c r="M254" t="s">
        <v>2124</v>
      </c>
      <c r="P254" t="s">
        <v>80</v>
      </c>
      <c r="R254" s="7">
        <v>40744</v>
      </c>
      <c r="T254" t="s">
        <v>119</v>
      </c>
      <c r="W254" s="15">
        <v>5.1208051000000001</v>
      </c>
      <c r="X254" s="15">
        <v>-76.059453199999993</v>
      </c>
      <c r="AF254" t="s">
        <v>50</v>
      </c>
      <c r="AG254" t="s">
        <v>360</v>
      </c>
      <c r="AH254" t="s">
        <v>367</v>
      </c>
      <c r="AI254" t="s">
        <v>2128</v>
      </c>
      <c r="AJ254">
        <v>271</v>
      </c>
    </row>
    <row r="255" spans="1:36">
      <c r="A255" t="s">
        <v>1680</v>
      </c>
      <c r="B255" t="s">
        <v>1681</v>
      </c>
      <c r="C255" t="s">
        <v>2129</v>
      </c>
      <c r="D255" t="s">
        <v>1529</v>
      </c>
      <c r="E255" t="s">
        <v>2130</v>
      </c>
      <c r="F255">
        <v>3648</v>
      </c>
      <c r="G255">
        <v>3648</v>
      </c>
      <c r="H255">
        <v>3648</v>
      </c>
      <c r="I255" t="s">
        <v>2120</v>
      </c>
      <c r="J255" t="s">
        <v>2121</v>
      </c>
      <c r="K255" t="s">
        <v>2131</v>
      </c>
      <c r="L255" t="s">
        <v>2132</v>
      </c>
      <c r="M255" t="s">
        <v>2133</v>
      </c>
      <c r="P255" t="s">
        <v>80</v>
      </c>
      <c r="R255" s="7">
        <v>40744</v>
      </c>
      <c r="T255" t="s">
        <v>119</v>
      </c>
      <c r="W255" s="15">
        <v>5.1208051000000001</v>
      </c>
      <c r="X255" s="15">
        <v>-76.059453199999993</v>
      </c>
      <c r="AF255" t="s">
        <v>50</v>
      </c>
      <c r="AG255" t="s">
        <v>360</v>
      </c>
      <c r="AH255" t="s">
        <v>367</v>
      </c>
      <c r="AI255" t="s">
        <v>2134</v>
      </c>
      <c r="AJ255">
        <v>272</v>
      </c>
    </row>
    <row r="256" spans="1:36">
      <c r="A256" t="s">
        <v>1680</v>
      </c>
      <c r="B256" t="s">
        <v>1681</v>
      </c>
      <c r="C256" t="s">
        <v>2135</v>
      </c>
      <c r="D256" t="s">
        <v>2136</v>
      </c>
      <c r="E256" t="s">
        <v>2137</v>
      </c>
      <c r="F256">
        <v>3460</v>
      </c>
      <c r="G256">
        <v>3460</v>
      </c>
      <c r="H256">
        <v>3460</v>
      </c>
      <c r="P256" t="s">
        <v>80</v>
      </c>
      <c r="R256" s="7">
        <v>24803</v>
      </c>
      <c r="T256" t="s">
        <v>111</v>
      </c>
      <c r="W256" s="15">
        <v>6.1998800000000003</v>
      </c>
      <c r="X256" s="15">
        <v>-72.833399999999997</v>
      </c>
      <c r="Y256">
        <v>4689.9719999999998</v>
      </c>
      <c r="Z256">
        <v>2970</v>
      </c>
      <c r="AB256" t="s">
        <v>2138</v>
      </c>
      <c r="AF256" t="s">
        <v>50</v>
      </c>
      <c r="AG256" t="s">
        <v>224</v>
      </c>
      <c r="AH256" t="s">
        <v>2139</v>
      </c>
      <c r="AI256" t="s">
        <v>2140</v>
      </c>
      <c r="AJ256">
        <v>273</v>
      </c>
    </row>
    <row r="257" spans="1:37">
      <c r="A257" t="s">
        <v>1680</v>
      </c>
      <c r="B257" t="s">
        <v>1681</v>
      </c>
      <c r="C257" t="s">
        <v>2141</v>
      </c>
      <c r="D257" t="s">
        <v>2142</v>
      </c>
      <c r="E257" t="s">
        <v>2143</v>
      </c>
      <c r="F257">
        <v>3700</v>
      </c>
      <c r="G257">
        <v>3700</v>
      </c>
      <c r="H257">
        <v>3700</v>
      </c>
      <c r="I257" t="s">
        <v>2144</v>
      </c>
      <c r="J257" t="s">
        <v>2145</v>
      </c>
      <c r="K257" t="s">
        <v>2146</v>
      </c>
      <c r="L257" t="s">
        <v>2147</v>
      </c>
      <c r="M257" t="s">
        <v>2148</v>
      </c>
      <c r="N257" t="s">
        <v>2149</v>
      </c>
      <c r="O257" t="s">
        <v>2150</v>
      </c>
      <c r="P257" t="s">
        <v>2151</v>
      </c>
      <c r="R257" s="7">
        <v>29260</v>
      </c>
      <c r="W257" s="15">
        <v>4.7189417000000002</v>
      </c>
      <c r="X257" s="15">
        <v>-75.100730600000006</v>
      </c>
      <c r="AF257" t="s">
        <v>50</v>
      </c>
      <c r="AG257" t="s">
        <v>133</v>
      </c>
      <c r="AH257" t="s">
        <v>134</v>
      </c>
      <c r="AI257" t="s">
        <v>2152</v>
      </c>
      <c r="AJ257">
        <v>274</v>
      </c>
    </row>
    <row r="258" spans="1:37">
      <c r="A258" t="s">
        <v>1680</v>
      </c>
      <c r="B258" t="s">
        <v>1681</v>
      </c>
      <c r="C258" t="s">
        <v>2153</v>
      </c>
      <c r="D258" t="s">
        <v>2154</v>
      </c>
      <c r="E258" t="s">
        <v>2155</v>
      </c>
      <c r="F258">
        <v>3500</v>
      </c>
      <c r="G258">
        <v>3500</v>
      </c>
      <c r="H258">
        <v>3500</v>
      </c>
      <c r="I258" t="s">
        <v>2144</v>
      </c>
      <c r="J258" t="s">
        <v>2145</v>
      </c>
      <c r="K258" t="s">
        <v>2146</v>
      </c>
      <c r="L258" t="s">
        <v>2147</v>
      </c>
      <c r="M258" t="s">
        <v>2148</v>
      </c>
      <c r="N258" t="s">
        <v>2149</v>
      </c>
      <c r="O258" t="s">
        <v>2150</v>
      </c>
      <c r="P258" t="s">
        <v>2151</v>
      </c>
      <c r="R258" s="7">
        <v>29263</v>
      </c>
      <c r="T258" t="s">
        <v>111</v>
      </c>
      <c r="W258" s="15">
        <v>4.7189417000000002</v>
      </c>
      <c r="X258" s="15">
        <v>-75.100730600000006</v>
      </c>
      <c r="AF258" t="s">
        <v>50</v>
      </c>
      <c r="AG258" t="s">
        <v>133</v>
      </c>
      <c r="AH258" t="s">
        <v>2106</v>
      </c>
      <c r="AI258" t="s">
        <v>2156</v>
      </c>
      <c r="AJ258">
        <v>275</v>
      </c>
    </row>
    <row r="259" spans="1:37">
      <c r="A259" t="s">
        <v>1680</v>
      </c>
      <c r="B259" t="s">
        <v>1681</v>
      </c>
      <c r="C259" t="s">
        <v>2157</v>
      </c>
      <c r="D259" t="s">
        <v>2158</v>
      </c>
      <c r="E259" t="s">
        <v>2159</v>
      </c>
      <c r="F259">
        <v>3100</v>
      </c>
      <c r="G259">
        <v>3100</v>
      </c>
      <c r="H259">
        <v>3100</v>
      </c>
      <c r="I259" t="s">
        <v>2144</v>
      </c>
      <c r="J259" t="s">
        <v>2145</v>
      </c>
      <c r="K259" t="s">
        <v>2146</v>
      </c>
      <c r="L259" t="s">
        <v>2147</v>
      </c>
      <c r="M259" t="s">
        <v>2148</v>
      </c>
      <c r="N259" t="s">
        <v>2149</v>
      </c>
      <c r="O259" t="s">
        <v>2150</v>
      </c>
      <c r="P259" t="s">
        <v>2151</v>
      </c>
      <c r="R259" s="7">
        <v>29266</v>
      </c>
      <c r="T259" t="s">
        <v>119</v>
      </c>
      <c r="W259" s="15">
        <v>4.7189417000000002</v>
      </c>
      <c r="X259" s="15">
        <v>-75.100730600000006</v>
      </c>
      <c r="AF259" t="s">
        <v>50</v>
      </c>
      <c r="AG259" t="s">
        <v>133</v>
      </c>
      <c r="AH259" t="s">
        <v>1741</v>
      </c>
      <c r="AI259" t="s">
        <v>2160</v>
      </c>
      <c r="AJ259">
        <v>276</v>
      </c>
    </row>
    <row r="260" spans="1:37">
      <c r="A260" t="s">
        <v>1680</v>
      </c>
      <c r="B260" t="s">
        <v>1681</v>
      </c>
      <c r="C260" t="s">
        <v>2161</v>
      </c>
      <c r="D260" t="s">
        <v>2162</v>
      </c>
      <c r="E260" t="s">
        <v>2163</v>
      </c>
      <c r="F260">
        <v>3510</v>
      </c>
      <c r="G260">
        <v>3510</v>
      </c>
      <c r="H260">
        <v>3510</v>
      </c>
      <c r="I260" t="s">
        <v>2164</v>
      </c>
      <c r="J260" t="s">
        <v>2165</v>
      </c>
      <c r="K260" t="s">
        <v>2166</v>
      </c>
      <c r="L260" t="s">
        <v>952</v>
      </c>
      <c r="M260" t="s">
        <v>2167</v>
      </c>
      <c r="N260" t="s">
        <v>2168</v>
      </c>
      <c r="O260" t="s">
        <v>955</v>
      </c>
      <c r="P260" t="s">
        <v>2169</v>
      </c>
      <c r="R260" s="7">
        <v>37724</v>
      </c>
      <c r="W260" s="15">
        <v>4.8697777999999996</v>
      </c>
      <c r="X260" s="15">
        <v>-75.177352799999994</v>
      </c>
      <c r="AF260" t="s">
        <v>50</v>
      </c>
      <c r="AG260" t="s">
        <v>133</v>
      </c>
      <c r="AH260" t="s">
        <v>957</v>
      </c>
      <c r="AI260" t="s">
        <v>2170</v>
      </c>
      <c r="AJ260">
        <v>277</v>
      </c>
    </row>
    <row r="261" spans="1:37">
      <c r="A261" t="s">
        <v>1680</v>
      </c>
      <c r="B261" t="s">
        <v>1681</v>
      </c>
      <c r="C261" t="s">
        <v>2171</v>
      </c>
      <c r="D261" t="s">
        <v>2172</v>
      </c>
      <c r="E261" t="s">
        <v>2173</v>
      </c>
      <c r="F261">
        <v>3140</v>
      </c>
      <c r="G261">
        <v>3140</v>
      </c>
      <c r="H261">
        <v>3140</v>
      </c>
      <c r="I261" t="s">
        <v>2174</v>
      </c>
      <c r="J261" t="s">
        <v>2175</v>
      </c>
      <c r="K261" t="s">
        <v>2176</v>
      </c>
      <c r="L261" t="s">
        <v>2177</v>
      </c>
      <c r="M261" t="s">
        <v>2178</v>
      </c>
      <c r="P261" t="s">
        <v>80</v>
      </c>
      <c r="R261" s="7">
        <v>37798</v>
      </c>
      <c r="W261" s="15">
        <v>4.90585</v>
      </c>
      <c r="X261" s="15">
        <v>-75.197010000000006</v>
      </c>
      <c r="Y261">
        <v>819.86199999999997</v>
      </c>
      <c r="Z261">
        <v>3154</v>
      </c>
      <c r="AB261" t="s">
        <v>2179</v>
      </c>
      <c r="AF261" t="s">
        <v>50</v>
      </c>
      <c r="AG261" t="s">
        <v>133</v>
      </c>
      <c r="AH261" t="s">
        <v>957</v>
      </c>
      <c r="AI261" t="s">
        <v>2180</v>
      </c>
      <c r="AJ261">
        <v>278</v>
      </c>
    </row>
    <row r="262" spans="1:37">
      <c r="A262" t="s">
        <v>1680</v>
      </c>
      <c r="B262" t="s">
        <v>1681</v>
      </c>
      <c r="C262" t="s">
        <v>2181</v>
      </c>
      <c r="D262" t="s">
        <v>1060</v>
      </c>
      <c r="E262" t="s">
        <v>2182</v>
      </c>
      <c r="F262">
        <v>3500</v>
      </c>
      <c r="G262">
        <v>3500</v>
      </c>
      <c r="H262">
        <v>3500</v>
      </c>
      <c r="P262" t="s">
        <v>80</v>
      </c>
      <c r="R262" s="7">
        <v>40017</v>
      </c>
      <c r="T262" t="s">
        <v>119</v>
      </c>
      <c r="W262" s="15">
        <v>4.5803900000000004</v>
      </c>
      <c r="X262" s="15">
        <v>-75.375399999999999</v>
      </c>
      <c r="Y262">
        <v>5787.4660000000003</v>
      </c>
      <c r="Z262">
        <v>3196</v>
      </c>
      <c r="AB262" t="s">
        <v>2183</v>
      </c>
      <c r="AF262" t="s">
        <v>50</v>
      </c>
      <c r="AG262" t="s">
        <v>133</v>
      </c>
      <c r="AH262" t="s">
        <v>351</v>
      </c>
      <c r="AI262" t="s">
        <v>2184</v>
      </c>
      <c r="AJ262">
        <v>279</v>
      </c>
    </row>
    <row r="263" spans="1:37">
      <c r="A263" t="s">
        <v>1680</v>
      </c>
      <c r="B263" t="s">
        <v>1681</v>
      </c>
      <c r="C263" t="s">
        <v>2185</v>
      </c>
      <c r="D263" t="s">
        <v>2186</v>
      </c>
      <c r="E263" t="s">
        <v>2187</v>
      </c>
      <c r="F263">
        <v>3696</v>
      </c>
      <c r="G263">
        <v>3696</v>
      </c>
      <c r="H263">
        <v>3696</v>
      </c>
      <c r="I263" t="s">
        <v>2188</v>
      </c>
      <c r="J263" t="s">
        <v>2189</v>
      </c>
      <c r="K263" t="s">
        <v>2190</v>
      </c>
      <c r="L263" t="s">
        <v>2191</v>
      </c>
      <c r="M263" t="s">
        <v>2192</v>
      </c>
      <c r="N263" t="s">
        <v>347</v>
      </c>
      <c r="O263" t="s">
        <v>348</v>
      </c>
      <c r="P263" t="s">
        <v>349</v>
      </c>
      <c r="R263" s="7">
        <v>40022</v>
      </c>
      <c r="T263" t="s">
        <v>119</v>
      </c>
      <c r="W263" s="15">
        <v>4.5583499999999999</v>
      </c>
      <c r="X263" s="15">
        <v>-75.320210000000003</v>
      </c>
      <c r="Y263">
        <v>714.47500000000002</v>
      </c>
      <c r="Z263">
        <v>2033</v>
      </c>
      <c r="AB263" t="s">
        <v>350</v>
      </c>
      <c r="AF263" t="s">
        <v>50</v>
      </c>
      <c r="AG263" t="s">
        <v>133</v>
      </c>
      <c r="AH263" t="s">
        <v>351</v>
      </c>
      <c r="AI263" t="s">
        <v>2193</v>
      </c>
      <c r="AJ263">
        <v>280</v>
      </c>
    </row>
    <row r="264" spans="1:37">
      <c r="A264" t="s">
        <v>1680</v>
      </c>
      <c r="B264" t="s">
        <v>1681</v>
      </c>
      <c r="C264" t="s">
        <v>2194</v>
      </c>
      <c r="D264" t="s">
        <v>2195</v>
      </c>
      <c r="E264" t="s">
        <v>2196</v>
      </c>
      <c r="F264">
        <v>3300</v>
      </c>
      <c r="G264">
        <v>3300</v>
      </c>
      <c r="H264">
        <v>3300</v>
      </c>
      <c r="I264" t="s">
        <v>2197</v>
      </c>
      <c r="J264" t="s">
        <v>2198</v>
      </c>
      <c r="K264" t="s">
        <v>2199</v>
      </c>
      <c r="L264" t="s">
        <v>2200</v>
      </c>
      <c r="M264" t="s">
        <v>2201</v>
      </c>
      <c r="N264" t="s">
        <v>2202</v>
      </c>
      <c r="O264" t="s">
        <v>2203</v>
      </c>
      <c r="P264" t="s">
        <v>2204</v>
      </c>
      <c r="R264" s="7">
        <v>14331</v>
      </c>
      <c r="W264" s="15">
        <v>4.4400389000000002</v>
      </c>
      <c r="X264" s="15">
        <v>-75.4301028</v>
      </c>
      <c r="AF264" t="s">
        <v>50</v>
      </c>
      <c r="AG264" t="s">
        <v>2205</v>
      </c>
      <c r="AH264" t="s">
        <v>2206</v>
      </c>
      <c r="AJ264">
        <v>281</v>
      </c>
    </row>
    <row r="265" spans="1:37">
      <c r="A265" t="s">
        <v>2207</v>
      </c>
      <c r="B265" t="s">
        <v>2208</v>
      </c>
      <c r="C265" t="s">
        <v>2209</v>
      </c>
      <c r="D265" t="s">
        <v>2210</v>
      </c>
      <c r="E265" t="s">
        <v>2211</v>
      </c>
      <c r="F265">
        <v>2000</v>
      </c>
      <c r="G265">
        <v>2000</v>
      </c>
      <c r="H265">
        <v>2000</v>
      </c>
      <c r="P265" t="s">
        <v>80</v>
      </c>
      <c r="R265" s="7">
        <v>11318</v>
      </c>
      <c r="T265" t="s">
        <v>236</v>
      </c>
      <c r="W265" s="15">
        <v>6.2413999999999996</v>
      </c>
      <c r="X265" s="15">
        <v>-75.534109999999998</v>
      </c>
      <c r="Y265" s="5" t="s">
        <v>2212</v>
      </c>
      <c r="Z265">
        <v>1713</v>
      </c>
      <c r="AB265" t="s">
        <v>2213</v>
      </c>
      <c r="AF265" t="s">
        <v>50</v>
      </c>
      <c r="AG265" t="s">
        <v>402</v>
      </c>
      <c r="AH265" t="s">
        <v>855</v>
      </c>
      <c r="AI265" t="s">
        <v>2214</v>
      </c>
      <c r="AJ265">
        <v>282</v>
      </c>
    </row>
    <row r="266" spans="1:37">
      <c r="A266" t="s">
        <v>2207</v>
      </c>
      <c r="B266" t="s">
        <v>2208</v>
      </c>
      <c r="C266" t="s">
        <v>2215</v>
      </c>
      <c r="D266" t="s">
        <v>2216</v>
      </c>
      <c r="E266" t="s">
        <v>2217</v>
      </c>
      <c r="F266" t="s">
        <v>2218</v>
      </c>
      <c r="G266" t="s">
        <v>2218</v>
      </c>
      <c r="H266" t="s">
        <v>2218</v>
      </c>
      <c r="P266" t="s">
        <v>80</v>
      </c>
      <c r="R266" s="7">
        <v>17428</v>
      </c>
      <c r="T266" t="s">
        <v>399</v>
      </c>
      <c r="W266" s="15">
        <v>6.2982399999999998</v>
      </c>
      <c r="X266" s="15">
        <v>-75.49924</v>
      </c>
      <c r="Y266">
        <v>7851.9380000000001</v>
      </c>
      <c r="Z266">
        <v>2435</v>
      </c>
      <c r="AB266" t="s">
        <v>2219</v>
      </c>
      <c r="AE266">
        <v>4</v>
      </c>
      <c r="AF266" t="s">
        <v>50</v>
      </c>
      <c r="AG266" t="s">
        <v>402</v>
      </c>
      <c r="AH266" t="s">
        <v>2220</v>
      </c>
      <c r="AJ266">
        <v>283</v>
      </c>
    </row>
    <row r="267" spans="1:37">
      <c r="A267" t="s">
        <v>2207</v>
      </c>
      <c r="B267" t="s">
        <v>2208</v>
      </c>
      <c r="C267" t="s">
        <v>2221</v>
      </c>
      <c r="D267" t="s">
        <v>2222</v>
      </c>
      <c r="E267" t="s">
        <v>2223</v>
      </c>
      <c r="F267" t="s">
        <v>2224</v>
      </c>
      <c r="G267">
        <v>2000</v>
      </c>
      <c r="H267">
        <v>2200</v>
      </c>
      <c r="P267" t="s">
        <v>80</v>
      </c>
      <c r="R267" s="7">
        <v>17958</v>
      </c>
      <c r="T267" t="s">
        <v>399</v>
      </c>
      <c r="W267" s="15">
        <v>5.6297800000000002</v>
      </c>
      <c r="X267" s="15">
        <v>-75.167450000000002</v>
      </c>
      <c r="Y267">
        <v>1924.579</v>
      </c>
      <c r="Z267">
        <v>1811</v>
      </c>
      <c r="AB267" t="s">
        <v>2222</v>
      </c>
      <c r="AF267" t="s">
        <v>50</v>
      </c>
      <c r="AG267" t="s">
        <v>402</v>
      </c>
      <c r="AH267" t="s">
        <v>127</v>
      </c>
      <c r="AI267" t="s">
        <v>2225</v>
      </c>
      <c r="AJ267">
        <v>285</v>
      </c>
    </row>
    <row r="268" spans="1:37">
      <c r="A268" t="s">
        <v>2207</v>
      </c>
      <c r="B268" t="s">
        <v>2208</v>
      </c>
      <c r="C268" t="s">
        <v>2226</v>
      </c>
      <c r="D268" t="s">
        <v>2227</v>
      </c>
      <c r="E268" t="s">
        <v>2228</v>
      </c>
      <c r="F268">
        <v>1850</v>
      </c>
      <c r="G268">
        <v>1850</v>
      </c>
      <c r="H268">
        <v>1850</v>
      </c>
      <c r="P268" t="s">
        <v>80</v>
      </c>
      <c r="R268" s="7">
        <v>30623</v>
      </c>
      <c r="T268" t="s">
        <v>119</v>
      </c>
      <c r="W268" s="15">
        <v>6.3112199999999996</v>
      </c>
      <c r="X268" s="15">
        <v>-75.146090000000001</v>
      </c>
      <c r="Y268">
        <v>2681.63</v>
      </c>
      <c r="Z268">
        <v>1854</v>
      </c>
      <c r="AB268" t="s">
        <v>2229</v>
      </c>
      <c r="AF268" t="s">
        <v>50</v>
      </c>
      <c r="AG268" t="s">
        <v>402</v>
      </c>
      <c r="AH268" t="s">
        <v>2230</v>
      </c>
      <c r="AI268" t="s">
        <v>2231</v>
      </c>
      <c r="AJ268">
        <v>286</v>
      </c>
    </row>
    <row r="269" spans="1:37" s="2" customFormat="1">
      <c r="A269" t="s">
        <v>2207</v>
      </c>
      <c r="B269" t="s">
        <v>2208</v>
      </c>
      <c r="C269" t="s">
        <v>2232</v>
      </c>
      <c r="D269" t="s">
        <v>2233</v>
      </c>
      <c r="E269" t="s">
        <v>2234</v>
      </c>
      <c r="F269">
        <v>2290</v>
      </c>
      <c r="G269">
        <v>2290</v>
      </c>
      <c r="H269">
        <v>2290</v>
      </c>
      <c r="I269"/>
      <c r="J269"/>
      <c r="K269"/>
      <c r="L269"/>
      <c r="M269"/>
      <c r="N269"/>
      <c r="O269"/>
      <c r="P269" t="s">
        <v>80</v>
      </c>
      <c r="Q269"/>
      <c r="R269" s="7">
        <v>30723</v>
      </c>
      <c r="S269"/>
      <c r="T269" t="s">
        <v>399</v>
      </c>
      <c r="U269"/>
      <c r="V269"/>
      <c r="W269" s="15">
        <v>6.2960399999999996</v>
      </c>
      <c r="X269" s="15">
        <v>-75.499089999999995</v>
      </c>
      <c r="Y269">
        <v>178.69900000000001</v>
      </c>
      <c r="Z269">
        <v>2435</v>
      </c>
      <c r="AA269"/>
      <c r="AB269" t="s">
        <v>2235</v>
      </c>
      <c r="AC269"/>
      <c r="AD269"/>
      <c r="AE269"/>
      <c r="AF269" t="s">
        <v>50</v>
      </c>
      <c r="AG269" t="s">
        <v>402</v>
      </c>
      <c r="AH269" t="s">
        <v>550</v>
      </c>
      <c r="AI269" t="s">
        <v>2236</v>
      </c>
      <c r="AJ269">
        <v>287</v>
      </c>
      <c r="AK269" s="11"/>
    </row>
    <row r="270" spans="1:37">
      <c r="A270" t="s">
        <v>2207</v>
      </c>
      <c r="B270" t="s">
        <v>2208</v>
      </c>
      <c r="C270" t="s">
        <v>2237</v>
      </c>
      <c r="D270" t="s">
        <v>2238</v>
      </c>
      <c r="E270" t="s">
        <v>2239</v>
      </c>
      <c r="F270">
        <v>1950</v>
      </c>
      <c r="G270">
        <v>1950</v>
      </c>
      <c r="H270">
        <v>1950</v>
      </c>
      <c r="P270" t="s">
        <v>80</v>
      </c>
      <c r="R270" s="7">
        <v>30728</v>
      </c>
      <c r="W270" s="15">
        <v>6.0461</v>
      </c>
      <c r="X270" s="15">
        <v>-75.603669999999994</v>
      </c>
      <c r="Y270">
        <v>2986.3069999999998</v>
      </c>
      <c r="Z270">
        <v>2049</v>
      </c>
      <c r="AB270" t="s">
        <v>2240</v>
      </c>
      <c r="AF270" t="s">
        <v>50</v>
      </c>
      <c r="AG270" t="s">
        <v>402</v>
      </c>
      <c r="AH270" t="s">
        <v>167</v>
      </c>
      <c r="AI270" t="s">
        <v>2241</v>
      </c>
      <c r="AJ270">
        <v>288</v>
      </c>
    </row>
    <row r="271" spans="1:37">
      <c r="A271" t="s">
        <v>2207</v>
      </c>
      <c r="B271" t="s">
        <v>2208</v>
      </c>
      <c r="C271" t="s">
        <v>2242</v>
      </c>
      <c r="D271" t="s">
        <v>2243</v>
      </c>
      <c r="E271" t="s">
        <v>2244</v>
      </c>
      <c r="F271">
        <v>1950</v>
      </c>
      <c r="G271">
        <v>1950</v>
      </c>
      <c r="H271">
        <v>1950</v>
      </c>
      <c r="P271" t="s">
        <v>80</v>
      </c>
      <c r="R271" s="7">
        <v>30728</v>
      </c>
      <c r="T271" t="s">
        <v>236</v>
      </c>
      <c r="W271" s="15">
        <v>6.0461</v>
      </c>
      <c r="X271" s="15">
        <v>-75.603669999999994</v>
      </c>
      <c r="Y271">
        <v>2986.3069999999998</v>
      </c>
      <c r="Z271">
        <v>2049</v>
      </c>
      <c r="AB271" t="s">
        <v>2240</v>
      </c>
      <c r="AF271" t="s">
        <v>50</v>
      </c>
      <c r="AG271" t="s">
        <v>402</v>
      </c>
      <c r="AH271" t="s">
        <v>167</v>
      </c>
      <c r="AI271" t="s">
        <v>2245</v>
      </c>
      <c r="AJ271">
        <v>289</v>
      </c>
    </row>
    <row r="272" spans="1:37">
      <c r="A272" t="s">
        <v>2207</v>
      </c>
      <c r="B272" t="s">
        <v>2208</v>
      </c>
      <c r="C272" t="s">
        <v>2246</v>
      </c>
      <c r="D272" t="s">
        <v>2247</v>
      </c>
      <c r="E272" t="s">
        <v>2248</v>
      </c>
      <c r="F272">
        <v>1950</v>
      </c>
      <c r="G272">
        <v>1950</v>
      </c>
      <c r="H272">
        <v>1950</v>
      </c>
      <c r="P272" t="s">
        <v>80</v>
      </c>
      <c r="R272" s="7">
        <v>30877</v>
      </c>
      <c r="T272" t="s">
        <v>236</v>
      </c>
      <c r="W272" s="15">
        <v>6.0461</v>
      </c>
      <c r="X272" s="15">
        <v>-75.603669999999994</v>
      </c>
      <c r="Y272">
        <v>2986.3069999999998</v>
      </c>
      <c r="Z272">
        <v>2049</v>
      </c>
      <c r="AB272" t="s">
        <v>2240</v>
      </c>
      <c r="AF272" t="s">
        <v>50</v>
      </c>
      <c r="AG272" t="s">
        <v>402</v>
      </c>
      <c r="AH272" t="s">
        <v>167</v>
      </c>
      <c r="AI272" t="s">
        <v>2249</v>
      </c>
      <c r="AJ272">
        <v>290</v>
      </c>
    </row>
    <row r="273" spans="1:36">
      <c r="A273" t="s">
        <v>2207</v>
      </c>
      <c r="B273" t="s">
        <v>2208</v>
      </c>
      <c r="C273" t="s">
        <v>2250</v>
      </c>
      <c r="D273" t="s">
        <v>2251</v>
      </c>
      <c r="E273" t="s">
        <v>2252</v>
      </c>
      <c r="F273">
        <v>2240</v>
      </c>
      <c r="G273">
        <v>2240</v>
      </c>
      <c r="H273">
        <v>2240</v>
      </c>
      <c r="P273" t="s">
        <v>80</v>
      </c>
      <c r="R273" s="7">
        <v>31136</v>
      </c>
      <c r="T273" t="s">
        <v>119</v>
      </c>
      <c r="W273" s="15">
        <v>6.0881100000000004</v>
      </c>
      <c r="X273" s="15">
        <v>-75.596379999999996</v>
      </c>
      <c r="Y273">
        <v>2748.451</v>
      </c>
      <c r="Z273">
        <v>2290</v>
      </c>
      <c r="AB273" t="s">
        <v>2253</v>
      </c>
      <c r="AF273" t="s">
        <v>50</v>
      </c>
      <c r="AG273" t="s">
        <v>402</v>
      </c>
      <c r="AH273" t="s">
        <v>167</v>
      </c>
      <c r="AI273" t="s">
        <v>2254</v>
      </c>
      <c r="AJ273">
        <v>291</v>
      </c>
    </row>
    <row r="274" spans="1:36">
      <c r="A274" t="s">
        <v>2207</v>
      </c>
      <c r="B274" t="s">
        <v>2208</v>
      </c>
      <c r="C274" t="s">
        <v>2255</v>
      </c>
      <c r="D274" t="s">
        <v>2256</v>
      </c>
      <c r="E274" t="s">
        <v>2257</v>
      </c>
      <c r="F274">
        <v>2240</v>
      </c>
      <c r="G274">
        <v>2240</v>
      </c>
      <c r="H274">
        <v>2240</v>
      </c>
      <c r="P274" t="s">
        <v>80</v>
      </c>
      <c r="R274" s="7">
        <v>31136</v>
      </c>
      <c r="T274" t="s">
        <v>119</v>
      </c>
      <c r="W274" s="15">
        <v>6.0891200000000003</v>
      </c>
      <c r="X274" s="15">
        <v>-75.591300000000004</v>
      </c>
      <c r="Y274">
        <v>1290.106</v>
      </c>
      <c r="Z274">
        <v>2654</v>
      </c>
      <c r="AB274" t="s">
        <v>2256</v>
      </c>
      <c r="AF274" t="s">
        <v>50</v>
      </c>
      <c r="AG274" t="s">
        <v>402</v>
      </c>
      <c r="AH274" t="s">
        <v>167</v>
      </c>
      <c r="AI274" t="s">
        <v>2258</v>
      </c>
      <c r="AJ274">
        <v>292</v>
      </c>
    </row>
    <row r="275" spans="1:36">
      <c r="A275" t="s">
        <v>2207</v>
      </c>
      <c r="B275" t="s">
        <v>2208</v>
      </c>
      <c r="C275" t="s">
        <v>2259</v>
      </c>
      <c r="D275" t="s">
        <v>2260</v>
      </c>
      <c r="E275" t="s">
        <v>2261</v>
      </c>
      <c r="F275" t="s">
        <v>399</v>
      </c>
      <c r="G275" t="s">
        <v>399</v>
      </c>
      <c r="H275" t="s">
        <v>399</v>
      </c>
      <c r="I275" t="s">
        <v>399</v>
      </c>
      <c r="P275" t="s">
        <v>80</v>
      </c>
      <c r="R275" s="7">
        <v>31352</v>
      </c>
      <c r="T275" t="s">
        <v>236</v>
      </c>
      <c r="W275" s="15">
        <v>6.3337599999999998</v>
      </c>
      <c r="X275" s="15">
        <v>-75.643929999999997</v>
      </c>
      <c r="Y275">
        <v>1957.38</v>
      </c>
      <c r="Z275">
        <v>3060</v>
      </c>
      <c r="AB275" t="s">
        <v>2262</v>
      </c>
      <c r="AF275" t="s">
        <v>50</v>
      </c>
      <c r="AG275" t="s">
        <v>402</v>
      </c>
      <c r="AH275" t="s">
        <v>2263</v>
      </c>
      <c r="AI275" t="s">
        <v>2264</v>
      </c>
      <c r="AJ275">
        <v>294</v>
      </c>
    </row>
    <row r="276" spans="1:36">
      <c r="A276" t="s">
        <v>2207</v>
      </c>
      <c r="B276" t="s">
        <v>2208</v>
      </c>
      <c r="C276" t="s">
        <v>2265</v>
      </c>
      <c r="D276" t="s">
        <v>2266</v>
      </c>
      <c r="E276" t="s">
        <v>2267</v>
      </c>
      <c r="F276">
        <v>1986</v>
      </c>
      <c r="G276">
        <v>1986</v>
      </c>
      <c r="H276">
        <v>1986</v>
      </c>
      <c r="P276" t="s">
        <v>80</v>
      </c>
      <c r="R276" s="7">
        <v>31456</v>
      </c>
      <c r="T276" t="s">
        <v>119</v>
      </c>
      <c r="W276" s="15">
        <v>6.3118999999999996</v>
      </c>
      <c r="X276" s="15">
        <v>-75.146209999999996</v>
      </c>
      <c r="Y276">
        <v>2603.7620000000002</v>
      </c>
      <c r="Z276">
        <v>1854</v>
      </c>
      <c r="AB276" t="s">
        <v>2268</v>
      </c>
      <c r="AF276" t="s">
        <v>50</v>
      </c>
      <c r="AG276" t="s">
        <v>402</v>
      </c>
      <c r="AH276" t="s">
        <v>2230</v>
      </c>
      <c r="AI276" t="s">
        <v>2269</v>
      </c>
      <c r="AJ276">
        <v>295</v>
      </c>
    </row>
    <row r="277" spans="1:36">
      <c r="A277" t="s">
        <v>2207</v>
      </c>
      <c r="B277" t="s">
        <v>2208</v>
      </c>
      <c r="C277" t="s">
        <v>2270</v>
      </c>
      <c r="D277" t="s">
        <v>2271</v>
      </c>
      <c r="E277" t="s">
        <v>2272</v>
      </c>
      <c r="F277">
        <v>1850</v>
      </c>
      <c r="G277">
        <v>1850</v>
      </c>
      <c r="H277">
        <v>1850</v>
      </c>
      <c r="P277" t="s">
        <v>80</v>
      </c>
      <c r="R277" s="7">
        <v>31477</v>
      </c>
      <c r="T277" t="s">
        <v>236</v>
      </c>
      <c r="W277" s="15">
        <v>6.3118999999999996</v>
      </c>
      <c r="X277" s="15">
        <v>-75.146209999999996</v>
      </c>
      <c r="Y277">
        <v>2603.7620000000002</v>
      </c>
      <c r="Z277">
        <v>1854</v>
      </c>
      <c r="AB277" t="s">
        <v>2268</v>
      </c>
      <c r="AF277" t="s">
        <v>50</v>
      </c>
      <c r="AG277" t="s">
        <v>402</v>
      </c>
      <c r="AH277" t="s">
        <v>2230</v>
      </c>
      <c r="AI277" t="s">
        <v>2269</v>
      </c>
      <c r="AJ277">
        <v>296</v>
      </c>
    </row>
    <row r="278" spans="1:36">
      <c r="A278" t="s">
        <v>2207</v>
      </c>
      <c r="B278" t="s">
        <v>2208</v>
      </c>
      <c r="C278" t="s">
        <v>2273</v>
      </c>
      <c r="D278" t="s">
        <v>2274</v>
      </c>
      <c r="E278" t="s">
        <v>2275</v>
      </c>
      <c r="F278">
        <v>1850</v>
      </c>
      <c r="G278">
        <v>1850</v>
      </c>
      <c r="H278">
        <v>1850</v>
      </c>
      <c r="P278" t="s">
        <v>80</v>
      </c>
      <c r="R278" s="7">
        <v>31498</v>
      </c>
      <c r="T278" t="s">
        <v>236</v>
      </c>
      <c r="W278" s="15">
        <v>6.3118999999999996</v>
      </c>
      <c r="X278" s="15">
        <v>-75.146209999999996</v>
      </c>
      <c r="Y278">
        <v>2603.7620000000002</v>
      </c>
      <c r="Z278">
        <v>1854</v>
      </c>
      <c r="AB278" t="s">
        <v>2268</v>
      </c>
      <c r="AF278" t="s">
        <v>50</v>
      </c>
      <c r="AG278" t="s">
        <v>402</v>
      </c>
      <c r="AH278" t="s">
        <v>2276</v>
      </c>
      <c r="AI278" t="s">
        <v>2277</v>
      </c>
      <c r="AJ278">
        <v>297</v>
      </c>
    </row>
    <row r="279" spans="1:36">
      <c r="A279" t="s">
        <v>2207</v>
      </c>
      <c r="B279" t="s">
        <v>2208</v>
      </c>
      <c r="C279" t="s">
        <v>2278</v>
      </c>
      <c r="D279" t="s">
        <v>2279</v>
      </c>
      <c r="E279" t="s">
        <v>2280</v>
      </c>
      <c r="F279">
        <v>1880</v>
      </c>
      <c r="G279">
        <v>1880</v>
      </c>
      <c r="H279">
        <v>1880</v>
      </c>
      <c r="P279" t="s">
        <v>80</v>
      </c>
      <c r="R279" s="7">
        <v>31734</v>
      </c>
      <c r="T279" t="s">
        <v>119</v>
      </c>
      <c r="W279" s="15">
        <v>6.7285700000000004</v>
      </c>
      <c r="X279" s="15">
        <v>-76.384519999999995</v>
      </c>
      <c r="Y279">
        <v>825.02499999999998</v>
      </c>
      <c r="Z279">
        <v>684</v>
      </c>
      <c r="AB279" t="s">
        <v>2281</v>
      </c>
      <c r="AF279" t="s">
        <v>50</v>
      </c>
      <c r="AG279" t="s">
        <v>402</v>
      </c>
      <c r="AH279" t="s">
        <v>1356</v>
      </c>
      <c r="AI279" t="s">
        <v>2282</v>
      </c>
      <c r="AJ279">
        <v>298</v>
      </c>
    </row>
    <row r="280" spans="1:36">
      <c r="A280" t="s">
        <v>2207</v>
      </c>
      <c r="B280" t="s">
        <v>2208</v>
      </c>
      <c r="C280" t="s">
        <v>2283</v>
      </c>
      <c r="D280" t="s">
        <v>2284</v>
      </c>
      <c r="E280" t="s">
        <v>2285</v>
      </c>
      <c r="F280" t="s">
        <v>2286</v>
      </c>
      <c r="G280">
        <v>1600</v>
      </c>
      <c r="H280">
        <v>1700</v>
      </c>
      <c r="P280" t="s">
        <v>80</v>
      </c>
      <c r="R280" s="7">
        <v>31859</v>
      </c>
      <c r="T280" t="s">
        <v>119</v>
      </c>
      <c r="W280" s="15">
        <v>6.2615299999999996</v>
      </c>
      <c r="X280" s="15">
        <v>-75.522369999999995</v>
      </c>
      <c r="Y280">
        <v>9894.6119999999992</v>
      </c>
      <c r="Z280">
        <v>2487</v>
      </c>
      <c r="AB280" t="s">
        <v>2287</v>
      </c>
      <c r="AF280" t="s">
        <v>50</v>
      </c>
      <c r="AG280" t="s">
        <v>402</v>
      </c>
      <c r="AH280" t="s">
        <v>2288</v>
      </c>
      <c r="AI280" t="s">
        <v>2289</v>
      </c>
      <c r="AJ280">
        <v>299</v>
      </c>
    </row>
    <row r="281" spans="1:36">
      <c r="A281" t="s">
        <v>2207</v>
      </c>
      <c r="B281" t="s">
        <v>2208</v>
      </c>
      <c r="C281" t="s">
        <v>2290</v>
      </c>
      <c r="D281" t="s">
        <v>2291</v>
      </c>
      <c r="E281" t="s">
        <v>2292</v>
      </c>
      <c r="F281">
        <v>2569</v>
      </c>
      <c r="G281">
        <v>2569</v>
      </c>
      <c r="H281">
        <v>2569</v>
      </c>
      <c r="P281" t="s">
        <v>80</v>
      </c>
      <c r="R281" s="7">
        <v>31889</v>
      </c>
      <c r="T281" t="s">
        <v>236</v>
      </c>
      <c r="W281" s="15">
        <v>5.9759900000000004</v>
      </c>
      <c r="X281" s="15">
        <v>-75.328270000000003</v>
      </c>
      <c r="Y281">
        <v>4042.4189999999999</v>
      </c>
      <c r="Z281">
        <v>2456</v>
      </c>
      <c r="AA281" t="s">
        <v>2293</v>
      </c>
      <c r="AB281" t="s">
        <v>2294</v>
      </c>
      <c r="AF281" t="s">
        <v>50</v>
      </c>
      <c r="AG281" t="s">
        <v>402</v>
      </c>
      <c r="AH281" t="s">
        <v>614</v>
      </c>
      <c r="AI281" t="s">
        <v>2295</v>
      </c>
      <c r="AJ281">
        <v>300</v>
      </c>
    </row>
    <row r="282" spans="1:36">
      <c r="A282" t="s">
        <v>2207</v>
      </c>
      <c r="B282" t="s">
        <v>2208</v>
      </c>
      <c r="C282" t="s">
        <v>2296</v>
      </c>
      <c r="D282" t="s">
        <v>2297</v>
      </c>
      <c r="E282" t="s">
        <v>2298</v>
      </c>
      <c r="F282">
        <v>1850</v>
      </c>
      <c r="G282">
        <v>1850</v>
      </c>
      <c r="H282">
        <v>1850</v>
      </c>
      <c r="P282" t="s">
        <v>80</v>
      </c>
      <c r="R282" s="7">
        <v>31896</v>
      </c>
      <c r="T282" t="s">
        <v>111</v>
      </c>
      <c r="W282" s="15">
        <v>6.3118999999999996</v>
      </c>
      <c r="X282" s="15">
        <v>-75.146209999999996</v>
      </c>
      <c r="Y282">
        <v>2603.7620000000002</v>
      </c>
      <c r="Z282">
        <v>1854</v>
      </c>
      <c r="AB282" t="s">
        <v>2268</v>
      </c>
      <c r="AF282" t="s">
        <v>50</v>
      </c>
      <c r="AG282" t="s">
        <v>402</v>
      </c>
      <c r="AH282" t="s">
        <v>2230</v>
      </c>
      <c r="AI282" t="s">
        <v>2299</v>
      </c>
      <c r="AJ282">
        <v>302</v>
      </c>
    </row>
    <row r="283" spans="1:36">
      <c r="A283" t="s">
        <v>2207</v>
      </c>
      <c r="B283" t="s">
        <v>2208</v>
      </c>
      <c r="C283" t="s">
        <v>2296</v>
      </c>
      <c r="D283" t="s">
        <v>2300</v>
      </c>
      <c r="E283" t="s">
        <v>2301</v>
      </c>
      <c r="F283">
        <v>1850</v>
      </c>
      <c r="G283">
        <v>1850</v>
      </c>
      <c r="H283">
        <v>1850</v>
      </c>
      <c r="P283" t="s">
        <v>80</v>
      </c>
      <c r="R283" s="7">
        <v>31896</v>
      </c>
      <c r="T283" t="s">
        <v>111</v>
      </c>
      <c r="W283" s="15">
        <v>6.3118999999999996</v>
      </c>
      <c r="X283" s="15">
        <v>-75.146209999999996</v>
      </c>
      <c r="Y283">
        <v>2603.7620000000002</v>
      </c>
      <c r="Z283">
        <v>1854</v>
      </c>
      <c r="AB283" t="s">
        <v>2268</v>
      </c>
      <c r="AF283" t="s">
        <v>50</v>
      </c>
      <c r="AG283" t="s">
        <v>402</v>
      </c>
      <c r="AH283" t="s">
        <v>2230</v>
      </c>
      <c r="AI283" t="s">
        <v>2302</v>
      </c>
      <c r="AJ283">
        <v>303</v>
      </c>
    </row>
    <row r="284" spans="1:36">
      <c r="A284" t="s">
        <v>2207</v>
      </c>
      <c r="B284" t="s">
        <v>2208</v>
      </c>
      <c r="C284" t="s">
        <v>2303</v>
      </c>
      <c r="D284" t="s">
        <v>2304</v>
      </c>
      <c r="E284" t="s">
        <v>2305</v>
      </c>
      <c r="F284">
        <v>2680</v>
      </c>
      <c r="G284">
        <v>2680</v>
      </c>
      <c r="H284">
        <v>2680</v>
      </c>
      <c r="I284" t="s">
        <v>2306</v>
      </c>
      <c r="J284" t="s">
        <v>2306</v>
      </c>
      <c r="K284" t="s">
        <v>2307</v>
      </c>
      <c r="L284" t="s">
        <v>2307</v>
      </c>
      <c r="M284" t="s">
        <v>2308</v>
      </c>
      <c r="N284" t="s">
        <v>2309</v>
      </c>
      <c r="O284" t="s">
        <v>2310</v>
      </c>
      <c r="P284" t="s">
        <v>2311</v>
      </c>
      <c r="R284" s="7">
        <v>31965</v>
      </c>
      <c r="T284" t="s">
        <v>111</v>
      </c>
      <c r="W284" s="15">
        <v>5.6833333000000001</v>
      </c>
      <c r="X284" s="15">
        <v>-75.233333299999998</v>
      </c>
      <c r="AF284" t="s">
        <v>50</v>
      </c>
      <c r="AG284" t="s">
        <v>402</v>
      </c>
      <c r="AH284" t="s">
        <v>2312</v>
      </c>
      <c r="AI284" t="s">
        <v>2313</v>
      </c>
      <c r="AJ284">
        <v>305</v>
      </c>
    </row>
    <row r="285" spans="1:36">
      <c r="A285" t="s">
        <v>2207</v>
      </c>
      <c r="B285" t="s">
        <v>2208</v>
      </c>
      <c r="C285" t="s">
        <v>2314</v>
      </c>
      <c r="D285" t="s">
        <v>2315</v>
      </c>
      <c r="E285" t="s">
        <v>2316</v>
      </c>
      <c r="F285" t="s">
        <v>2317</v>
      </c>
      <c r="G285">
        <v>2700</v>
      </c>
      <c r="H285">
        <v>2790</v>
      </c>
      <c r="I285" t="s">
        <v>2318</v>
      </c>
      <c r="J285" t="s">
        <v>2319</v>
      </c>
      <c r="K285" t="s">
        <v>2320</v>
      </c>
      <c r="L285" t="s">
        <v>2321</v>
      </c>
      <c r="M285" t="s">
        <v>2322</v>
      </c>
      <c r="N285" t="s">
        <v>2323</v>
      </c>
      <c r="O285" t="s">
        <v>2324</v>
      </c>
      <c r="P285" t="s">
        <v>2325</v>
      </c>
      <c r="R285" s="7">
        <v>32445</v>
      </c>
      <c r="T285" t="s">
        <v>119</v>
      </c>
      <c r="W285" s="15">
        <v>5.5166667</v>
      </c>
      <c r="X285" s="15">
        <v>-75.8</v>
      </c>
      <c r="AF285" t="s">
        <v>50</v>
      </c>
      <c r="AG285" t="s">
        <v>402</v>
      </c>
      <c r="AH285" t="s">
        <v>627</v>
      </c>
      <c r="AI285" t="s">
        <v>2326</v>
      </c>
      <c r="AJ285">
        <v>309</v>
      </c>
    </row>
    <row r="286" spans="1:36">
      <c r="A286" t="s">
        <v>2207</v>
      </c>
      <c r="B286" t="s">
        <v>2208</v>
      </c>
      <c r="C286" t="s">
        <v>2327</v>
      </c>
      <c r="D286" t="s">
        <v>2328</v>
      </c>
      <c r="E286" t="s">
        <v>2329</v>
      </c>
      <c r="F286">
        <v>2025</v>
      </c>
      <c r="G286">
        <v>2025</v>
      </c>
      <c r="H286">
        <v>2025</v>
      </c>
      <c r="I286" t="s">
        <v>2330</v>
      </c>
      <c r="J286" t="s">
        <v>2330</v>
      </c>
      <c r="K286" t="s">
        <v>2331</v>
      </c>
      <c r="L286" t="s">
        <v>2331</v>
      </c>
      <c r="M286" t="s">
        <v>2332</v>
      </c>
      <c r="N286" t="s">
        <v>2333</v>
      </c>
      <c r="O286" t="s">
        <v>625</v>
      </c>
      <c r="P286" t="s">
        <v>2334</v>
      </c>
      <c r="R286" s="7">
        <v>32538</v>
      </c>
      <c r="T286" t="s">
        <v>119</v>
      </c>
      <c r="W286" s="15">
        <v>5.6166666999999997</v>
      </c>
      <c r="X286" s="15">
        <v>-75.833333300000007</v>
      </c>
      <c r="AF286" t="s">
        <v>50</v>
      </c>
      <c r="AG286" t="s">
        <v>402</v>
      </c>
      <c r="AH286" t="s">
        <v>627</v>
      </c>
      <c r="AI286" t="s">
        <v>2335</v>
      </c>
      <c r="AJ286">
        <v>311</v>
      </c>
    </row>
    <row r="287" spans="1:36">
      <c r="A287" t="s">
        <v>2207</v>
      </c>
      <c r="B287" t="s">
        <v>2208</v>
      </c>
      <c r="C287" t="s">
        <v>2336</v>
      </c>
      <c r="D287" t="s">
        <v>2337</v>
      </c>
      <c r="E287" t="s">
        <v>2338</v>
      </c>
      <c r="F287" t="s">
        <v>2339</v>
      </c>
      <c r="G287">
        <v>2205</v>
      </c>
      <c r="H287">
        <v>2240</v>
      </c>
      <c r="I287" t="s">
        <v>2340</v>
      </c>
      <c r="J287" t="s">
        <v>2340</v>
      </c>
      <c r="K287" t="s">
        <v>2341</v>
      </c>
      <c r="L287" t="s">
        <v>2341</v>
      </c>
      <c r="M287" t="s">
        <v>2342</v>
      </c>
      <c r="N287" t="s">
        <v>2343</v>
      </c>
      <c r="O287" t="s">
        <v>422</v>
      </c>
      <c r="P287" t="s">
        <v>2344</v>
      </c>
      <c r="R287" s="7">
        <v>32543</v>
      </c>
      <c r="T287" t="s">
        <v>236</v>
      </c>
      <c r="W287" s="15">
        <v>6.5333332999999998</v>
      </c>
      <c r="X287" s="15">
        <v>-75.5</v>
      </c>
      <c r="AF287" t="s">
        <v>50</v>
      </c>
      <c r="AG287" t="s">
        <v>402</v>
      </c>
      <c r="AH287" t="s">
        <v>2345</v>
      </c>
      <c r="AI287" t="s">
        <v>2346</v>
      </c>
      <c r="AJ287">
        <v>312</v>
      </c>
    </row>
    <row r="288" spans="1:36">
      <c r="A288" t="s">
        <v>2207</v>
      </c>
      <c r="B288" t="s">
        <v>2208</v>
      </c>
      <c r="C288" t="s">
        <v>2347</v>
      </c>
      <c r="D288" t="s">
        <v>2348</v>
      </c>
      <c r="E288" t="s">
        <v>2349</v>
      </c>
      <c r="F288">
        <v>1680</v>
      </c>
      <c r="G288">
        <v>1680</v>
      </c>
      <c r="H288">
        <v>1680</v>
      </c>
      <c r="I288" t="s">
        <v>2350</v>
      </c>
      <c r="J288" t="s">
        <v>2350</v>
      </c>
      <c r="K288" t="s">
        <v>2351</v>
      </c>
      <c r="L288" t="s">
        <v>2351</v>
      </c>
      <c r="M288" t="s">
        <v>2352</v>
      </c>
      <c r="N288" t="s">
        <v>2353</v>
      </c>
      <c r="O288" t="s">
        <v>2354</v>
      </c>
      <c r="P288" t="s">
        <v>2355</v>
      </c>
      <c r="R288" s="7">
        <v>32757</v>
      </c>
      <c r="T288" t="s">
        <v>119</v>
      </c>
      <c r="W288" s="15">
        <v>7.0210600000000003</v>
      </c>
      <c r="X288" s="15">
        <v>-75.308109999999999</v>
      </c>
      <c r="Y288">
        <v>3977.8</v>
      </c>
      <c r="Z288">
        <v>1681</v>
      </c>
      <c r="AB288" t="s">
        <v>2356</v>
      </c>
      <c r="AF288" t="s">
        <v>50</v>
      </c>
      <c r="AG288" t="s">
        <v>402</v>
      </c>
      <c r="AH288" t="s">
        <v>2357</v>
      </c>
      <c r="AI288" t="s">
        <v>2358</v>
      </c>
      <c r="AJ288">
        <v>314</v>
      </c>
    </row>
    <row r="289" spans="1:36">
      <c r="A289" t="s">
        <v>2207</v>
      </c>
      <c r="B289" t="s">
        <v>2208</v>
      </c>
      <c r="C289" t="s">
        <v>2359</v>
      </c>
      <c r="D289" t="s">
        <v>2360</v>
      </c>
      <c r="E289" t="s">
        <v>2361</v>
      </c>
      <c r="F289">
        <v>1850</v>
      </c>
      <c r="G289">
        <v>1850</v>
      </c>
      <c r="H289">
        <v>1850</v>
      </c>
      <c r="I289" t="s">
        <v>2362</v>
      </c>
      <c r="J289" t="s">
        <v>2362</v>
      </c>
      <c r="K289" t="s">
        <v>2363</v>
      </c>
      <c r="L289" t="s">
        <v>2363</v>
      </c>
      <c r="M289" t="s">
        <v>2364</v>
      </c>
      <c r="N289" t="s">
        <v>532</v>
      </c>
      <c r="O289" t="s">
        <v>2365</v>
      </c>
      <c r="P289" t="s">
        <v>2366</v>
      </c>
      <c r="R289" s="7">
        <v>32819</v>
      </c>
      <c r="T289" t="s">
        <v>111</v>
      </c>
      <c r="W289" s="15">
        <v>6.3112199999999996</v>
      </c>
      <c r="X289" s="15">
        <v>-75.146090000000001</v>
      </c>
      <c r="Y289">
        <v>2681.63</v>
      </c>
      <c r="Z289">
        <v>1854</v>
      </c>
      <c r="AB289" t="s">
        <v>2229</v>
      </c>
      <c r="AF289" t="s">
        <v>50</v>
      </c>
      <c r="AG289" t="s">
        <v>402</v>
      </c>
      <c r="AH289" t="s">
        <v>2230</v>
      </c>
      <c r="AI289" t="s">
        <v>2367</v>
      </c>
      <c r="AJ289">
        <v>315</v>
      </c>
    </row>
    <row r="290" spans="1:36">
      <c r="A290" t="s">
        <v>2207</v>
      </c>
      <c r="B290" t="s">
        <v>2208</v>
      </c>
      <c r="C290" t="s">
        <v>2368</v>
      </c>
      <c r="D290" t="s">
        <v>2369</v>
      </c>
      <c r="E290" t="s">
        <v>2370</v>
      </c>
      <c r="F290">
        <v>1850</v>
      </c>
      <c r="G290">
        <v>1850</v>
      </c>
      <c r="H290">
        <v>1850</v>
      </c>
      <c r="I290" t="s">
        <v>2371</v>
      </c>
      <c r="J290" t="s">
        <v>2371</v>
      </c>
      <c r="K290" t="s">
        <v>2363</v>
      </c>
      <c r="L290" t="s">
        <v>2363</v>
      </c>
      <c r="M290" t="s">
        <v>2372</v>
      </c>
      <c r="N290" t="s">
        <v>532</v>
      </c>
      <c r="O290" t="s">
        <v>2365</v>
      </c>
      <c r="P290" t="s">
        <v>2366</v>
      </c>
      <c r="R290" s="7">
        <v>32833</v>
      </c>
      <c r="T290" t="s">
        <v>119</v>
      </c>
      <c r="W290" s="15">
        <v>6.3112199999999996</v>
      </c>
      <c r="X290" s="15">
        <v>-75.146090000000001</v>
      </c>
      <c r="Y290">
        <v>2681.63</v>
      </c>
      <c r="Z290">
        <v>1854</v>
      </c>
      <c r="AB290" t="s">
        <v>2229</v>
      </c>
      <c r="AF290" t="s">
        <v>50</v>
      </c>
      <c r="AG290" t="s">
        <v>402</v>
      </c>
      <c r="AH290" t="s">
        <v>2230</v>
      </c>
      <c r="AI290" t="s">
        <v>2373</v>
      </c>
      <c r="AJ290">
        <v>316</v>
      </c>
    </row>
    <row r="291" spans="1:36">
      <c r="A291" t="s">
        <v>2207</v>
      </c>
      <c r="B291" t="s">
        <v>2208</v>
      </c>
      <c r="C291" t="s">
        <v>2374</v>
      </c>
      <c r="D291" t="s">
        <v>2375</v>
      </c>
      <c r="E291" t="s">
        <v>2376</v>
      </c>
      <c r="F291">
        <v>1850</v>
      </c>
      <c r="G291">
        <v>1850</v>
      </c>
      <c r="H291">
        <v>1850</v>
      </c>
      <c r="I291" t="s">
        <v>2371</v>
      </c>
      <c r="J291" t="s">
        <v>2371</v>
      </c>
      <c r="K291" t="s">
        <v>2363</v>
      </c>
      <c r="L291" t="s">
        <v>2363</v>
      </c>
      <c r="M291" t="s">
        <v>2372</v>
      </c>
      <c r="N291" t="s">
        <v>532</v>
      </c>
      <c r="O291" t="s">
        <v>2365</v>
      </c>
      <c r="P291" t="s">
        <v>2366</v>
      </c>
      <c r="R291" s="7">
        <v>32833</v>
      </c>
      <c r="T291" t="s">
        <v>119</v>
      </c>
      <c r="W291" s="15">
        <v>6.3112199999999996</v>
      </c>
      <c r="X291" s="15">
        <v>-75.146090000000001</v>
      </c>
      <c r="Y291">
        <v>2681.63</v>
      </c>
      <c r="Z291">
        <v>1854</v>
      </c>
      <c r="AB291" t="s">
        <v>2229</v>
      </c>
      <c r="AF291" t="s">
        <v>50</v>
      </c>
      <c r="AG291" t="s">
        <v>402</v>
      </c>
      <c r="AH291" t="s">
        <v>2230</v>
      </c>
      <c r="AI291" t="s">
        <v>2377</v>
      </c>
      <c r="AJ291">
        <v>317</v>
      </c>
    </row>
    <row r="292" spans="1:36">
      <c r="A292" t="s">
        <v>2207</v>
      </c>
      <c r="B292" t="s">
        <v>2208</v>
      </c>
      <c r="C292" t="s">
        <v>2378</v>
      </c>
      <c r="D292" t="s">
        <v>2379</v>
      </c>
      <c r="E292" t="s">
        <v>2380</v>
      </c>
      <c r="F292">
        <v>1850</v>
      </c>
      <c r="G292">
        <v>1850</v>
      </c>
      <c r="H292">
        <v>1850</v>
      </c>
      <c r="I292" t="s">
        <v>2381</v>
      </c>
      <c r="J292" t="s">
        <v>2382</v>
      </c>
      <c r="K292" t="s">
        <v>2383</v>
      </c>
      <c r="L292" t="s">
        <v>2384</v>
      </c>
      <c r="M292" t="s">
        <v>2385</v>
      </c>
      <c r="N292" t="s">
        <v>532</v>
      </c>
      <c r="O292" t="s">
        <v>2365</v>
      </c>
      <c r="P292" t="s">
        <v>2366</v>
      </c>
      <c r="R292" s="7">
        <v>32910</v>
      </c>
      <c r="T292" t="s">
        <v>119</v>
      </c>
      <c r="W292" s="15">
        <v>6.3112199999999996</v>
      </c>
      <c r="X292" s="15">
        <v>-75.146090000000001</v>
      </c>
      <c r="Y292">
        <v>2681.63</v>
      </c>
      <c r="Z292">
        <v>1854</v>
      </c>
      <c r="AB292" t="s">
        <v>2229</v>
      </c>
      <c r="AF292" t="s">
        <v>50</v>
      </c>
      <c r="AG292" t="s">
        <v>402</v>
      </c>
      <c r="AH292" t="s">
        <v>2230</v>
      </c>
      <c r="AI292" t="s">
        <v>2386</v>
      </c>
      <c r="AJ292">
        <v>318</v>
      </c>
    </row>
    <row r="293" spans="1:36">
      <c r="A293" t="s">
        <v>2207</v>
      </c>
      <c r="B293" t="s">
        <v>2208</v>
      </c>
      <c r="C293" t="s">
        <v>2387</v>
      </c>
      <c r="D293" t="s">
        <v>2388</v>
      </c>
      <c r="E293" t="s">
        <v>2228</v>
      </c>
      <c r="F293">
        <v>1850</v>
      </c>
      <c r="G293">
        <v>1850</v>
      </c>
      <c r="H293">
        <v>1850</v>
      </c>
      <c r="I293" t="s">
        <v>2389</v>
      </c>
      <c r="J293" t="s">
        <v>2389</v>
      </c>
      <c r="K293" t="s">
        <v>2384</v>
      </c>
      <c r="L293" t="s">
        <v>2384</v>
      </c>
      <c r="M293" t="s">
        <v>2390</v>
      </c>
      <c r="N293" t="s">
        <v>532</v>
      </c>
      <c r="O293" t="s">
        <v>2365</v>
      </c>
      <c r="P293" t="s">
        <v>2366</v>
      </c>
      <c r="R293" s="7">
        <v>32910</v>
      </c>
      <c r="T293" t="s">
        <v>236</v>
      </c>
      <c r="W293" s="15">
        <v>6.3112199999999996</v>
      </c>
      <c r="X293" s="15">
        <v>-75.146090000000001</v>
      </c>
      <c r="Y293">
        <v>2681.63</v>
      </c>
      <c r="Z293">
        <v>1854</v>
      </c>
      <c r="AB293" t="s">
        <v>2229</v>
      </c>
      <c r="AF293" t="s">
        <v>50</v>
      </c>
      <c r="AG293" t="s">
        <v>402</v>
      </c>
      <c r="AH293" t="s">
        <v>2230</v>
      </c>
      <c r="AI293" t="s">
        <v>2231</v>
      </c>
      <c r="AJ293">
        <v>319</v>
      </c>
    </row>
    <row r="294" spans="1:36">
      <c r="A294" t="s">
        <v>2207</v>
      </c>
      <c r="B294" t="s">
        <v>2208</v>
      </c>
      <c r="C294" t="s">
        <v>2391</v>
      </c>
      <c r="D294" t="s">
        <v>2392</v>
      </c>
      <c r="E294" t="s">
        <v>2370</v>
      </c>
      <c r="F294">
        <v>1850</v>
      </c>
      <c r="G294">
        <v>1850</v>
      </c>
      <c r="H294">
        <v>1850</v>
      </c>
      <c r="I294" t="s">
        <v>2371</v>
      </c>
      <c r="J294" t="s">
        <v>2371</v>
      </c>
      <c r="K294" t="s">
        <v>2363</v>
      </c>
      <c r="L294" t="s">
        <v>2363</v>
      </c>
      <c r="M294" t="s">
        <v>2372</v>
      </c>
      <c r="N294" t="s">
        <v>532</v>
      </c>
      <c r="O294" t="s">
        <v>2365</v>
      </c>
      <c r="P294" t="s">
        <v>2366</v>
      </c>
      <c r="R294" s="7">
        <v>32924</v>
      </c>
      <c r="T294" t="s">
        <v>236</v>
      </c>
      <c r="W294" s="15">
        <v>6.3112199999999996</v>
      </c>
      <c r="X294" s="15">
        <v>-75.146090000000001</v>
      </c>
      <c r="Y294">
        <v>2681.63</v>
      </c>
      <c r="Z294">
        <v>1854</v>
      </c>
      <c r="AB294" t="s">
        <v>2229</v>
      </c>
      <c r="AF294" t="s">
        <v>50</v>
      </c>
      <c r="AG294" t="s">
        <v>402</v>
      </c>
      <c r="AH294" t="s">
        <v>2230</v>
      </c>
      <c r="AI294" t="s">
        <v>2373</v>
      </c>
      <c r="AJ294">
        <v>320</v>
      </c>
    </row>
    <row r="295" spans="1:36">
      <c r="A295" t="s">
        <v>2207</v>
      </c>
      <c r="B295" t="s">
        <v>2208</v>
      </c>
      <c r="C295" t="s">
        <v>2393</v>
      </c>
      <c r="D295" t="s">
        <v>2394</v>
      </c>
      <c r="E295" t="s">
        <v>2370</v>
      </c>
      <c r="F295">
        <v>1850</v>
      </c>
      <c r="G295">
        <v>1850</v>
      </c>
      <c r="H295">
        <v>1850</v>
      </c>
      <c r="I295" t="s">
        <v>2371</v>
      </c>
      <c r="J295" t="s">
        <v>2371</v>
      </c>
      <c r="K295" t="s">
        <v>2363</v>
      </c>
      <c r="L295" t="s">
        <v>2363</v>
      </c>
      <c r="M295" t="s">
        <v>2372</v>
      </c>
      <c r="N295" t="s">
        <v>532</v>
      </c>
      <c r="O295" t="s">
        <v>2365</v>
      </c>
      <c r="P295" t="s">
        <v>2366</v>
      </c>
      <c r="R295" s="7">
        <v>32952</v>
      </c>
      <c r="T295" t="s">
        <v>236</v>
      </c>
      <c r="W295" s="15">
        <v>6.3112199999999996</v>
      </c>
      <c r="X295" s="15">
        <v>-75.146090000000001</v>
      </c>
      <c r="Y295">
        <v>2681.63</v>
      </c>
      <c r="Z295">
        <v>1854</v>
      </c>
      <c r="AB295" t="s">
        <v>2229</v>
      </c>
      <c r="AF295" t="s">
        <v>50</v>
      </c>
      <c r="AG295" t="s">
        <v>402</v>
      </c>
      <c r="AH295" t="s">
        <v>2230</v>
      </c>
      <c r="AI295" t="s">
        <v>2373</v>
      </c>
      <c r="AJ295">
        <v>321</v>
      </c>
    </row>
    <row r="296" spans="1:36">
      <c r="A296" t="s">
        <v>2207</v>
      </c>
      <c r="B296" t="s">
        <v>2208</v>
      </c>
      <c r="C296" t="s">
        <v>2395</v>
      </c>
      <c r="D296" t="s">
        <v>2396</v>
      </c>
      <c r="E296" t="s">
        <v>2380</v>
      </c>
      <c r="F296">
        <v>1850</v>
      </c>
      <c r="G296">
        <v>1850</v>
      </c>
      <c r="H296">
        <v>1850</v>
      </c>
      <c r="I296" t="s">
        <v>2381</v>
      </c>
      <c r="J296" t="s">
        <v>2382</v>
      </c>
      <c r="K296" t="s">
        <v>2383</v>
      </c>
      <c r="L296" t="s">
        <v>2384</v>
      </c>
      <c r="M296" t="s">
        <v>2385</v>
      </c>
      <c r="N296" t="s">
        <v>532</v>
      </c>
      <c r="O296" t="s">
        <v>2365</v>
      </c>
      <c r="P296" t="s">
        <v>2366</v>
      </c>
      <c r="R296" s="7">
        <v>32980</v>
      </c>
      <c r="T296" t="s">
        <v>318</v>
      </c>
      <c r="W296" s="15">
        <v>6.3112199999999996</v>
      </c>
      <c r="X296" s="15">
        <v>-75.146090000000001</v>
      </c>
      <c r="Y296">
        <v>2681.63</v>
      </c>
      <c r="Z296">
        <v>1854</v>
      </c>
      <c r="AB296" t="s">
        <v>2229</v>
      </c>
      <c r="AF296" t="s">
        <v>50</v>
      </c>
      <c r="AG296" t="s">
        <v>402</v>
      </c>
      <c r="AH296" t="s">
        <v>2230</v>
      </c>
      <c r="AI296" t="s">
        <v>2386</v>
      </c>
      <c r="AJ296">
        <v>322</v>
      </c>
    </row>
    <row r="297" spans="1:36">
      <c r="A297" t="s">
        <v>2207</v>
      </c>
      <c r="B297" t="s">
        <v>2208</v>
      </c>
      <c r="C297" t="s">
        <v>2397</v>
      </c>
      <c r="D297" t="s">
        <v>2398</v>
      </c>
      <c r="E297" t="s">
        <v>2370</v>
      </c>
      <c r="F297">
        <v>1850</v>
      </c>
      <c r="G297">
        <v>1850</v>
      </c>
      <c r="H297">
        <v>1850</v>
      </c>
      <c r="I297" t="s">
        <v>2371</v>
      </c>
      <c r="J297" t="s">
        <v>2371</v>
      </c>
      <c r="K297" t="s">
        <v>2363</v>
      </c>
      <c r="L297" t="s">
        <v>2363</v>
      </c>
      <c r="M297" t="s">
        <v>2372</v>
      </c>
      <c r="N297" t="s">
        <v>532</v>
      </c>
      <c r="O297" t="s">
        <v>2365</v>
      </c>
      <c r="P297" t="s">
        <v>2366</v>
      </c>
      <c r="R297" s="7">
        <v>32987</v>
      </c>
      <c r="T297" t="s">
        <v>119</v>
      </c>
      <c r="W297" s="15">
        <v>6.3112199999999996</v>
      </c>
      <c r="X297" s="15">
        <v>-75.146090000000001</v>
      </c>
      <c r="Y297">
        <v>2681.63</v>
      </c>
      <c r="Z297">
        <v>1854</v>
      </c>
      <c r="AB297" t="s">
        <v>2229</v>
      </c>
      <c r="AF297" t="s">
        <v>50</v>
      </c>
      <c r="AG297" t="s">
        <v>402</v>
      </c>
      <c r="AH297" t="s">
        <v>2230</v>
      </c>
      <c r="AI297" t="s">
        <v>2373</v>
      </c>
      <c r="AJ297">
        <v>323</v>
      </c>
    </row>
    <row r="298" spans="1:36">
      <c r="A298" t="s">
        <v>2207</v>
      </c>
      <c r="B298" t="s">
        <v>2208</v>
      </c>
      <c r="C298" t="s">
        <v>748</v>
      </c>
      <c r="D298" t="s">
        <v>2399</v>
      </c>
      <c r="E298" t="s">
        <v>2400</v>
      </c>
      <c r="F298">
        <v>1150</v>
      </c>
      <c r="G298">
        <v>1150</v>
      </c>
      <c r="H298">
        <v>1150</v>
      </c>
      <c r="I298" t="s">
        <v>2401</v>
      </c>
      <c r="J298" t="s">
        <v>2402</v>
      </c>
      <c r="K298" t="s">
        <v>2403</v>
      </c>
      <c r="L298" t="s">
        <v>2403</v>
      </c>
      <c r="M298" t="s">
        <v>2404</v>
      </c>
      <c r="N298" t="s">
        <v>754</v>
      </c>
      <c r="O298" t="s">
        <v>755</v>
      </c>
      <c r="P298" t="s">
        <v>756</v>
      </c>
      <c r="R298" s="7">
        <v>33698</v>
      </c>
      <c r="T298" t="s">
        <v>119</v>
      </c>
      <c r="W298" s="15">
        <v>5.84579</v>
      </c>
      <c r="X298" s="15">
        <v>-74.97354</v>
      </c>
      <c r="Y298">
        <v>710.37199999999996</v>
      </c>
      <c r="Z298">
        <v>1134</v>
      </c>
      <c r="AA298" t="s">
        <v>2405</v>
      </c>
      <c r="AB298" t="s">
        <v>2406</v>
      </c>
      <c r="AF298" t="s">
        <v>50</v>
      </c>
      <c r="AG298" t="s">
        <v>402</v>
      </c>
      <c r="AH298" t="s">
        <v>449</v>
      </c>
      <c r="AI298" t="s">
        <v>2407</v>
      </c>
      <c r="AJ298">
        <v>324</v>
      </c>
    </row>
    <row r="299" spans="1:36">
      <c r="A299" t="s">
        <v>2207</v>
      </c>
      <c r="B299" t="s">
        <v>2208</v>
      </c>
      <c r="C299" t="s">
        <v>2408</v>
      </c>
      <c r="D299" t="s">
        <v>2409</v>
      </c>
      <c r="E299" t="s">
        <v>2410</v>
      </c>
      <c r="F299">
        <v>2350</v>
      </c>
      <c r="G299">
        <v>2350</v>
      </c>
      <c r="H299">
        <v>2350</v>
      </c>
      <c r="I299" t="s">
        <v>2411</v>
      </c>
      <c r="J299" t="s">
        <v>2411</v>
      </c>
      <c r="K299" t="s">
        <v>2403</v>
      </c>
      <c r="L299" t="s">
        <v>2403</v>
      </c>
      <c r="M299" t="s">
        <v>2412</v>
      </c>
      <c r="N299" t="s">
        <v>754</v>
      </c>
      <c r="O299" t="s">
        <v>755</v>
      </c>
      <c r="P299" t="s">
        <v>756</v>
      </c>
      <c r="R299" s="7">
        <v>34657</v>
      </c>
      <c r="T299" t="s">
        <v>119</v>
      </c>
      <c r="W299" s="15">
        <v>6.3</v>
      </c>
      <c r="X299" s="15">
        <v>-75.483333299999998</v>
      </c>
      <c r="AF299" t="s">
        <v>50</v>
      </c>
      <c r="AG299" t="s">
        <v>402</v>
      </c>
      <c r="AH299" t="s">
        <v>2413</v>
      </c>
      <c r="AI299" t="s">
        <v>2414</v>
      </c>
      <c r="AJ299">
        <v>325</v>
      </c>
    </row>
    <row r="300" spans="1:36">
      <c r="A300" t="s">
        <v>2207</v>
      </c>
      <c r="B300" t="s">
        <v>2208</v>
      </c>
      <c r="C300" t="s">
        <v>2408</v>
      </c>
      <c r="D300" t="s">
        <v>2415</v>
      </c>
      <c r="E300" t="s">
        <v>2416</v>
      </c>
      <c r="F300">
        <v>2350</v>
      </c>
      <c r="G300">
        <v>2350</v>
      </c>
      <c r="H300">
        <v>2350</v>
      </c>
      <c r="I300" t="s">
        <v>2402</v>
      </c>
      <c r="J300" t="s">
        <v>2402</v>
      </c>
      <c r="K300" t="s">
        <v>2417</v>
      </c>
      <c r="L300" t="s">
        <v>2417</v>
      </c>
      <c r="M300" t="s">
        <v>2418</v>
      </c>
      <c r="N300" t="s">
        <v>754</v>
      </c>
      <c r="O300" t="s">
        <v>755</v>
      </c>
      <c r="P300" t="s">
        <v>756</v>
      </c>
      <c r="R300" s="7">
        <v>34657</v>
      </c>
      <c r="T300" t="s">
        <v>119</v>
      </c>
      <c r="W300" s="15">
        <v>6.3</v>
      </c>
      <c r="X300" s="15">
        <v>-75.483333299999998</v>
      </c>
      <c r="AF300" t="s">
        <v>50</v>
      </c>
      <c r="AG300" t="s">
        <v>402</v>
      </c>
      <c r="AH300" t="s">
        <v>2419</v>
      </c>
      <c r="AI300" t="s">
        <v>2420</v>
      </c>
      <c r="AJ300">
        <v>326</v>
      </c>
    </row>
    <row r="301" spans="1:36">
      <c r="A301" t="s">
        <v>2207</v>
      </c>
      <c r="B301" t="s">
        <v>2208</v>
      </c>
      <c r="C301" t="s">
        <v>2421</v>
      </c>
      <c r="D301" t="s">
        <v>2422</v>
      </c>
      <c r="E301" t="s">
        <v>2423</v>
      </c>
      <c r="F301">
        <v>2300</v>
      </c>
      <c r="G301">
        <v>2300</v>
      </c>
      <c r="H301">
        <v>2300</v>
      </c>
      <c r="I301" t="s">
        <v>2382</v>
      </c>
      <c r="J301" t="s">
        <v>2382</v>
      </c>
      <c r="K301" t="s">
        <v>2424</v>
      </c>
      <c r="L301" t="s">
        <v>2424</v>
      </c>
      <c r="M301" t="s">
        <v>2425</v>
      </c>
      <c r="N301" t="s">
        <v>532</v>
      </c>
      <c r="O301" t="s">
        <v>2426</v>
      </c>
      <c r="P301" t="s">
        <v>2427</v>
      </c>
      <c r="R301" s="7">
        <v>34905</v>
      </c>
      <c r="T301" t="s">
        <v>119</v>
      </c>
      <c r="W301" s="15">
        <v>6.25</v>
      </c>
      <c r="X301" s="15">
        <v>-75.583333300000007</v>
      </c>
      <c r="AF301" t="s">
        <v>50</v>
      </c>
      <c r="AG301" t="s">
        <v>402</v>
      </c>
      <c r="AH301" t="s">
        <v>855</v>
      </c>
      <c r="AI301" t="s">
        <v>2428</v>
      </c>
      <c r="AJ301">
        <v>327</v>
      </c>
    </row>
    <row r="302" spans="1:36">
      <c r="A302" t="s">
        <v>2207</v>
      </c>
      <c r="B302" t="s">
        <v>2208</v>
      </c>
      <c r="C302" t="s">
        <v>2429</v>
      </c>
      <c r="D302" t="s">
        <v>2430</v>
      </c>
      <c r="E302" t="s">
        <v>2431</v>
      </c>
      <c r="F302" t="s">
        <v>2432</v>
      </c>
      <c r="G302">
        <v>1800</v>
      </c>
      <c r="H302">
        <v>2000</v>
      </c>
      <c r="I302" t="s">
        <v>2433</v>
      </c>
      <c r="J302" t="s">
        <v>2433</v>
      </c>
      <c r="K302" t="s">
        <v>2434</v>
      </c>
      <c r="L302" t="s">
        <v>2434</v>
      </c>
      <c r="M302" t="s">
        <v>2435</v>
      </c>
      <c r="N302" t="s">
        <v>2436</v>
      </c>
      <c r="O302" t="s">
        <v>2437</v>
      </c>
      <c r="P302" t="s">
        <v>2438</v>
      </c>
      <c r="R302" s="7">
        <v>35235</v>
      </c>
      <c r="T302" t="s">
        <v>111</v>
      </c>
      <c r="W302" s="15">
        <v>6.0833332999999996</v>
      </c>
      <c r="X302" s="15">
        <v>-75.633333300000004</v>
      </c>
      <c r="AF302" t="s">
        <v>50</v>
      </c>
      <c r="AG302" t="s">
        <v>402</v>
      </c>
      <c r="AH302" t="s">
        <v>167</v>
      </c>
      <c r="AI302" t="s">
        <v>2439</v>
      </c>
      <c r="AJ302">
        <v>328</v>
      </c>
    </row>
    <row r="303" spans="1:36">
      <c r="A303" t="s">
        <v>2207</v>
      </c>
      <c r="B303" t="s">
        <v>2208</v>
      </c>
      <c r="C303" t="s">
        <v>2440</v>
      </c>
      <c r="D303" t="s">
        <v>2441</v>
      </c>
      <c r="E303" t="s">
        <v>2442</v>
      </c>
      <c r="F303" t="s">
        <v>2443</v>
      </c>
      <c r="G303">
        <v>2000</v>
      </c>
      <c r="H303">
        <v>2150</v>
      </c>
      <c r="I303" t="s">
        <v>2444</v>
      </c>
      <c r="J303" t="s">
        <v>2444</v>
      </c>
      <c r="K303" t="s">
        <v>2445</v>
      </c>
      <c r="L303" t="s">
        <v>2445</v>
      </c>
      <c r="M303" t="s">
        <v>2446</v>
      </c>
      <c r="N303" t="s">
        <v>2447</v>
      </c>
      <c r="O303" t="s">
        <v>2448</v>
      </c>
      <c r="P303" t="s">
        <v>2449</v>
      </c>
      <c r="R303" s="7">
        <v>35264</v>
      </c>
      <c r="T303" t="s">
        <v>111</v>
      </c>
      <c r="W303" s="15">
        <v>6.1719444000000001</v>
      </c>
      <c r="X303" s="15">
        <v>-75.585833300000004</v>
      </c>
      <c r="AF303" t="s">
        <v>50</v>
      </c>
      <c r="AG303" t="s">
        <v>402</v>
      </c>
      <c r="AH303" t="s">
        <v>2450</v>
      </c>
      <c r="AI303" t="s">
        <v>2451</v>
      </c>
      <c r="AJ303">
        <v>329</v>
      </c>
    </row>
    <row r="304" spans="1:36">
      <c r="A304" t="s">
        <v>2207</v>
      </c>
      <c r="B304" t="s">
        <v>2208</v>
      </c>
      <c r="C304" t="s">
        <v>2452</v>
      </c>
      <c r="D304" t="s">
        <v>2453</v>
      </c>
      <c r="E304" t="s">
        <v>2454</v>
      </c>
      <c r="F304" t="s">
        <v>2455</v>
      </c>
      <c r="G304">
        <v>1900</v>
      </c>
      <c r="H304">
        <v>2200</v>
      </c>
      <c r="I304" t="s">
        <v>2456</v>
      </c>
      <c r="J304" t="s">
        <v>2456</v>
      </c>
      <c r="K304" t="s">
        <v>2457</v>
      </c>
      <c r="L304" t="s">
        <v>2457</v>
      </c>
      <c r="M304" t="s">
        <v>2458</v>
      </c>
      <c r="N304" t="s">
        <v>2436</v>
      </c>
      <c r="O304" t="s">
        <v>2437</v>
      </c>
      <c r="P304" t="s">
        <v>2438</v>
      </c>
      <c r="R304" s="7">
        <v>35582</v>
      </c>
      <c r="T304" t="s">
        <v>399</v>
      </c>
      <c r="W304" s="15">
        <v>6.0833332999999996</v>
      </c>
      <c r="X304" s="15">
        <v>-75.633333300000004</v>
      </c>
      <c r="AF304" t="s">
        <v>50</v>
      </c>
      <c r="AG304" t="s">
        <v>402</v>
      </c>
      <c r="AH304" t="s">
        <v>167</v>
      </c>
      <c r="AI304" t="s">
        <v>2459</v>
      </c>
      <c r="AJ304">
        <v>330</v>
      </c>
    </row>
    <row r="305" spans="1:36">
      <c r="A305" t="s">
        <v>2207</v>
      </c>
      <c r="B305" t="s">
        <v>2208</v>
      </c>
      <c r="C305" t="s">
        <v>2460</v>
      </c>
      <c r="D305" t="s">
        <v>2461</v>
      </c>
      <c r="E305" t="s">
        <v>2462</v>
      </c>
      <c r="F305">
        <v>2400</v>
      </c>
      <c r="G305">
        <v>2400</v>
      </c>
      <c r="H305">
        <v>2400</v>
      </c>
      <c r="I305" t="s">
        <v>2362</v>
      </c>
      <c r="J305" t="s">
        <v>2362</v>
      </c>
      <c r="K305" t="s">
        <v>2463</v>
      </c>
      <c r="L305" t="s">
        <v>2463</v>
      </c>
      <c r="M305" t="s">
        <v>2464</v>
      </c>
      <c r="N305" t="s">
        <v>532</v>
      </c>
      <c r="O305" t="s">
        <v>2426</v>
      </c>
      <c r="P305" t="s">
        <v>2427</v>
      </c>
      <c r="R305" s="7">
        <v>35855</v>
      </c>
      <c r="T305" t="s">
        <v>2465</v>
      </c>
      <c r="W305" s="15">
        <v>6.25</v>
      </c>
      <c r="X305" s="15">
        <v>-75.583333300000007</v>
      </c>
      <c r="AF305" t="s">
        <v>50</v>
      </c>
      <c r="AG305" t="s">
        <v>402</v>
      </c>
      <c r="AH305" t="s">
        <v>2466</v>
      </c>
      <c r="AI305" t="s">
        <v>2467</v>
      </c>
      <c r="AJ305">
        <v>331</v>
      </c>
    </row>
    <row r="306" spans="1:36">
      <c r="A306" t="s">
        <v>2207</v>
      </c>
      <c r="B306" t="s">
        <v>2208</v>
      </c>
      <c r="C306" t="s">
        <v>2468</v>
      </c>
      <c r="D306" t="s">
        <v>2469</v>
      </c>
      <c r="E306" t="s">
        <v>2470</v>
      </c>
      <c r="F306">
        <v>2500</v>
      </c>
      <c r="G306">
        <v>2500</v>
      </c>
      <c r="H306">
        <v>2500</v>
      </c>
      <c r="I306" t="s">
        <v>2471</v>
      </c>
      <c r="J306" t="s">
        <v>2471</v>
      </c>
      <c r="K306" t="s">
        <v>2472</v>
      </c>
      <c r="L306" t="s">
        <v>2472</v>
      </c>
      <c r="M306" t="s">
        <v>2473</v>
      </c>
      <c r="N306" t="s">
        <v>2474</v>
      </c>
      <c r="O306" t="s">
        <v>2475</v>
      </c>
      <c r="P306" t="s">
        <v>2476</v>
      </c>
      <c r="R306" s="7">
        <v>36490</v>
      </c>
      <c r="T306" t="s">
        <v>111</v>
      </c>
      <c r="W306" s="15">
        <v>5.85</v>
      </c>
      <c r="X306" s="15">
        <v>-75.366666699999996</v>
      </c>
      <c r="AF306" t="s">
        <v>50</v>
      </c>
      <c r="AG306" t="s">
        <v>402</v>
      </c>
      <c r="AH306" t="s">
        <v>2477</v>
      </c>
      <c r="AI306" t="s">
        <v>2478</v>
      </c>
      <c r="AJ306">
        <v>332</v>
      </c>
    </row>
    <row r="307" spans="1:36">
      <c r="A307" t="s">
        <v>2207</v>
      </c>
      <c r="B307" t="s">
        <v>2208</v>
      </c>
      <c r="C307" t="s">
        <v>2479</v>
      </c>
      <c r="D307" t="s">
        <v>2480</v>
      </c>
      <c r="E307" t="s">
        <v>2481</v>
      </c>
      <c r="F307">
        <v>2400</v>
      </c>
      <c r="G307">
        <v>2400</v>
      </c>
      <c r="H307">
        <v>2400</v>
      </c>
      <c r="I307" t="s">
        <v>2482</v>
      </c>
      <c r="J307" t="s">
        <v>2482</v>
      </c>
      <c r="K307" t="s">
        <v>2483</v>
      </c>
      <c r="L307" t="s">
        <v>2483</v>
      </c>
      <c r="M307" t="s">
        <v>2484</v>
      </c>
      <c r="N307" t="s">
        <v>2485</v>
      </c>
      <c r="O307" t="s">
        <v>2486</v>
      </c>
      <c r="P307" t="s">
        <v>2487</v>
      </c>
      <c r="R307" s="7">
        <v>36816</v>
      </c>
      <c r="T307" t="s">
        <v>119</v>
      </c>
      <c r="W307" s="15">
        <v>6.2616667000000001</v>
      </c>
      <c r="X307" s="15">
        <v>-75.509111099999998</v>
      </c>
      <c r="AF307" t="s">
        <v>50</v>
      </c>
      <c r="AG307" t="s">
        <v>402</v>
      </c>
      <c r="AH307" t="s">
        <v>536</v>
      </c>
      <c r="AI307" t="s">
        <v>2488</v>
      </c>
      <c r="AJ307">
        <v>333</v>
      </c>
    </row>
    <row r="308" spans="1:36">
      <c r="A308" t="s">
        <v>2207</v>
      </c>
      <c r="B308" t="s">
        <v>2208</v>
      </c>
      <c r="C308" t="s">
        <v>2489</v>
      </c>
      <c r="D308" t="s">
        <v>2490</v>
      </c>
      <c r="E308" t="s">
        <v>2491</v>
      </c>
      <c r="F308">
        <v>2400</v>
      </c>
      <c r="G308">
        <v>2400</v>
      </c>
      <c r="H308">
        <v>2400</v>
      </c>
      <c r="I308" t="s">
        <v>2492</v>
      </c>
      <c r="J308" t="s">
        <v>2492</v>
      </c>
      <c r="K308" t="s">
        <v>2493</v>
      </c>
      <c r="L308" t="s">
        <v>2493</v>
      </c>
      <c r="M308" t="s">
        <v>2494</v>
      </c>
      <c r="N308" t="s">
        <v>2485</v>
      </c>
      <c r="O308" t="s">
        <v>2486</v>
      </c>
      <c r="P308" t="s">
        <v>2487</v>
      </c>
      <c r="R308" s="7">
        <v>36816</v>
      </c>
      <c r="T308" t="s">
        <v>119</v>
      </c>
      <c r="W308" s="15">
        <v>6.2616667000000001</v>
      </c>
      <c r="X308" s="15">
        <v>-75.509111099999998</v>
      </c>
      <c r="AF308" t="s">
        <v>50</v>
      </c>
      <c r="AG308" t="s">
        <v>402</v>
      </c>
      <c r="AH308" t="s">
        <v>855</v>
      </c>
      <c r="AI308" t="s">
        <v>2495</v>
      </c>
      <c r="AJ308">
        <v>334</v>
      </c>
    </row>
    <row r="309" spans="1:36">
      <c r="A309" t="s">
        <v>2207</v>
      </c>
      <c r="B309" t="s">
        <v>2208</v>
      </c>
      <c r="C309" t="s">
        <v>2489</v>
      </c>
      <c r="D309" t="s">
        <v>2496</v>
      </c>
      <c r="E309" t="s">
        <v>2497</v>
      </c>
      <c r="F309">
        <v>2400</v>
      </c>
      <c r="G309">
        <v>2400</v>
      </c>
      <c r="H309">
        <v>2400</v>
      </c>
      <c r="I309" t="s">
        <v>2498</v>
      </c>
      <c r="J309" t="s">
        <v>2498</v>
      </c>
      <c r="K309" t="s">
        <v>2499</v>
      </c>
      <c r="L309" t="s">
        <v>2499</v>
      </c>
      <c r="M309" t="s">
        <v>2500</v>
      </c>
      <c r="N309" t="s">
        <v>2485</v>
      </c>
      <c r="O309" t="s">
        <v>2486</v>
      </c>
      <c r="P309" t="s">
        <v>2487</v>
      </c>
      <c r="R309" s="7">
        <v>36816</v>
      </c>
      <c r="T309" t="s">
        <v>119</v>
      </c>
      <c r="W309" s="15">
        <v>6.2616667000000001</v>
      </c>
      <c r="X309" s="15">
        <v>-75.509111099999998</v>
      </c>
      <c r="AF309" t="s">
        <v>50</v>
      </c>
      <c r="AG309" t="s">
        <v>402</v>
      </c>
      <c r="AH309" t="s">
        <v>855</v>
      </c>
      <c r="AI309" t="s">
        <v>2501</v>
      </c>
      <c r="AJ309">
        <v>336</v>
      </c>
    </row>
    <row r="310" spans="1:36">
      <c r="A310" t="s">
        <v>2207</v>
      </c>
      <c r="B310" t="s">
        <v>2208</v>
      </c>
      <c r="C310" t="s">
        <v>2502</v>
      </c>
      <c r="D310" t="s">
        <v>2503</v>
      </c>
      <c r="E310" t="s">
        <v>2504</v>
      </c>
      <c r="F310">
        <v>2545</v>
      </c>
      <c r="G310">
        <v>2545</v>
      </c>
      <c r="H310">
        <v>2545</v>
      </c>
      <c r="I310" t="s">
        <v>2505</v>
      </c>
      <c r="J310" t="s">
        <v>2505</v>
      </c>
      <c r="K310" t="s">
        <v>2506</v>
      </c>
      <c r="L310" t="s">
        <v>2506</v>
      </c>
      <c r="M310" t="s">
        <v>2507</v>
      </c>
      <c r="N310" t="s">
        <v>2508</v>
      </c>
      <c r="O310" t="s">
        <v>2509</v>
      </c>
      <c r="P310" t="s">
        <v>2510</v>
      </c>
      <c r="R310" s="7">
        <v>37396</v>
      </c>
      <c r="T310" t="s">
        <v>481</v>
      </c>
      <c r="W310" s="15">
        <v>6.5959167000000001</v>
      </c>
      <c r="X310" s="15">
        <v>-75.653611100000006</v>
      </c>
      <c r="AF310" t="s">
        <v>50</v>
      </c>
      <c r="AG310" t="s">
        <v>402</v>
      </c>
      <c r="AH310" t="s">
        <v>1710</v>
      </c>
      <c r="AI310" t="s">
        <v>2511</v>
      </c>
      <c r="AJ310">
        <v>337</v>
      </c>
    </row>
    <row r="311" spans="1:36">
      <c r="A311" t="s">
        <v>2207</v>
      </c>
      <c r="B311" t="s">
        <v>2208</v>
      </c>
      <c r="C311" t="s">
        <v>2512</v>
      </c>
      <c r="D311" t="s">
        <v>2513</v>
      </c>
      <c r="E311" t="s">
        <v>2514</v>
      </c>
      <c r="F311">
        <v>2555</v>
      </c>
      <c r="G311">
        <v>2555</v>
      </c>
      <c r="H311">
        <v>2555</v>
      </c>
      <c r="I311" t="s">
        <v>2505</v>
      </c>
      <c r="J311" t="s">
        <v>2505</v>
      </c>
      <c r="K311" t="s">
        <v>2515</v>
      </c>
      <c r="L311" t="s">
        <v>2515</v>
      </c>
      <c r="M311" t="s">
        <v>2516</v>
      </c>
      <c r="N311" t="s">
        <v>2508</v>
      </c>
      <c r="O311" t="s">
        <v>2509</v>
      </c>
      <c r="P311" t="s">
        <v>2510</v>
      </c>
      <c r="R311" s="7">
        <v>37427</v>
      </c>
      <c r="T311" t="s">
        <v>119</v>
      </c>
      <c r="W311" s="15">
        <v>6.5959167000000001</v>
      </c>
      <c r="X311" s="15">
        <v>-75.653611100000006</v>
      </c>
      <c r="AF311" t="s">
        <v>50</v>
      </c>
      <c r="AG311" t="s">
        <v>402</v>
      </c>
      <c r="AH311" t="s">
        <v>1710</v>
      </c>
      <c r="AI311" t="s">
        <v>2517</v>
      </c>
      <c r="AJ311">
        <v>338</v>
      </c>
    </row>
    <row r="312" spans="1:36">
      <c r="A312" t="s">
        <v>2207</v>
      </c>
      <c r="B312" t="s">
        <v>2208</v>
      </c>
      <c r="C312" t="s">
        <v>2512</v>
      </c>
      <c r="D312" t="s">
        <v>2518</v>
      </c>
      <c r="E312" t="s">
        <v>2519</v>
      </c>
      <c r="F312">
        <v>2555</v>
      </c>
      <c r="G312">
        <v>2555</v>
      </c>
      <c r="H312">
        <v>2555</v>
      </c>
      <c r="I312" t="s">
        <v>2520</v>
      </c>
      <c r="J312" t="s">
        <v>2520</v>
      </c>
      <c r="K312" t="s">
        <v>2521</v>
      </c>
      <c r="L312" t="s">
        <v>2521</v>
      </c>
      <c r="M312" t="s">
        <v>2522</v>
      </c>
      <c r="N312" t="s">
        <v>2508</v>
      </c>
      <c r="O312" t="s">
        <v>2509</v>
      </c>
      <c r="P312" t="s">
        <v>2510</v>
      </c>
      <c r="R312" s="7">
        <v>37427</v>
      </c>
      <c r="T312" t="s">
        <v>119</v>
      </c>
      <c r="W312" s="15">
        <v>6.5959167000000001</v>
      </c>
      <c r="X312" s="15">
        <v>-75.653611100000006</v>
      </c>
      <c r="AF312" t="s">
        <v>50</v>
      </c>
      <c r="AG312" t="s">
        <v>402</v>
      </c>
      <c r="AH312" t="s">
        <v>1710</v>
      </c>
      <c r="AI312" t="s">
        <v>2523</v>
      </c>
      <c r="AJ312">
        <v>339</v>
      </c>
    </row>
    <row r="313" spans="1:36">
      <c r="A313" t="s">
        <v>2207</v>
      </c>
      <c r="B313" t="s">
        <v>2208</v>
      </c>
      <c r="C313" t="s">
        <v>2524</v>
      </c>
      <c r="D313" t="s">
        <v>2525</v>
      </c>
      <c r="E313" t="s">
        <v>2526</v>
      </c>
      <c r="F313">
        <v>2980</v>
      </c>
      <c r="G313">
        <v>2980</v>
      </c>
      <c r="H313">
        <v>2980</v>
      </c>
      <c r="I313" t="s">
        <v>2527</v>
      </c>
      <c r="J313" t="s">
        <v>2527</v>
      </c>
      <c r="K313" t="s">
        <v>2528</v>
      </c>
      <c r="L313" t="s">
        <v>2528</v>
      </c>
      <c r="M313" t="s">
        <v>2529</v>
      </c>
      <c r="N313" t="s">
        <v>2530</v>
      </c>
      <c r="O313" t="s">
        <v>2531</v>
      </c>
      <c r="P313" t="s">
        <v>2532</v>
      </c>
      <c r="R313" s="7">
        <v>37462</v>
      </c>
      <c r="T313" t="s">
        <v>481</v>
      </c>
      <c r="W313" s="15">
        <v>6.78444</v>
      </c>
      <c r="X313" s="15">
        <v>-75.669380000000004</v>
      </c>
      <c r="Y313">
        <v>4360.7430000000004</v>
      </c>
      <c r="Z313">
        <v>2730</v>
      </c>
      <c r="AB313" t="s">
        <v>2533</v>
      </c>
      <c r="AF313" t="s">
        <v>50</v>
      </c>
      <c r="AG313" t="s">
        <v>402</v>
      </c>
      <c r="AH313" t="s">
        <v>1728</v>
      </c>
      <c r="AI313" t="s">
        <v>2534</v>
      </c>
      <c r="AJ313">
        <v>340</v>
      </c>
    </row>
    <row r="314" spans="1:36">
      <c r="A314" t="s">
        <v>2207</v>
      </c>
      <c r="B314" t="s">
        <v>2208</v>
      </c>
      <c r="C314" t="s">
        <v>2524</v>
      </c>
      <c r="D314" t="s">
        <v>2535</v>
      </c>
      <c r="E314" t="s">
        <v>2536</v>
      </c>
      <c r="F314">
        <v>2980</v>
      </c>
      <c r="G314">
        <v>2980</v>
      </c>
      <c r="H314">
        <v>2980</v>
      </c>
      <c r="I314" t="s">
        <v>2537</v>
      </c>
      <c r="J314" t="s">
        <v>2537</v>
      </c>
      <c r="K314" t="s">
        <v>2538</v>
      </c>
      <c r="L314" t="s">
        <v>2538</v>
      </c>
      <c r="M314" t="s">
        <v>2539</v>
      </c>
      <c r="N314" t="s">
        <v>2530</v>
      </c>
      <c r="O314" t="s">
        <v>2531</v>
      </c>
      <c r="P314" t="s">
        <v>2532</v>
      </c>
      <c r="R314" s="7">
        <v>37462</v>
      </c>
      <c r="T314" t="s">
        <v>119</v>
      </c>
      <c r="W314" s="15">
        <v>6.78444</v>
      </c>
      <c r="X314" s="15">
        <v>-75.669380000000004</v>
      </c>
      <c r="Y314">
        <v>4360.7430000000004</v>
      </c>
      <c r="Z314">
        <v>2730</v>
      </c>
      <c r="AB314" t="s">
        <v>2533</v>
      </c>
      <c r="AF314" t="s">
        <v>50</v>
      </c>
      <c r="AG314" t="s">
        <v>402</v>
      </c>
      <c r="AH314" t="s">
        <v>1728</v>
      </c>
      <c r="AI314" t="s">
        <v>2540</v>
      </c>
      <c r="AJ314">
        <v>341</v>
      </c>
    </row>
    <row r="315" spans="1:36">
      <c r="A315" t="s">
        <v>2207</v>
      </c>
      <c r="B315" t="s">
        <v>2208</v>
      </c>
      <c r="C315" t="s">
        <v>2541</v>
      </c>
      <c r="D315" t="s">
        <v>2542</v>
      </c>
      <c r="E315" t="s">
        <v>2536</v>
      </c>
      <c r="F315">
        <v>2980</v>
      </c>
      <c r="G315">
        <v>2980</v>
      </c>
      <c r="H315">
        <v>2980</v>
      </c>
      <c r="I315" t="s">
        <v>2527</v>
      </c>
      <c r="J315" t="s">
        <v>2527</v>
      </c>
      <c r="K315" t="s">
        <v>2543</v>
      </c>
      <c r="L315" t="s">
        <v>2543</v>
      </c>
      <c r="M315" t="s">
        <v>2544</v>
      </c>
      <c r="N315" t="s">
        <v>2530</v>
      </c>
      <c r="O315" t="s">
        <v>2531</v>
      </c>
      <c r="P315" t="s">
        <v>2532</v>
      </c>
      <c r="R315" s="7">
        <v>37462</v>
      </c>
      <c r="T315" t="s">
        <v>119</v>
      </c>
      <c r="W315" s="15">
        <v>6.78444</v>
      </c>
      <c r="X315" s="15">
        <v>-75.669380000000004</v>
      </c>
      <c r="Y315">
        <v>4360.7430000000004</v>
      </c>
      <c r="Z315">
        <v>2730</v>
      </c>
      <c r="AB315" t="s">
        <v>2533</v>
      </c>
      <c r="AF315" t="s">
        <v>50</v>
      </c>
      <c r="AG315" t="s">
        <v>402</v>
      </c>
      <c r="AH315" t="s">
        <v>1728</v>
      </c>
      <c r="AI315" t="s">
        <v>2540</v>
      </c>
      <c r="AJ315">
        <v>342</v>
      </c>
    </row>
    <row r="316" spans="1:36">
      <c r="A316" t="s">
        <v>2207</v>
      </c>
      <c r="B316" t="s">
        <v>2208</v>
      </c>
      <c r="C316" t="s">
        <v>2545</v>
      </c>
      <c r="D316" t="s">
        <v>2546</v>
      </c>
      <c r="E316" t="s">
        <v>2547</v>
      </c>
      <c r="F316">
        <v>1910</v>
      </c>
      <c r="G316">
        <v>1910</v>
      </c>
      <c r="H316">
        <v>1910</v>
      </c>
      <c r="I316" t="s">
        <v>2548</v>
      </c>
      <c r="J316" t="s">
        <v>2548</v>
      </c>
      <c r="K316" t="s">
        <v>2549</v>
      </c>
      <c r="L316" t="s">
        <v>2549</v>
      </c>
      <c r="M316" t="s">
        <v>2550</v>
      </c>
      <c r="N316" t="s">
        <v>2551</v>
      </c>
      <c r="O316" t="s">
        <v>2552</v>
      </c>
      <c r="P316" t="s">
        <v>2553</v>
      </c>
      <c r="R316" s="7">
        <v>37525</v>
      </c>
      <c r="T316" t="s">
        <v>119</v>
      </c>
      <c r="W316" s="15">
        <v>6.7817499999999997</v>
      </c>
      <c r="X316" s="15">
        <v>-75.792833299999998</v>
      </c>
      <c r="AF316" t="s">
        <v>50</v>
      </c>
      <c r="AG316" t="s">
        <v>402</v>
      </c>
      <c r="AH316" t="s">
        <v>902</v>
      </c>
      <c r="AI316" t="s">
        <v>2554</v>
      </c>
      <c r="AJ316">
        <v>343</v>
      </c>
    </row>
    <row r="317" spans="1:36">
      <c r="A317" t="s">
        <v>2207</v>
      </c>
      <c r="B317" t="s">
        <v>2208</v>
      </c>
      <c r="C317" t="s">
        <v>2545</v>
      </c>
      <c r="D317" t="s">
        <v>2555</v>
      </c>
      <c r="E317" t="s">
        <v>2547</v>
      </c>
      <c r="F317">
        <v>1910</v>
      </c>
      <c r="G317">
        <v>1910</v>
      </c>
      <c r="H317">
        <v>1910</v>
      </c>
      <c r="I317" t="s">
        <v>2548</v>
      </c>
      <c r="J317" t="s">
        <v>2548</v>
      </c>
      <c r="K317" t="s">
        <v>2549</v>
      </c>
      <c r="L317" t="s">
        <v>2549</v>
      </c>
      <c r="M317" t="s">
        <v>2550</v>
      </c>
      <c r="N317" t="s">
        <v>2551</v>
      </c>
      <c r="O317" t="s">
        <v>2552</v>
      </c>
      <c r="P317" t="s">
        <v>2553</v>
      </c>
      <c r="R317" s="7">
        <v>37525</v>
      </c>
      <c r="T317" t="s">
        <v>119</v>
      </c>
      <c r="W317" s="15">
        <v>6.7817499999999997</v>
      </c>
      <c r="X317" s="15">
        <v>-75.792833299999998</v>
      </c>
      <c r="AF317" t="s">
        <v>50</v>
      </c>
      <c r="AG317" t="s">
        <v>402</v>
      </c>
      <c r="AH317" t="s">
        <v>902</v>
      </c>
      <c r="AI317" t="s">
        <v>2554</v>
      </c>
      <c r="AJ317">
        <v>344</v>
      </c>
    </row>
    <row r="318" spans="1:36">
      <c r="A318" t="s">
        <v>2207</v>
      </c>
      <c r="B318" t="s">
        <v>2208</v>
      </c>
      <c r="C318" t="s">
        <v>2556</v>
      </c>
      <c r="D318" t="s">
        <v>2557</v>
      </c>
      <c r="E318" t="s">
        <v>2558</v>
      </c>
      <c r="F318">
        <v>2500</v>
      </c>
      <c r="G318">
        <v>2500</v>
      </c>
      <c r="H318">
        <v>2500</v>
      </c>
      <c r="I318" t="s">
        <v>894</v>
      </c>
      <c r="J318" t="s">
        <v>894</v>
      </c>
      <c r="K318" t="s">
        <v>896</v>
      </c>
      <c r="L318" t="s">
        <v>896</v>
      </c>
      <c r="M318" t="s">
        <v>897</v>
      </c>
      <c r="N318" t="s">
        <v>898</v>
      </c>
      <c r="O318" t="s">
        <v>899</v>
      </c>
      <c r="P318" t="s">
        <v>900</v>
      </c>
      <c r="R318" s="7">
        <v>37526</v>
      </c>
      <c r="T318" t="s">
        <v>119</v>
      </c>
      <c r="W318" s="15">
        <v>6.7727778000000001</v>
      </c>
      <c r="X318" s="15">
        <v>-75.7920278</v>
      </c>
      <c r="AF318" t="s">
        <v>50</v>
      </c>
      <c r="AG318" t="s">
        <v>402</v>
      </c>
      <c r="AH318" t="s">
        <v>902</v>
      </c>
      <c r="AI318" t="s">
        <v>2559</v>
      </c>
      <c r="AJ318">
        <v>345</v>
      </c>
    </row>
    <row r="319" spans="1:36">
      <c r="A319" t="s">
        <v>2207</v>
      </c>
      <c r="B319" t="s">
        <v>2208</v>
      </c>
      <c r="C319" t="s">
        <v>2560</v>
      </c>
      <c r="D319" t="s">
        <v>2561</v>
      </c>
      <c r="E319" t="s">
        <v>2562</v>
      </c>
      <c r="F319">
        <v>2500</v>
      </c>
      <c r="G319">
        <v>2500</v>
      </c>
      <c r="H319">
        <v>2500</v>
      </c>
      <c r="I319" t="s">
        <v>2563</v>
      </c>
      <c r="J319" t="s">
        <v>2563</v>
      </c>
      <c r="K319" t="s">
        <v>975</v>
      </c>
      <c r="L319" t="s">
        <v>975</v>
      </c>
      <c r="M319" t="s">
        <v>2564</v>
      </c>
      <c r="N319" t="s">
        <v>977</v>
      </c>
      <c r="O319" t="s">
        <v>978</v>
      </c>
      <c r="P319" t="s">
        <v>979</v>
      </c>
      <c r="R319" s="7">
        <v>37667</v>
      </c>
      <c r="T319" t="s">
        <v>119</v>
      </c>
      <c r="W319" s="15">
        <v>6.2133333000000004</v>
      </c>
      <c r="X319" s="15">
        <v>-75.492277799999997</v>
      </c>
      <c r="AF319" t="s">
        <v>50</v>
      </c>
      <c r="AG319" t="s">
        <v>402</v>
      </c>
      <c r="AH319" t="s">
        <v>536</v>
      </c>
      <c r="AI319" t="s">
        <v>2565</v>
      </c>
      <c r="AJ319">
        <v>346</v>
      </c>
    </row>
    <row r="320" spans="1:36">
      <c r="A320" t="s">
        <v>2207</v>
      </c>
      <c r="B320" t="s">
        <v>2208</v>
      </c>
      <c r="C320" t="s">
        <v>2566</v>
      </c>
      <c r="D320" t="s">
        <v>2567</v>
      </c>
      <c r="E320" t="s">
        <v>2568</v>
      </c>
      <c r="F320">
        <v>2009</v>
      </c>
      <c r="G320">
        <v>2009</v>
      </c>
      <c r="H320">
        <v>2009</v>
      </c>
      <c r="I320" t="s">
        <v>2569</v>
      </c>
      <c r="J320" t="s">
        <v>2569</v>
      </c>
      <c r="K320" t="s">
        <v>2570</v>
      </c>
      <c r="L320" t="s">
        <v>2570</v>
      </c>
      <c r="M320" t="s">
        <v>2571</v>
      </c>
      <c r="N320" t="s">
        <v>2572</v>
      </c>
      <c r="O320" t="s">
        <v>2573</v>
      </c>
      <c r="P320" t="s">
        <v>2574</v>
      </c>
      <c r="R320" s="7">
        <v>37796</v>
      </c>
      <c r="T320" t="s">
        <v>119</v>
      </c>
      <c r="W320" s="15">
        <v>5.9364600000000003</v>
      </c>
      <c r="X320" s="15">
        <v>-75.702479999999994</v>
      </c>
      <c r="Y320">
        <v>719.63099999999997</v>
      </c>
      <c r="Z320">
        <v>2348</v>
      </c>
      <c r="AB320" t="s">
        <v>2575</v>
      </c>
      <c r="AF320" t="s">
        <v>50</v>
      </c>
      <c r="AG320" t="s">
        <v>402</v>
      </c>
      <c r="AH320" t="s">
        <v>1034</v>
      </c>
      <c r="AI320" t="s">
        <v>2576</v>
      </c>
      <c r="AJ320">
        <v>347</v>
      </c>
    </row>
    <row r="321" spans="1:36">
      <c r="A321" t="s">
        <v>2207</v>
      </c>
      <c r="B321" t="s">
        <v>2208</v>
      </c>
      <c r="C321" t="s">
        <v>2577</v>
      </c>
      <c r="D321" t="s">
        <v>2578</v>
      </c>
      <c r="E321" t="s">
        <v>2579</v>
      </c>
      <c r="F321">
        <v>2500</v>
      </c>
      <c r="G321">
        <v>2500</v>
      </c>
      <c r="H321">
        <v>2500</v>
      </c>
      <c r="I321" t="s">
        <v>2580</v>
      </c>
      <c r="J321" t="s">
        <v>2580</v>
      </c>
      <c r="K321" t="s">
        <v>2581</v>
      </c>
      <c r="L321" t="s">
        <v>2581</v>
      </c>
      <c r="M321" t="s">
        <v>2582</v>
      </c>
      <c r="N321" t="s">
        <v>977</v>
      </c>
      <c r="O321" t="s">
        <v>978</v>
      </c>
      <c r="P321" t="s">
        <v>979</v>
      </c>
      <c r="R321" s="7">
        <v>37865</v>
      </c>
      <c r="T321" t="s">
        <v>119</v>
      </c>
      <c r="W321" s="15">
        <v>6.2133333000000004</v>
      </c>
      <c r="X321" s="15">
        <v>-75.492277799999997</v>
      </c>
      <c r="AF321" t="s">
        <v>50</v>
      </c>
      <c r="AG321" t="s">
        <v>402</v>
      </c>
      <c r="AH321" t="s">
        <v>855</v>
      </c>
      <c r="AI321" t="s">
        <v>2583</v>
      </c>
      <c r="AJ321">
        <v>348</v>
      </c>
    </row>
    <row r="322" spans="1:36" s="2" customFormat="1">
      <c r="A322" t="s">
        <v>2207</v>
      </c>
      <c r="B322" t="s">
        <v>2208</v>
      </c>
      <c r="C322" t="s">
        <v>2584</v>
      </c>
      <c r="D322" t="s">
        <v>2585</v>
      </c>
      <c r="E322" t="s">
        <v>2586</v>
      </c>
      <c r="F322">
        <v>1750</v>
      </c>
      <c r="G322">
        <v>1750</v>
      </c>
      <c r="H322">
        <v>1750</v>
      </c>
      <c r="I322" t="s">
        <v>2587</v>
      </c>
      <c r="J322" t="s">
        <v>2587</v>
      </c>
      <c r="K322" t="s">
        <v>2588</v>
      </c>
      <c r="L322" t="s">
        <v>2588</v>
      </c>
      <c r="M322" t="s">
        <v>2589</v>
      </c>
      <c r="N322" t="s">
        <v>2590</v>
      </c>
      <c r="O322" t="s">
        <v>2591</v>
      </c>
      <c r="P322" t="s">
        <v>2592</v>
      </c>
      <c r="Q322"/>
      <c r="R322" s="7">
        <v>37894</v>
      </c>
      <c r="S322"/>
      <c r="T322" t="s">
        <v>481</v>
      </c>
      <c r="U322"/>
      <c r="V322"/>
      <c r="W322" s="15">
        <v>6.9820555999999998</v>
      </c>
      <c r="X322" s="15">
        <v>-75.132888899999998</v>
      </c>
      <c r="Y322"/>
      <c r="Z322"/>
      <c r="AA322"/>
      <c r="AB322"/>
      <c r="AC322"/>
      <c r="AD322"/>
      <c r="AE322"/>
      <c r="AF322" t="s">
        <v>50</v>
      </c>
      <c r="AG322" t="s">
        <v>402</v>
      </c>
      <c r="AH322" t="s">
        <v>1186</v>
      </c>
      <c r="AI322" t="s">
        <v>2593</v>
      </c>
      <c r="AJ322">
        <v>349</v>
      </c>
    </row>
    <row r="323" spans="1:36">
      <c r="A323" t="s">
        <v>2207</v>
      </c>
      <c r="B323" t="s">
        <v>2208</v>
      </c>
      <c r="C323" t="s">
        <v>2584</v>
      </c>
      <c r="D323" t="s">
        <v>2594</v>
      </c>
      <c r="E323" t="s">
        <v>2595</v>
      </c>
      <c r="F323">
        <v>1750</v>
      </c>
      <c r="G323">
        <v>1750</v>
      </c>
      <c r="H323">
        <v>1750</v>
      </c>
      <c r="I323" t="s">
        <v>2587</v>
      </c>
      <c r="J323" t="s">
        <v>2587</v>
      </c>
      <c r="K323" t="s">
        <v>2588</v>
      </c>
      <c r="L323" t="s">
        <v>2588</v>
      </c>
      <c r="M323" t="s">
        <v>2589</v>
      </c>
      <c r="N323" t="s">
        <v>2590</v>
      </c>
      <c r="O323" t="s">
        <v>2591</v>
      </c>
      <c r="P323" t="s">
        <v>2592</v>
      </c>
      <c r="R323" s="7">
        <v>37894</v>
      </c>
      <c r="T323" t="s">
        <v>119</v>
      </c>
      <c r="W323" s="15">
        <v>6.9820555999999998</v>
      </c>
      <c r="X323" s="15">
        <v>-75.132888899999998</v>
      </c>
      <c r="AF323" t="s">
        <v>50</v>
      </c>
      <c r="AG323" t="s">
        <v>402</v>
      </c>
      <c r="AH323" t="s">
        <v>1186</v>
      </c>
      <c r="AI323" t="s">
        <v>2596</v>
      </c>
      <c r="AJ323">
        <v>350</v>
      </c>
    </row>
    <row r="324" spans="1:36">
      <c r="A324" t="s">
        <v>2207</v>
      </c>
      <c r="B324" t="s">
        <v>2208</v>
      </c>
      <c r="C324" t="s">
        <v>2597</v>
      </c>
      <c r="D324" t="s">
        <v>2598</v>
      </c>
      <c r="E324" t="s">
        <v>1024</v>
      </c>
      <c r="F324" t="s">
        <v>1025</v>
      </c>
      <c r="G324">
        <v>2150</v>
      </c>
      <c r="H324">
        <v>2250</v>
      </c>
      <c r="I324" t="s">
        <v>2599</v>
      </c>
      <c r="J324" t="s">
        <v>2599</v>
      </c>
      <c r="K324" t="s">
        <v>2600</v>
      </c>
      <c r="L324" t="s">
        <v>2600</v>
      </c>
      <c r="M324" t="s">
        <v>2601</v>
      </c>
      <c r="N324" t="s">
        <v>2602</v>
      </c>
      <c r="O324" t="s">
        <v>2603</v>
      </c>
      <c r="P324" t="s">
        <v>2604</v>
      </c>
      <c r="R324" s="7">
        <v>38342</v>
      </c>
      <c r="T324" t="s">
        <v>119</v>
      </c>
      <c r="W324" s="15">
        <v>5.9835555999999999</v>
      </c>
      <c r="X324" s="15">
        <v>-75.635222200000001</v>
      </c>
      <c r="AF324" t="s">
        <v>50</v>
      </c>
      <c r="AG324" t="s">
        <v>402</v>
      </c>
      <c r="AH324" t="s">
        <v>1034</v>
      </c>
      <c r="AI324" t="s">
        <v>1035</v>
      </c>
      <c r="AJ324">
        <v>351</v>
      </c>
    </row>
    <row r="325" spans="1:36" s="2" customFormat="1">
      <c r="A325" t="s">
        <v>2207</v>
      </c>
      <c r="B325" t="s">
        <v>2208</v>
      </c>
      <c r="C325" t="s">
        <v>2605</v>
      </c>
      <c r="D325" t="s">
        <v>2606</v>
      </c>
      <c r="E325" t="s">
        <v>2607</v>
      </c>
      <c r="F325" t="s">
        <v>2608</v>
      </c>
      <c r="G325">
        <v>2280</v>
      </c>
      <c r="H325">
        <v>2560</v>
      </c>
      <c r="I325" t="s">
        <v>2609</v>
      </c>
      <c r="J325" t="s">
        <v>2609</v>
      </c>
      <c r="K325" t="s">
        <v>2610</v>
      </c>
      <c r="L325" t="s">
        <v>2610</v>
      </c>
      <c r="M325" t="s">
        <v>2611</v>
      </c>
      <c r="N325" t="s">
        <v>2612</v>
      </c>
      <c r="O325" t="s">
        <v>2613</v>
      </c>
      <c r="P325" t="s">
        <v>2614</v>
      </c>
      <c r="Q325"/>
      <c r="R325" s="7">
        <v>38361</v>
      </c>
      <c r="S325"/>
      <c r="T325" t="s">
        <v>119</v>
      </c>
      <c r="U325"/>
      <c r="V325"/>
      <c r="W325" s="15">
        <v>5.4870000000000001</v>
      </c>
      <c r="X325" s="15">
        <v>-75.8977778</v>
      </c>
      <c r="Y325"/>
      <c r="Z325"/>
      <c r="AA325"/>
      <c r="AB325"/>
      <c r="AC325"/>
      <c r="AD325"/>
      <c r="AE325"/>
      <c r="AF325" t="s">
        <v>50</v>
      </c>
      <c r="AG325" t="s">
        <v>402</v>
      </c>
      <c r="AH325" t="s">
        <v>2615</v>
      </c>
      <c r="AI325" t="s">
        <v>2616</v>
      </c>
      <c r="AJ325">
        <v>352</v>
      </c>
    </row>
    <row r="326" spans="1:36" s="2" customFormat="1">
      <c r="A326" t="s">
        <v>2207</v>
      </c>
      <c r="B326" t="s">
        <v>2208</v>
      </c>
      <c r="C326" t="s">
        <v>2617</v>
      </c>
      <c r="D326" t="s">
        <v>2618</v>
      </c>
      <c r="E326" t="s">
        <v>2619</v>
      </c>
      <c r="F326">
        <v>1950</v>
      </c>
      <c r="G326">
        <v>1950</v>
      </c>
      <c r="H326">
        <v>1950</v>
      </c>
      <c r="I326" t="s">
        <v>2620</v>
      </c>
      <c r="J326" t="s">
        <v>2621</v>
      </c>
      <c r="K326" t="s">
        <v>2622</v>
      </c>
      <c r="L326" t="s">
        <v>2623</v>
      </c>
      <c r="M326" t="s">
        <v>2624</v>
      </c>
      <c r="N326" t="s">
        <v>2625</v>
      </c>
      <c r="O326" t="s">
        <v>2626</v>
      </c>
      <c r="P326" t="s">
        <v>2627</v>
      </c>
      <c r="Q326"/>
      <c r="R326" s="7">
        <v>38389</v>
      </c>
      <c r="S326"/>
      <c r="T326" t="s">
        <v>119</v>
      </c>
      <c r="U326"/>
      <c r="V326"/>
      <c r="W326" s="15">
        <v>6.1153000000000004</v>
      </c>
      <c r="X326" s="15">
        <v>-75.698377800000003</v>
      </c>
      <c r="Y326"/>
      <c r="Z326"/>
      <c r="AA326"/>
      <c r="AB326"/>
      <c r="AC326"/>
      <c r="AD326"/>
      <c r="AE326"/>
      <c r="AF326" t="s">
        <v>50</v>
      </c>
      <c r="AG326" t="s">
        <v>402</v>
      </c>
      <c r="AH326" t="s">
        <v>2628</v>
      </c>
      <c r="AI326" t="s">
        <v>2629</v>
      </c>
      <c r="AJ326">
        <v>353</v>
      </c>
    </row>
    <row r="327" spans="1:36">
      <c r="A327" t="s">
        <v>2207</v>
      </c>
      <c r="B327" t="s">
        <v>2208</v>
      </c>
      <c r="C327" t="s">
        <v>2617</v>
      </c>
      <c r="D327" t="s">
        <v>2618</v>
      </c>
      <c r="E327" t="s">
        <v>2619</v>
      </c>
      <c r="F327">
        <v>1950</v>
      </c>
      <c r="G327">
        <v>1950</v>
      </c>
      <c r="H327">
        <v>1950</v>
      </c>
      <c r="I327" t="s">
        <v>2620</v>
      </c>
      <c r="J327" t="s">
        <v>2621</v>
      </c>
      <c r="K327" t="s">
        <v>2622</v>
      </c>
      <c r="L327" t="s">
        <v>2623</v>
      </c>
      <c r="M327" t="s">
        <v>2624</v>
      </c>
      <c r="N327" t="s">
        <v>2625</v>
      </c>
      <c r="O327" t="s">
        <v>2626</v>
      </c>
      <c r="P327" t="s">
        <v>2627</v>
      </c>
      <c r="R327" s="7">
        <v>38389</v>
      </c>
      <c r="T327" t="s">
        <v>119</v>
      </c>
      <c r="W327" s="15">
        <v>6.1153000000000004</v>
      </c>
      <c r="X327" s="15">
        <v>-75.698377800000003</v>
      </c>
      <c r="AF327" t="s">
        <v>50</v>
      </c>
      <c r="AG327" t="s">
        <v>402</v>
      </c>
      <c r="AH327" t="s">
        <v>2628</v>
      </c>
      <c r="AI327" t="s">
        <v>2629</v>
      </c>
      <c r="AJ327">
        <v>354</v>
      </c>
    </row>
    <row r="328" spans="1:36">
      <c r="A328" t="s">
        <v>2207</v>
      </c>
      <c r="B328" t="s">
        <v>2208</v>
      </c>
      <c r="C328" t="s">
        <v>2630</v>
      </c>
      <c r="D328" t="s">
        <v>2631</v>
      </c>
      <c r="E328" t="s">
        <v>2632</v>
      </c>
      <c r="F328" t="s">
        <v>2633</v>
      </c>
      <c r="G328">
        <v>2100</v>
      </c>
      <c r="H328">
        <v>2200</v>
      </c>
      <c r="I328" t="s">
        <v>2634</v>
      </c>
      <c r="J328" t="s">
        <v>2634</v>
      </c>
      <c r="K328" t="s">
        <v>2635</v>
      </c>
      <c r="L328" t="s">
        <v>2635</v>
      </c>
      <c r="M328" t="s">
        <v>2636</v>
      </c>
      <c r="N328" t="s">
        <v>2637</v>
      </c>
      <c r="O328" t="s">
        <v>2638</v>
      </c>
      <c r="P328" t="s">
        <v>2639</v>
      </c>
      <c r="R328" s="7">
        <v>38653</v>
      </c>
      <c r="T328" t="s">
        <v>119</v>
      </c>
      <c r="W328" s="15">
        <v>6.1580556</v>
      </c>
      <c r="X328" s="15">
        <v>-75.701388899999998</v>
      </c>
      <c r="AF328" t="s">
        <v>50</v>
      </c>
      <c r="AG328" t="s">
        <v>402</v>
      </c>
      <c r="AH328" t="s">
        <v>2628</v>
      </c>
      <c r="AI328" t="s">
        <v>2640</v>
      </c>
      <c r="AJ328">
        <v>355</v>
      </c>
    </row>
    <row r="329" spans="1:36">
      <c r="A329" t="s">
        <v>2207</v>
      </c>
      <c r="B329" t="s">
        <v>2208</v>
      </c>
      <c r="C329" t="s">
        <v>2641</v>
      </c>
      <c r="D329" t="s">
        <v>2642</v>
      </c>
      <c r="E329" t="s">
        <v>2643</v>
      </c>
      <c r="F329">
        <v>2430</v>
      </c>
      <c r="G329">
        <v>2430</v>
      </c>
      <c r="H329">
        <v>2430</v>
      </c>
      <c r="I329" t="s">
        <v>2644</v>
      </c>
      <c r="J329" t="s">
        <v>2644</v>
      </c>
      <c r="K329" t="s">
        <v>2645</v>
      </c>
      <c r="L329" t="s">
        <v>2645</v>
      </c>
      <c r="M329" t="s">
        <v>2646</v>
      </c>
      <c r="N329" t="s">
        <v>2647</v>
      </c>
      <c r="O329" t="s">
        <v>2648</v>
      </c>
      <c r="P329" t="s">
        <v>2649</v>
      </c>
      <c r="R329" s="7">
        <v>39029</v>
      </c>
      <c r="T329" t="s">
        <v>119</v>
      </c>
      <c r="W329" s="15">
        <v>6.2110278000000001</v>
      </c>
      <c r="X329" s="15">
        <v>-75.655138899999997</v>
      </c>
      <c r="AF329" t="s">
        <v>50</v>
      </c>
      <c r="AG329" t="s">
        <v>402</v>
      </c>
      <c r="AH329" t="s">
        <v>855</v>
      </c>
      <c r="AI329" t="s">
        <v>2650</v>
      </c>
      <c r="AJ329">
        <v>356</v>
      </c>
    </row>
    <row r="330" spans="1:36">
      <c r="A330" t="s">
        <v>2207</v>
      </c>
      <c r="B330" t="s">
        <v>2208</v>
      </c>
      <c r="C330" t="s">
        <v>2651</v>
      </c>
      <c r="D330" t="s">
        <v>1837</v>
      </c>
      <c r="E330" t="s">
        <v>2652</v>
      </c>
      <c r="F330" t="s">
        <v>2653</v>
      </c>
      <c r="G330">
        <v>800</v>
      </c>
      <c r="H330">
        <v>800</v>
      </c>
      <c r="I330" t="s">
        <v>1273</v>
      </c>
      <c r="J330" t="s">
        <v>1273</v>
      </c>
      <c r="K330" t="s">
        <v>1275</v>
      </c>
      <c r="L330" t="s">
        <v>1275</v>
      </c>
      <c r="M330" t="s">
        <v>1276</v>
      </c>
      <c r="N330" t="s">
        <v>1277</v>
      </c>
      <c r="O330" t="s">
        <v>1278</v>
      </c>
      <c r="P330" t="s">
        <v>1279</v>
      </c>
      <c r="R330" s="7">
        <v>39193</v>
      </c>
      <c r="T330" t="s">
        <v>318</v>
      </c>
      <c r="W330" s="15">
        <v>6.2927</v>
      </c>
      <c r="X330" s="15">
        <v>-75.507090000000005</v>
      </c>
      <c r="Y330">
        <v>3749.79</v>
      </c>
      <c r="Z330">
        <v>2379</v>
      </c>
      <c r="AB330" t="s">
        <v>2654</v>
      </c>
      <c r="AF330" t="s">
        <v>50</v>
      </c>
      <c r="AG330" t="s">
        <v>402</v>
      </c>
      <c r="AH330" t="s">
        <v>536</v>
      </c>
      <c r="AI330" t="s">
        <v>2655</v>
      </c>
      <c r="AJ330">
        <v>357</v>
      </c>
    </row>
    <row r="331" spans="1:36">
      <c r="A331" t="s">
        <v>2207</v>
      </c>
      <c r="B331" t="s">
        <v>2208</v>
      </c>
      <c r="C331" t="s">
        <v>2656</v>
      </c>
      <c r="D331" t="s">
        <v>2657</v>
      </c>
      <c r="E331" t="s">
        <v>2658</v>
      </c>
      <c r="F331" t="s">
        <v>2659</v>
      </c>
      <c r="G331">
        <v>900</v>
      </c>
      <c r="H331">
        <v>920</v>
      </c>
      <c r="I331" t="s">
        <v>2660</v>
      </c>
      <c r="J331" t="s">
        <v>2661</v>
      </c>
      <c r="K331" t="s">
        <v>2662</v>
      </c>
      <c r="L331" t="s">
        <v>2663</v>
      </c>
      <c r="M331" t="s">
        <v>2664</v>
      </c>
      <c r="N331" t="s">
        <v>2665</v>
      </c>
      <c r="O331" t="s">
        <v>2666</v>
      </c>
      <c r="P331" t="s">
        <v>2667</v>
      </c>
      <c r="R331" s="7">
        <v>40748</v>
      </c>
      <c r="T331" t="s">
        <v>119</v>
      </c>
      <c r="W331" s="15">
        <v>6.5381499999999999</v>
      </c>
      <c r="X331" s="15">
        <v>-76.322199999999995</v>
      </c>
      <c r="Y331">
        <v>2588.0100000000002</v>
      </c>
      <c r="Z331">
        <v>861</v>
      </c>
      <c r="AB331" t="s">
        <v>1501</v>
      </c>
      <c r="AF331" t="s">
        <v>50</v>
      </c>
      <c r="AG331" t="s">
        <v>402</v>
      </c>
      <c r="AH331" t="s">
        <v>1356</v>
      </c>
      <c r="AI331" t="s">
        <v>2668</v>
      </c>
      <c r="AJ331">
        <v>358</v>
      </c>
    </row>
    <row r="332" spans="1:36">
      <c r="A332" t="s">
        <v>2207</v>
      </c>
      <c r="B332" t="s">
        <v>2208</v>
      </c>
      <c r="C332" t="s">
        <v>2669</v>
      </c>
      <c r="D332" t="s">
        <v>2670</v>
      </c>
      <c r="E332" t="s">
        <v>2658</v>
      </c>
      <c r="F332" t="s">
        <v>2659</v>
      </c>
      <c r="G332">
        <v>900</v>
      </c>
      <c r="H332">
        <v>920</v>
      </c>
      <c r="I332" t="s">
        <v>2661</v>
      </c>
      <c r="J332" t="s">
        <v>2661</v>
      </c>
      <c r="K332" t="s">
        <v>2663</v>
      </c>
      <c r="L332" t="s">
        <v>2663</v>
      </c>
      <c r="M332" t="s">
        <v>2664</v>
      </c>
      <c r="N332" t="s">
        <v>2665</v>
      </c>
      <c r="O332" t="s">
        <v>2666</v>
      </c>
      <c r="P332" t="s">
        <v>2667</v>
      </c>
      <c r="R332" s="7">
        <v>40748</v>
      </c>
      <c r="T332" t="s">
        <v>119</v>
      </c>
      <c r="W332" s="15">
        <v>6.5381499999999999</v>
      </c>
      <c r="X332" s="15">
        <v>-76.322199999999995</v>
      </c>
      <c r="Y332">
        <v>2588.0100000000002</v>
      </c>
      <c r="Z332">
        <v>861</v>
      </c>
      <c r="AB332" t="s">
        <v>1501</v>
      </c>
      <c r="AF332" t="s">
        <v>50</v>
      </c>
      <c r="AG332" t="s">
        <v>402</v>
      </c>
      <c r="AH332" t="s">
        <v>1356</v>
      </c>
      <c r="AI332" t="s">
        <v>2668</v>
      </c>
      <c r="AJ332">
        <v>359</v>
      </c>
    </row>
    <row r="333" spans="1:36">
      <c r="A333" t="s">
        <v>2671</v>
      </c>
      <c r="B333" t="s">
        <v>2208</v>
      </c>
      <c r="C333" t="s">
        <v>2460</v>
      </c>
      <c r="D333" t="s">
        <v>2672</v>
      </c>
      <c r="E333" t="s">
        <v>2673</v>
      </c>
      <c r="F333">
        <v>2400</v>
      </c>
      <c r="G333">
        <v>2400</v>
      </c>
      <c r="H333">
        <v>2400</v>
      </c>
      <c r="I333" t="s">
        <v>2371</v>
      </c>
      <c r="J333" t="s">
        <v>2371</v>
      </c>
      <c r="K333" t="s">
        <v>2463</v>
      </c>
      <c r="L333" t="s">
        <v>2463</v>
      </c>
      <c r="M333" t="s">
        <v>2674</v>
      </c>
      <c r="N333" t="s">
        <v>532</v>
      </c>
      <c r="O333" t="s">
        <v>2426</v>
      </c>
      <c r="P333" t="s">
        <v>2427</v>
      </c>
      <c r="R333" s="7">
        <v>35855</v>
      </c>
      <c r="T333" t="s">
        <v>119</v>
      </c>
      <c r="W333" s="15">
        <v>6.25</v>
      </c>
      <c r="X333" s="15">
        <v>-75.583333300000007</v>
      </c>
      <c r="AF333" t="s">
        <v>50</v>
      </c>
      <c r="AG333" t="s">
        <v>402</v>
      </c>
      <c r="AH333" t="s">
        <v>855</v>
      </c>
      <c r="AI333" t="s">
        <v>2675</v>
      </c>
      <c r="AJ333">
        <v>360</v>
      </c>
    </row>
    <row r="334" spans="1:36">
      <c r="A334" t="s">
        <v>2207</v>
      </c>
      <c r="B334" t="s">
        <v>2208</v>
      </c>
      <c r="C334" t="s">
        <v>2676</v>
      </c>
      <c r="D334" t="s">
        <v>2677</v>
      </c>
      <c r="E334" t="s">
        <v>2678</v>
      </c>
      <c r="F334">
        <v>2700</v>
      </c>
      <c r="G334">
        <v>2700</v>
      </c>
      <c r="H334">
        <v>2700</v>
      </c>
      <c r="P334" t="s">
        <v>80</v>
      </c>
      <c r="R334" s="7">
        <v>37051</v>
      </c>
      <c r="T334" t="s">
        <v>111</v>
      </c>
      <c r="W334" s="15">
        <v>5.7076000000000002</v>
      </c>
      <c r="X334" s="15">
        <v>-73.461259999999996</v>
      </c>
      <c r="Y334">
        <v>1286.856</v>
      </c>
      <c r="Z334">
        <v>2969</v>
      </c>
      <c r="AB334" t="s">
        <v>2679</v>
      </c>
      <c r="AF334" t="s">
        <v>50</v>
      </c>
      <c r="AG334" t="s">
        <v>90</v>
      </c>
      <c r="AH334" t="s">
        <v>2680</v>
      </c>
      <c r="AI334" t="s">
        <v>2681</v>
      </c>
      <c r="AJ334">
        <v>361</v>
      </c>
    </row>
    <row r="335" spans="1:36">
      <c r="A335" t="s">
        <v>2207</v>
      </c>
      <c r="B335" t="s">
        <v>2208</v>
      </c>
      <c r="C335" t="s">
        <v>2682</v>
      </c>
      <c r="D335" t="s">
        <v>2683</v>
      </c>
      <c r="E335" t="s">
        <v>2684</v>
      </c>
      <c r="F335">
        <v>2300</v>
      </c>
      <c r="G335">
        <v>2300</v>
      </c>
      <c r="H335">
        <v>2300</v>
      </c>
      <c r="P335" t="s">
        <v>80</v>
      </c>
      <c r="R335" s="7">
        <v>30142</v>
      </c>
      <c r="T335" t="s">
        <v>236</v>
      </c>
      <c r="W335" s="15">
        <v>5.3794599999999999</v>
      </c>
      <c r="X335" s="15">
        <v>-75.166309999999996</v>
      </c>
      <c r="Y335">
        <v>36.174999999999997</v>
      </c>
      <c r="Z335">
        <v>2078</v>
      </c>
      <c r="AB335" t="s">
        <v>2685</v>
      </c>
      <c r="AF335" t="s">
        <v>50</v>
      </c>
      <c r="AG335" t="s">
        <v>167</v>
      </c>
      <c r="AH335" t="s">
        <v>1142</v>
      </c>
      <c r="AI335" t="s">
        <v>2686</v>
      </c>
      <c r="AJ335">
        <v>364</v>
      </c>
    </row>
    <row r="336" spans="1:36">
      <c r="A336" t="s">
        <v>2207</v>
      </c>
      <c r="B336" t="s">
        <v>2208</v>
      </c>
      <c r="C336" t="s">
        <v>2687</v>
      </c>
      <c r="D336" t="s">
        <v>2688</v>
      </c>
      <c r="E336" t="s">
        <v>2689</v>
      </c>
      <c r="F336" t="s">
        <v>79</v>
      </c>
      <c r="G336" t="s">
        <v>79</v>
      </c>
      <c r="H336" t="s">
        <v>79</v>
      </c>
      <c r="I336" t="s">
        <v>2690</v>
      </c>
      <c r="J336" t="s">
        <v>2690</v>
      </c>
      <c r="K336" t="s">
        <v>2691</v>
      </c>
      <c r="L336" t="s">
        <v>2691</v>
      </c>
      <c r="M336" t="s">
        <v>2692</v>
      </c>
      <c r="N336" t="s">
        <v>2693</v>
      </c>
      <c r="O336" t="s">
        <v>2694</v>
      </c>
      <c r="P336" t="s">
        <v>2695</v>
      </c>
      <c r="R336" s="7">
        <v>34643</v>
      </c>
      <c r="T336" t="s">
        <v>111</v>
      </c>
      <c r="W336" s="15">
        <v>5.5187999999999997</v>
      </c>
      <c r="X336" s="15">
        <v>-75.045180000000002</v>
      </c>
      <c r="Y336">
        <v>8261.2870000000003</v>
      </c>
      <c r="Z336">
        <v>1571</v>
      </c>
      <c r="AB336" t="s">
        <v>2696</v>
      </c>
      <c r="AF336" t="s">
        <v>50</v>
      </c>
      <c r="AG336" t="s">
        <v>167</v>
      </c>
      <c r="AH336" t="s">
        <v>1526</v>
      </c>
      <c r="AI336" t="s">
        <v>2697</v>
      </c>
      <c r="AJ336">
        <v>365</v>
      </c>
    </row>
    <row r="337" spans="1:36">
      <c r="A337" t="s">
        <v>2207</v>
      </c>
      <c r="B337" t="s">
        <v>2208</v>
      </c>
      <c r="C337" t="s">
        <v>2698</v>
      </c>
      <c r="D337" t="s">
        <v>2699</v>
      </c>
      <c r="E337" t="s">
        <v>2689</v>
      </c>
      <c r="F337" t="s">
        <v>79</v>
      </c>
      <c r="G337" t="s">
        <v>79</v>
      </c>
      <c r="H337" t="s">
        <v>79</v>
      </c>
      <c r="I337" t="s">
        <v>2690</v>
      </c>
      <c r="J337" t="s">
        <v>2690</v>
      </c>
      <c r="K337" t="s">
        <v>2691</v>
      </c>
      <c r="L337" t="s">
        <v>2691</v>
      </c>
      <c r="M337" t="s">
        <v>2692</v>
      </c>
      <c r="N337" t="s">
        <v>2693</v>
      </c>
      <c r="O337" t="s">
        <v>2694</v>
      </c>
      <c r="P337" t="s">
        <v>2695</v>
      </c>
      <c r="R337" s="7">
        <v>34643</v>
      </c>
      <c r="T337" t="s">
        <v>111</v>
      </c>
      <c r="W337" s="15">
        <v>5.5187999999999997</v>
      </c>
      <c r="X337" s="15">
        <v>-75.045180000000002</v>
      </c>
      <c r="Y337">
        <v>8261.2870000000003</v>
      </c>
      <c r="Z337">
        <v>1571</v>
      </c>
      <c r="AB337" t="s">
        <v>2696</v>
      </c>
      <c r="AF337" t="s">
        <v>50</v>
      </c>
      <c r="AG337" t="s">
        <v>167</v>
      </c>
      <c r="AH337" t="s">
        <v>1526</v>
      </c>
      <c r="AI337" t="s">
        <v>2697</v>
      </c>
      <c r="AJ337">
        <v>366</v>
      </c>
    </row>
    <row r="338" spans="1:36">
      <c r="A338" t="s">
        <v>2207</v>
      </c>
      <c r="B338" t="s">
        <v>2208</v>
      </c>
      <c r="C338" t="s">
        <v>2700</v>
      </c>
      <c r="D338" t="s">
        <v>2701</v>
      </c>
      <c r="E338" t="s">
        <v>2702</v>
      </c>
      <c r="F338">
        <v>2150</v>
      </c>
      <c r="G338">
        <v>2150</v>
      </c>
      <c r="H338">
        <v>2150</v>
      </c>
      <c r="P338" t="s">
        <v>80</v>
      </c>
      <c r="R338" s="7">
        <v>37665</v>
      </c>
      <c r="T338" t="s">
        <v>119</v>
      </c>
      <c r="W338" s="15">
        <v>5.0628700000000002</v>
      </c>
      <c r="X338" s="15">
        <v>-75.482119999999995</v>
      </c>
      <c r="Y338">
        <v>422.83600000000001</v>
      </c>
      <c r="Z338">
        <v>2122</v>
      </c>
      <c r="AB338" t="s">
        <v>2703</v>
      </c>
      <c r="AF338" t="s">
        <v>50</v>
      </c>
      <c r="AG338" t="s">
        <v>167</v>
      </c>
      <c r="AH338" t="s">
        <v>168</v>
      </c>
      <c r="AI338" t="s">
        <v>2704</v>
      </c>
      <c r="AJ338">
        <v>367</v>
      </c>
    </row>
    <row r="339" spans="1:36">
      <c r="A339" t="s">
        <v>2207</v>
      </c>
      <c r="B339" t="s">
        <v>2208</v>
      </c>
      <c r="C339" t="s">
        <v>2705</v>
      </c>
      <c r="D339" t="s">
        <v>1060</v>
      </c>
      <c r="E339" t="s">
        <v>2706</v>
      </c>
      <c r="F339">
        <v>2680</v>
      </c>
      <c r="G339">
        <v>2680</v>
      </c>
      <c r="H339">
        <v>2680</v>
      </c>
      <c r="P339" t="s">
        <v>80</v>
      </c>
      <c r="R339" s="7">
        <v>38952</v>
      </c>
      <c r="T339" t="s">
        <v>119</v>
      </c>
      <c r="W339" s="15">
        <v>4.9516999999999998</v>
      </c>
      <c r="X339" s="15">
        <v>-75.431269999999998</v>
      </c>
      <c r="Y339">
        <v>1776.4559999999999</v>
      </c>
      <c r="Z339">
        <v>2812</v>
      </c>
      <c r="AB339" t="s">
        <v>2707</v>
      </c>
      <c r="AF339" t="s">
        <v>50</v>
      </c>
      <c r="AG339" t="s">
        <v>167</v>
      </c>
      <c r="AH339" t="s">
        <v>993</v>
      </c>
      <c r="AI339" t="s">
        <v>2708</v>
      </c>
      <c r="AJ339">
        <v>368</v>
      </c>
    </row>
    <row r="340" spans="1:36">
      <c r="A340" t="s">
        <v>2207</v>
      </c>
      <c r="B340" t="s">
        <v>2208</v>
      </c>
      <c r="C340" t="s">
        <v>2709</v>
      </c>
      <c r="D340" t="s">
        <v>1060</v>
      </c>
      <c r="E340" t="s">
        <v>2710</v>
      </c>
      <c r="F340">
        <v>1800</v>
      </c>
      <c r="G340">
        <v>1800</v>
      </c>
      <c r="H340">
        <v>1800</v>
      </c>
      <c r="P340" t="s">
        <v>80</v>
      </c>
      <c r="R340" s="7">
        <v>39112</v>
      </c>
      <c r="T340" t="s">
        <v>119</v>
      </c>
      <c r="W340" s="15">
        <v>5.4581</v>
      </c>
      <c r="X340" s="15">
        <v>-75.698520000000002</v>
      </c>
      <c r="Y340">
        <v>1137.7260000000001</v>
      </c>
      <c r="Z340">
        <v>1459</v>
      </c>
      <c r="AB340" t="s">
        <v>2711</v>
      </c>
      <c r="AF340" t="s">
        <v>50</v>
      </c>
      <c r="AG340" t="s">
        <v>167</v>
      </c>
      <c r="AH340" t="s">
        <v>2712</v>
      </c>
      <c r="AI340" t="s">
        <v>2713</v>
      </c>
      <c r="AJ340">
        <v>369</v>
      </c>
    </row>
    <row r="341" spans="1:36">
      <c r="A341" t="s">
        <v>2207</v>
      </c>
      <c r="B341" t="s">
        <v>2208</v>
      </c>
      <c r="C341" t="s">
        <v>2714</v>
      </c>
      <c r="D341" t="s">
        <v>1820</v>
      </c>
      <c r="E341" t="s">
        <v>2715</v>
      </c>
      <c r="F341">
        <v>1659</v>
      </c>
      <c r="G341">
        <v>1659</v>
      </c>
      <c r="H341">
        <v>1659</v>
      </c>
      <c r="P341" t="s">
        <v>80</v>
      </c>
      <c r="R341" s="7">
        <v>39278</v>
      </c>
      <c r="T341" t="s">
        <v>119</v>
      </c>
      <c r="W341" s="15">
        <v>5.1273900000000001</v>
      </c>
      <c r="X341" s="15">
        <v>-75.778400000000005</v>
      </c>
      <c r="Y341">
        <v>4307.0860000000002</v>
      </c>
      <c r="Z341">
        <v>1647</v>
      </c>
      <c r="AB341" t="s">
        <v>1167</v>
      </c>
      <c r="AF341" t="s">
        <v>50</v>
      </c>
      <c r="AG341" t="s">
        <v>167</v>
      </c>
      <c r="AH341" t="s">
        <v>1168</v>
      </c>
      <c r="AI341" t="s">
        <v>1169</v>
      </c>
      <c r="AJ341">
        <v>370</v>
      </c>
    </row>
    <row r="342" spans="1:36">
      <c r="A342" t="s">
        <v>2207</v>
      </c>
      <c r="B342" t="s">
        <v>2208</v>
      </c>
      <c r="C342" t="s">
        <v>2716</v>
      </c>
      <c r="D342" t="s">
        <v>1820</v>
      </c>
      <c r="E342" t="s">
        <v>2717</v>
      </c>
      <c r="F342">
        <v>2000</v>
      </c>
      <c r="G342">
        <v>2000</v>
      </c>
      <c r="H342">
        <v>2000</v>
      </c>
      <c r="P342" t="s">
        <v>80</v>
      </c>
      <c r="R342" s="7">
        <v>39555</v>
      </c>
      <c r="T342" t="s">
        <v>119</v>
      </c>
      <c r="W342" s="15">
        <v>5.4227999999999996</v>
      </c>
      <c r="X342" s="15">
        <v>-75.06335</v>
      </c>
      <c r="Y342">
        <v>1963.9839999999999</v>
      </c>
      <c r="Z342">
        <v>1652</v>
      </c>
      <c r="AA342" t="s">
        <v>2718</v>
      </c>
      <c r="AB342" t="s">
        <v>2719</v>
      </c>
      <c r="AF342" t="s">
        <v>50</v>
      </c>
      <c r="AG342" t="s">
        <v>167</v>
      </c>
      <c r="AH342" t="s">
        <v>1823</v>
      </c>
      <c r="AI342" t="s">
        <v>2720</v>
      </c>
      <c r="AJ342">
        <v>371</v>
      </c>
    </row>
    <row r="343" spans="1:36">
      <c r="A343" t="s">
        <v>2207</v>
      </c>
      <c r="B343" t="s">
        <v>2208</v>
      </c>
      <c r="C343" t="s">
        <v>2721</v>
      </c>
      <c r="D343" t="s">
        <v>1529</v>
      </c>
      <c r="E343" t="s">
        <v>1106</v>
      </c>
      <c r="F343" t="s">
        <v>1107</v>
      </c>
      <c r="G343">
        <v>2526</v>
      </c>
      <c r="H343">
        <v>2526</v>
      </c>
      <c r="I343" t="s">
        <v>2722</v>
      </c>
      <c r="J343" t="s">
        <v>2722</v>
      </c>
      <c r="K343" t="s">
        <v>1109</v>
      </c>
      <c r="L343" t="s">
        <v>1109</v>
      </c>
      <c r="M343" t="s">
        <v>2723</v>
      </c>
      <c r="N343" t="s">
        <v>304</v>
      </c>
      <c r="O343" t="s">
        <v>305</v>
      </c>
      <c r="P343" t="s">
        <v>306</v>
      </c>
      <c r="R343" s="7">
        <v>40032</v>
      </c>
      <c r="W343" s="15">
        <v>4.9848806000000003</v>
      </c>
      <c r="X343" s="15">
        <v>-75.451138900000004</v>
      </c>
      <c r="AF343" t="s">
        <v>50</v>
      </c>
      <c r="AG343" t="s">
        <v>167</v>
      </c>
      <c r="AH343" t="s">
        <v>168</v>
      </c>
      <c r="AI343" t="s">
        <v>1111</v>
      </c>
      <c r="AJ343">
        <v>372</v>
      </c>
    </row>
    <row r="344" spans="1:36">
      <c r="A344" t="s">
        <v>2207</v>
      </c>
      <c r="B344" t="s">
        <v>2208</v>
      </c>
      <c r="C344" t="s">
        <v>2724</v>
      </c>
      <c r="D344" t="s">
        <v>1060</v>
      </c>
      <c r="E344" t="s">
        <v>2725</v>
      </c>
      <c r="F344">
        <v>2945</v>
      </c>
      <c r="G344">
        <v>2945</v>
      </c>
      <c r="H344">
        <v>2945</v>
      </c>
      <c r="I344" t="s">
        <v>2726</v>
      </c>
      <c r="J344" t="s">
        <v>2727</v>
      </c>
      <c r="K344" t="s">
        <v>2728</v>
      </c>
      <c r="L344" t="s">
        <v>2729</v>
      </c>
      <c r="M344" t="s">
        <v>2730</v>
      </c>
      <c r="N344" t="s">
        <v>2731</v>
      </c>
      <c r="O344" t="s">
        <v>2732</v>
      </c>
      <c r="P344" t="s">
        <v>2733</v>
      </c>
      <c r="R344" s="7">
        <v>40078</v>
      </c>
      <c r="T344" t="s">
        <v>111</v>
      </c>
      <c r="W344" s="15">
        <v>5.3832899999999997</v>
      </c>
      <c r="X344" s="15">
        <v>-75.353309999999993</v>
      </c>
      <c r="Y344">
        <v>1469.046</v>
      </c>
      <c r="Z344">
        <v>2946</v>
      </c>
      <c r="AB344" t="s">
        <v>1822</v>
      </c>
      <c r="AF344" t="s">
        <v>50</v>
      </c>
      <c r="AG344" t="s">
        <v>167</v>
      </c>
      <c r="AH344" t="s">
        <v>1823</v>
      </c>
      <c r="AI344" t="s">
        <v>2734</v>
      </c>
      <c r="AJ344">
        <v>373</v>
      </c>
    </row>
    <row r="345" spans="1:36">
      <c r="A345" t="s">
        <v>2207</v>
      </c>
      <c r="B345" t="s">
        <v>2208</v>
      </c>
      <c r="C345" t="s">
        <v>2735</v>
      </c>
      <c r="D345" t="s">
        <v>2736</v>
      </c>
      <c r="E345" t="s">
        <v>2737</v>
      </c>
      <c r="F345">
        <v>3070</v>
      </c>
      <c r="G345">
        <v>3070</v>
      </c>
      <c r="H345">
        <v>3070</v>
      </c>
      <c r="I345">
        <v>1188666</v>
      </c>
      <c r="J345" t="s">
        <v>2738</v>
      </c>
      <c r="K345">
        <v>1506143</v>
      </c>
      <c r="L345" t="s">
        <v>2739</v>
      </c>
      <c r="M345" t="s">
        <v>2740</v>
      </c>
      <c r="P345" t="s">
        <v>80</v>
      </c>
      <c r="R345" s="7">
        <v>40605</v>
      </c>
      <c r="T345" t="s">
        <v>119</v>
      </c>
      <c r="W345" s="15">
        <v>5.3704499999999999</v>
      </c>
      <c r="X345" s="15">
        <v>-75.385949999999994</v>
      </c>
      <c r="Y345">
        <v>5096.4889999999996</v>
      </c>
      <c r="Z345">
        <v>2888</v>
      </c>
      <c r="AB345" t="s">
        <v>1844</v>
      </c>
      <c r="AF345" t="s">
        <v>50</v>
      </c>
      <c r="AG345" t="s">
        <v>167</v>
      </c>
      <c r="AH345" t="s">
        <v>1823</v>
      </c>
      <c r="AI345" t="s">
        <v>2741</v>
      </c>
      <c r="AJ345">
        <v>374</v>
      </c>
    </row>
    <row r="346" spans="1:36">
      <c r="A346" t="s">
        <v>2207</v>
      </c>
      <c r="B346" t="s">
        <v>2208</v>
      </c>
      <c r="C346" t="s">
        <v>2742</v>
      </c>
      <c r="D346" t="s">
        <v>2743</v>
      </c>
      <c r="E346" t="s">
        <v>2744</v>
      </c>
      <c r="F346" t="s">
        <v>380</v>
      </c>
      <c r="G346">
        <v>2000</v>
      </c>
      <c r="H346">
        <v>2500</v>
      </c>
      <c r="P346" t="s">
        <v>80</v>
      </c>
      <c r="R346" s="7">
        <v>14442</v>
      </c>
      <c r="W346" s="15">
        <v>2.5099800000000001</v>
      </c>
      <c r="X346" s="15">
        <v>-76.9786</v>
      </c>
      <c r="Y346">
        <v>2112.348</v>
      </c>
      <c r="Z346">
        <v>2084</v>
      </c>
      <c r="AB346" t="s">
        <v>2745</v>
      </c>
      <c r="AF346" t="s">
        <v>50</v>
      </c>
      <c r="AG346" t="s">
        <v>283</v>
      </c>
      <c r="AH346" t="s">
        <v>2746</v>
      </c>
      <c r="AI346" t="s">
        <v>2747</v>
      </c>
      <c r="AJ346">
        <v>375</v>
      </c>
    </row>
    <row r="347" spans="1:36">
      <c r="A347" t="s">
        <v>2207</v>
      </c>
      <c r="B347" t="s">
        <v>2208</v>
      </c>
      <c r="C347" t="s">
        <v>2748</v>
      </c>
      <c r="D347" t="s">
        <v>2749</v>
      </c>
      <c r="E347" t="s">
        <v>2750</v>
      </c>
      <c r="F347">
        <v>1750</v>
      </c>
      <c r="G347">
        <v>1750</v>
      </c>
      <c r="H347">
        <v>1750</v>
      </c>
      <c r="P347" t="s">
        <v>80</v>
      </c>
      <c r="R347" s="7">
        <v>18133</v>
      </c>
      <c r="W347" s="15">
        <v>2.4337200000000001</v>
      </c>
      <c r="X347" s="15">
        <v>-76.8005</v>
      </c>
      <c r="Y347">
        <v>332.62400000000002</v>
      </c>
      <c r="Z347">
        <v>1742</v>
      </c>
      <c r="AB347" t="s">
        <v>2751</v>
      </c>
      <c r="AF347" t="s">
        <v>50</v>
      </c>
      <c r="AG347" t="s">
        <v>283</v>
      </c>
      <c r="AH347" t="s">
        <v>2746</v>
      </c>
      <c r="AI347" t="s">
        <v>2752</v>
      </c>
      <c r="AJ347">
        <v>376</v>
      </c>
    </row>
    <row r="348" spans="1:36">
      <c r="A348" t="s">
        <v>2207</v>
      </c>
      <c r="B348" t="s">
        <v>2208</v>
      </c>
      <c r="C348" t="s">
        <v>2753</v>
      </c>
      <c r="D348" t="s">
        <v>2754</v>
      </c>
      <c r="E348" t="s">
        <v>2755</v>
      </c>
      <c r="F348">
        <v>1500</v>
      </c>
      <c r="G348">
        <v>1500</v>
      </c>
      <c r="H348">
        <v>1500</v>
      </c>
      <c r="P348" t="s">
        <v>80</v>
      </c>
      <c r="R348" s="7">
        <v>24727</v>
      </c>
      <c r="T348" t="s">
        <v>119</v>
      </c>
      <c r="W348" s="15">
        <v>2.8191099999999998</v>
      </c>
      <c r="X348" s="15">
        <v>-76.509680000000003</v>
      </c>
      <c r="Y348">
        <v>9030.36</v>
      </c>
      <c r="Z348">
        <v>1477</v>
      </c>
      <c r="AB348" t="s">
        <v>2756</v>
      </c>
      <c r="AF348" t="s">
        <v>50</v>
      </c>
      <c r="AG348" t="s">
        <v>283</v>
      </c>
      <c r="AH348" t="s">
        <v>2757</v>
      </c>
      <c r="AI348" t="s">
        <v>2758</v>
      </c>
      <c r="AJ348">
        <v>377</v>
      </c>
    </row>
    <row r="349" spans="1:36">
      <c r="A349" t="s">
        <v>2207</v>
      </c>
      <c r="B349" t="s">
        <v>2208</v>
      </c>
      <c r="C349" t="s">
        <v>2759</v>
      </c>
      <c r="D349" t="s">
        <v>2760</v>
      </c>
      <c r="E349" t="s">
        <v>2761</v>
      </c>
      <c r="F349">
        <v>1100</v>
      </c>
      <c r="G349">
        <v>1100</v>
      </c>
      <c r="H349">
        <v>1100</v>
      </c>
      <c r="I349" t="s">
        <v>1545</v>
      </c>
      <c r="J349" t="s">
        <v>1545</v>
      </c>
      <c r="K349" t="s">
        <v>1547</v>
      </c>
      <c r="L349" t="s">
        <v>1547</v>
      </c>
      <c r="M349" t="s">
        <v>1548</v>
      </c>
      <c r="N349" t="s">
        <v>1549</v>
      </c>
      <c r="O349" t="s">
        <v>1550</v>
      </c>
      <c r="P349" t="s">
        <v>1551</v>
      </c>
      <c r="R349" s="7">
        <v>36011</v>
      </c>
      <c r="T349" t="s">
        <v>119</v>
      </c>
      <c r="W349" s="15">
        <v>1.2331444</v>
      </c>
      <c r="X349" s="15">
        <v>-76.532844400000002</v>
      </c>
      <c r="AF349" t="s">
        <v>50</v>
      </c>
      <c r="AG349" t="s">
        <v>283</v>
      </c>
      <c r="AH349" t="s">
        <v>1014</v>
      </c>
      <c r="AI349" t="s">
        <v>2762</v>
      </c>
      <c r="AJ349">
        <v>378</v>
      </c>
    </row>
    <row r="350" spans="1:36">
      <c r="A350" t="s">
        <v>2207</v>
      </c>
      <c r="B350" t="s">
        <v>2208</v>
      </c>
      <c r="C350" t="s">
        <v>2763</v>
      </c>
      <c r="D350" t="s">
        <v>2764</v>
      </c>
      <c r="E350" t="s">
        <v>2761</v>
      </c>
      <c r="F350">
        <v>1100</v>
      </c>
      <c r="G350">
        <v>1100</v>
      </c>
      <c r="H350">
        <v>1100</v>
      </c>
      <c r="I350" t="s">
        <v>1545</v>
      </c>
      <c r="J350" t="s">
        <v>1545</v>
      </c>
      <c r="K350" t="s">
        <v>1547</v>
      </c>
      <c r="L350" t="s">
        <v>1547</v>
      </c>
      <c r="M350" t="s">
        <v>1548</v>
      </c>
      <c r="N350" t="s">
        <v>1549</v>
      </c>
      <c r="O350" t="s">
        <v>1550</v>
      </c>
      <c r="P350" t="s">
        <v>1551</v>
      </c>
      <c r="R350" s="7">
        <v>36011</v>
      </c>
      <c r="T350" t="s">
        <v>399</v>
      </c>
      <c r="W350" s="15">
        <v>1.2331444</v>
      </c>
      <c r="X350" s="15">
        <v>-76.532844400000002</v>
      </c>
      <c r="AF350" t="s">
        <v>50</v>
      </c>
      <c r="AG350" t="s">
        <v>283</v>
      </c>
      <c r="AH350" t="s">
        <v>1014</v>
      </c>
      <c r="AI350" t="s">
        <v>2762</v>
      </c>
      <c r="AJ350">
        <v>379</v>
      </c>
    </row>
    <row r="351" spans="1:36">
      <c r="A351" t="s">
        <v>2207</v>
      </c>
      <c r="B351" t="s">
        <v>2208</v>
      </c>
      <c r="C351" t="s">
        <v>2765</v>
      </c>
      <c r="D351" t="s">
        <v>2766</v>
      </c>
      <c r="E351" t="s">
        <v>2761</v>
      </c>
      <c r="F351">
        <v>1100</v>
      </c>
      <c r="G351">
        <v>1100</v>
      </c>
      <c r="H351">
        <v>1100</v>
      </c>
      <c r="I351" t="s">
        <v>1545</v>
      </c>
      <c r="J351" t="s">
        <v>1545</v>
      </c>
      <c r="K351" t="s">
        <v>1547</v>
      </c>
      <c r="L351" t="s">
        <v>1547</v>
      </c>
      <c r="M351" t="s">
        <v>1548</v>
      </c>
      <c r="N351" t="s">
        <v>1549</v>
      </c>
      <c r="O351" t="s">
        <v>1550</v>
      </c>
      <c r="P351" t="s">
        <v>1551</v>
      </c>
      <c r="R351" s="7">
        <v>36014</v>
      </c>
      <c r="T351" t="s">
        <v>119</v>
      </c>
      <c r="W351" s="15">
        <v>1.2331444</v>
      </c>
      <c r="X351" s="15">
        <v>-76.532844400000002</v>
      </c>
      <c r="AF351" t="s">
        <v>50</v>
      </c>
      <c r="AG351" t="s">
        <v>283</v>
      </c>
      <c r="AH351" t="s">
        <v>1014</v>
      </c>
      <c r="AI351" t="s">
        <v>2762</v>
      </c>
      <c r="AJ351">
        <v>380</v>
      </c>
    </row>
    <row r="352" spans="1:36">
      <c r="A352" t="s">
        <v>2207</v>
      </c>
      <c r="B352" t="s">
        <v>2208</v>
      </c>
      <c r="C352" t="s">
        <v>2767</v>
      </c>
      <c r="D352" t="s">
        <v>2768</v>
      </c>
      <c r="E352" t="s">
        <v>2769</v>
      </c>
      <c r="F352">
        <v>1621</v>
      </c>
      <c r="G352">
        <v>1621</v>
      </c>
      <c r="H352">
        <v>1621</v>
      </c>
      <c r="I352" t="s">
        <v>2770</v>
      </c>
      <c r="J352" t="s">
        <v>2770</v>
      </c>
      <c r="K352" t="s">
        <v>2771</v>
      </c>
      <c r="L352" t="s">
        <v>2771</v>
      </c>
      <c r="M352" t="s">
        <v>2772</v>
      </c>
      <c r="N352" t="s">
        <v>2773</v>
      </c>
      <c r="O352" t="s">
        <v>2774</v>
      </c>
      <c r="P352" t="s">
        <v>2775</v>
      </c>
      <c r="R352" s="7">
        <v>36606</v>
      </c>
      <c r="T352" t="s">
        <v>236</v>
      </c>
      <c r="W352" s="15">
        <v>2.51058</v>
      </c>
      <c r="X352" s="15">
        <v>-76.984210000000004</v>
      </c>
      <c r="Y352">
        <v>1862.7349999999999</v>
      </c>
      <c r="Z352">
        <v>1783</v>
      </c>
      <c r="AB352" t="s">
        <v>282</v>
      </c>
      <c r="AF352" t="s">
        <v>50</v>
      </c>
      <c r="AG352" t="s">
        <v>283</v>
      </c>
      <c r="AH352" t="s">
        <v>284</v>
      </c>
      <c r="AI352" t="s">
        <v>2776</v>
      </c>
      <c r="AJ352">
        <v>381</v>
      </c>
    </row>
    <row r="353" spans="1:36">
      <c r="A353" t="s">
        <v>2207</v>
      </c>
      <c r="B353" t="s">
        <v>2208</v>
      </c>
      <c r="C353" t="s">
        <v>2777</v>
      </c>
      <c r="D353" t="s">
        <v>2778</v>
      </c>
      <c r="E353" t="s">
        <v>2779</v>
      </c>
      <c r="F353">
        <v>1800</v>
      </c>
      <c r="G353">
        <v>1800</v>
      </c>
      <c r="H353">
        <v>1800</v>
      </c>
      <c r="I353" t="s">
        <v>2780</v>
      </c>
      <c r="J353" t="s">
        <v>2781</v>
      </c>
      <c r="K353" t="s">
        <v>770</v>
      </c>
      <c r="L353" t="s">
        <v>771</v>
      </c>
      <c r="M353" t="s">
        <v>2782</v>
      </c>
      <c r="N353" t="s">
        <v>2783</v>
      </c>
      <c r="O353" t="s">
        <v>774</v>
      </c>
      <c r="P353" t="s">
        <v>2784</v>
      </c>
      <c r="R353" s="7">
        <v>36643</v>
      </c>
      <c r="T353" t="s">
        <v>119</v>
      </c>
      <c r="W353" s="15">
        <v>2.4666667000000002</v>
      </c>
      <c r="X353" s="15">
        <v>-76.616666699999996</v>
      </c>
      <c r="AF353" t="s">
        <v>50</v>
      </c>
      <c r="AG353" t="s">
        <v>283</v>
      </c>
      <c r="AH353" t="s">
        <v>703</v>
      </c>
      <c r="AI353" t="s">
        <v>2785</v>
      </c>
      <c r="AJ353">
        <v>382</v>
      </c>
    </row>
    <row r="354" spans="1:36">
      <c r="A354" t="s">
        <v>2207</v>
      </c>
      <c r="B354" t="s">
        <v>2208</v>
      </c>
      <c r="C354" t="s">
        <v>2786</v>
      </c>
      <c r="D354" t="s">
        <v>2787</v>
      </c>
      <c r="E354" t="s">
        <v>2788</v>
      </c>
      <c r="F354">
        <v>2100</v>
      </c>
      <c r="G354">
        <v>2100</v>
      </c>
      <c r="H354">
        <v>2100</v>
      </c>
      <c r="I354" t="s">
        <v>2789</v>
      </c>
      <c r="J354" t="s">
        <v>2789</v>
      </c>
      <c r="K354" t="s">
        <v>2790</v>
      </c>
      <c r="L354" t="s">
        <v>2790</v>
      </c>
      <c r="M354" t="s">
        <v>2791</v>
      </c>
      <c r="N354" t="s">
        <v>2792</v>
      </c>
      <c r="O354" t="s">
        <v>2793</v>
      </c>
      <c r="P354" t="s">
        <v>2794</v>
      </c>
      <c r="R354" s="7">
        <v>36788</v>
      </c>
      <c r="T354" t="s">
        <v>236</v>
      </c>
      <c r="W354" s="15">
        <v>2.51058</v>
      </c>
      <c r="X354" s="15">
        <v>-76.984210000000004</v>
      </c>
      <c r="Y354">
        <v>1862.7349999999999</v>
      </c>
      <c r="Z354">
        <v>1783</v>
      </c>
      <c r="AB354" t="s">
        <v>282</v>
      </c>
      <c r="AF354" t="s">
        <v>50</v>
      </c>
      <c r="AG354" t="s">
        <v>283</v>
      </c>
      <c r="AH354" t="s">
        <v>284</v>
      </c>
      <c r="AI354" t="s">
        <v>285</v>
      </c>
      <c r="AJ354">
        <v>383</v>
      </c>
    </row>
    <row r="355" spans="1:36">
      <c r="A355" t="s">
        <v>2207</v>
      </c>
      <c r="B355" t="s">
        <v>2208</v>
      </c>
      <c r="C355" t="s">
        <v>2795</v>
      </c>
      <c r="D355" t="s">
        <v>2796</v>
      </c>
      <c r="E355" t="s">
        <v>281</v>
      </c>
      <c r="F355">
        <v>1711</v>
      </c>
      <c r="G355">
        <v>1711</v>
      </c>
      <c r="H355">
        <v>1711</v>
      </c>
      <c r="I355" t="s">
        <v>2797</v>
      </c>
      <c r="J355" t="s">
        <v>2797</v>
      </c>
      <c r="K355" t="s">
        <v>2798</v>
      </c>
      <c r="L355" t="s">
        <v>2798</v>
      </c>
      <c r="M355" t="s">
        <v>2799</v>
      </c>
      <c r="N355" t="s">
        <v>2800</v>
      </c>
      <c r="O355" t="s">
        <v>2801</v>
      </c>
      <c r="P355" t="s">
        <v>2802</v>
      </c>
      <c r="R355" s="7">
        <v>36854</v>
      </c>
      <c r="T355" t="s">
        <v>236</v>
      </c>
      <c r="W355" s="15">
        <v>2.51058</v>
      </c>
      <c r="X355" s="15">
        <v>-76.984210000000004</v>
      </c>
      <c r="Y355">
        <v>1862.7349999999999</v>
      </c>
      <c r="Z355">
        <v>1783</v>
      </c>
      <c r="AB355" t="s">
        <v>282</v>
      </c>
      <c r="AF355" t="s">
        <v>50</v>
      </c>
      <c r="AG355" t="s">
        <v>283</v>
      </c>
      <c r="AH355" t="s">
        <v>284</v>
      </c>
      <c r="AI355" t="s">
        <v>285</v>
      </c>
      <c r="AJ355">
        <v>384</v>
      </c>
    </row>
    <row r="356" spans="1:36">
      <c r="A356" t="s">
        <v>2207</v>
      </c>
      <c r="B356" t="s">
        <v>2208</v>
      </c>
      <c r="C356" t="s">
        <v>2803</v>
      </c>
      <c r="D356" t="s">
        <v>2804</v>
      </c>
      <c r="E356" t="s">
        <v>2805</v>
      </c>
      <c r="F356">
        <v>1686</v>
      </c>
      <c r="G356">
        <v>1686</v>
      </c>
      <c r="H356">
        <v>1686</v>
      </c>
      <c r="I356" t="s">
        <v>2806</v>
      </c>
      <c r="J356" t="s">
        <v>2806</v>
      </c>
      <c r="K356" t="s">
        <v>2807</v>
      </c>
      <c r="L356" t="s">
        <v>2807</v>
      </c>
      <c r="M356" t="s">
        <v>2808</v>
      </c>
      <c r="N356" t="s">
        <v>1043</v>
      </c>
      <c r="O356" t="s">
        <v>1044</v>
      </c>
      <c r="P356" t="s">
        <v>1045</v>
      </c>
      <c r="R356" s="7">
        <v>38478</v>
      </c>
      <c r="T356" t="s">
        <v>119</v>
      </c>
      <c r="W356" s="15">
        <v>1.5551944</v>
      </c>
      <c r="X356" s="15">
        <v>-76.305166700000001</v>
      </c>
      <c r="AF356" t="s">
        <v>50</v>
      </c>
      <c r="AG356" t="s">
        <v>283</v>
      </c>
      <c r="AH356" t="s">
        <v>1014</v>
      </c>
      <c r="AI356" t="s">
        <v>2809</v>
      </c>
      <c r="AJ356">
        <v>385</v>
      </c>
    </row>
    <row r="357" spans="1:36">
      <c r="A357" t="s">
        <v>2207</v>
      </c>
      <c r="B357" t="s">
        <v>2208</v>
      </c>
      <c r="C357" t="s">
        <v>2810</v>
      </c>
      <c r="D357" t="s">
        <v>2811</v>
      </c>
      <c r="E357" t="s">
        <v>2769</v>
      </c>
      <c r="F357">
        <v>1600</v>
      </c>
      <c r="G357">
        <v>1600</v>
      </c>
      <c r="H357">
        <v>1600</v>
      </c>
      <c r="P357" t="s">
        <v>80</v>
      </c>
      <c r="R357" s="7">
        <v>38827</v>
      </c>
      <c r="T357" t="s">
        <v>119</v>
      </c>
      <c r="W357" s="15">
        <v>2.51058</v>
      </c>
      <c r="X357" s="15">
        <v>-76.984210000000004</v>
      </c>
      <c r="Y357">
        <v>1862.7349999999999</v>
      </c>
      <c r="Z357">
        <v>1783</v>
      </c>
      <c r="AB357" t="s">
        <v>282</v>
      </c>
      <c r="AF357" t="s">
        <v>50</v>
      </c>
      <c r="AG357" t="s">
        <v>283</v>
      </c>
      <c r="AH357" t="s">
        <v>284</v>
      </c>
      <c r="AI357" t="s">
        <v>2776</v>
      </c>
      <c r="AJ357">
        <v>386</v>
      </c>
    </row>
    <row r="358" spans="1:36">
      <c r="A358" t="s">
        <v>2207</v>
      </c>
      <c r="B358" t="s">
        <v>2208</v>
      </c>
      <c r="C358" t="s">
        <v>2812</v>
      </c>
      <c r="D358" t="s">
        <v>2813</v>
      </c>
      <c r="E358" t="s">
        <v>2814</v>
      </c>
      <c r="F358">
        <v>2200</v>
      </c>
      <c r="G358">
        <v>2200</v>
      </c>
      <c r="H358">
        <v>2200</v>
      </c>
      <c r="I358" t="s">
        <v>2815</v>
      </c>
      <c r="J358" t="s">
        <v>2816</v>
      </c>
      <c r="K358" t="s">
        <v>2817</v>
      </c>
      <c r="L358" t="s">
        <v>2818</v>
      </c>
      <c r="M358" t="s">
        <v>2819</v>
      </c>
      <c r="N358" t="s">
        <v>2820</v>
      </c>
      <c r="O358" t="s">
        <v>2821</v>
      </c>
      <c r="P358" t="s">
        <v>2822</v>
      </c>
      <c r="R358" s="7">
        <v>34286</v>
      </c>
      <c r="T358" t="s">
        <v>111</v>
      </c>
      <c r="W358" s="15">
        <v>10.381550000000001</v>
      </c>
      <c r="X358" s="15">
        <v>-72.944820000000007</v>
      </c>
      <c r="Y358">
        <v>2334.962</v>
      </c>
      <c r="Z358">
        <v>2370</v>
      </c>
      <c r="AB358" t="s">
        <v>2823</v>
      </c>
      <c r="AF358" t="s">
        <v>50</v>
      </c>
      <c r="AG358" t="s">
        <v>2824</v>
      </c>
      <c r="AH358" t="s">
        <v>2825</v>
      </c>
      <c r="AI358" t="s">
        <v>2826</v>
      </c>
      <c r="AJ358">
        <v>387</v>
      </c>
    </row>
    <row r="359" spans="1:36">
      <c r="A359" t="s">
        <v>2207</v>
      </c>
      <c r="B359" t="s">
        <v>2208</v>
      </c>
      <c r="C359" t="s">
        <v>2827</v>
      </c>
      <c r="D359" t="s">
        <v>2828</v>
      </c>
      <c r="E359" t="s">
        <v>2829</v>
      </c>
      <c r="F359">
        <v>1300</v>
      </c>
      <c r="G359">
        <v>1300</v>
      </c>
      <c r="H359">
        <v>1300</v>
      </c>
      <c r="P359" t="s">
        <v>80</v>
      </c>
      <c r="R359" s="7">
        <v>28181</v>
      </c>
      <c r="T359" t="s">
        <v>119</v>
      </c>
      <c r="W359" s="15">
        <v>4.8602600000000002</v>
      </c>
      <c r="X359" s="15">
        <v>-76.27122</v>
      </c>
      <c r="Y359">
        <v>1324.4280000000001</v>
      </c>
      <c r="Z359">
        <v>1213</v>
      </c>
      <c r="AB359" t="s">
        <v>2830</v>
      </c>
      <c r="AF359" t="s">
        <v>50</v>
      </c>
      <c r="AG359" t="s">
        <v>1374</v>
      </c>
      <c r="AH359" t="s">
        <v>375</v>
      </c>
      <c r="AI359" t="s">
        <v>2831</v>
      </c>
      <c r="AJ359">
        <v>388</v>
      </c>
    </row>
    <row r="360" spans="1:36">
      <c r="A360" t="s">
        <v>2207</v>
      </c>
      <c r="B360" t="s">
        <v>2208</v>
      </c>
      <c r="C360" t="s">
        <v>2832</v>
      </c>
      <c r="D360" t="s">
        <v>2833</v>
      </c>
      <c r="E360" t="s">
        <v>2834</v>
      </c>
      <c r="F360" t="s">
        <v>2835</v>
      </c>
      <c r="G360">
        <v>75</v>
      </c>
      <c r="H360">
        <v>100</v>
      </c>
      <c r="P360" t="s">
        <v>80</v>
      </c>
      <c r="R360" s="7">
        <v>25987</v>
      </c>
      <c r="T360" t="s">
        <v>119</v>
      </c>
      <c r="W360" s="15">
        <v>5.0858800000000004</v>
      </c>
      <c r="X360" s="15">
        <v>-76.716160000000002</v>
      </c>
      <c r="Y360">
        <v>2304.4079999999999</v>
      </c>
      <c r="Z360">
        <v>74</v>
      </c>
      <c r="AB360" t="s">
        <v>2836</v>
      </c>
      <c r="AF360" t="s">
        <v>50</v>
      </c>
      <c r="AG360" t="s">
        <v>374</v>
      </c>
      <c r="AH360" t="s">
        <v>2837</v>
      </c>
      <c r="AI360" t="s">
        <v>2838</v>
      </c>
      <c r="AJ360">
        <v>389</v>
      </c>
    </row>
    <row r="361" spans="1:36">
      <c r="A361" t="s">
        <v>2207</v>
      </c>
      <c r="B361" t="s">
        <v>2208</v>
      </c>
      <c r="C361" t="s">
        <v>2839</v>
      </c>
      <c r="D361" t="s">
        <v>2840</v>
      </c>
      <c r="E361" t="s">
        <v>2841</v>
      </c>
      <c r="F361" t="s">
        <v>962</v>
      </c>
      <c r="G361">
        <v>2300</v>
      </c>
      <c r="H361">
        <v>2400</v>
      </c>
      <c r="P361" t="s">
        <v>80</v>
      </c>
      <c r="R361" s="7">
        <v>28871</v>
      </c>
      <c r="T361" t="s">
        <v>2842</v>
      </c>
      <c r="W361" s="15">
        <v>5.8775199999999996</v>
      </c>
      <c r="X361" s="15">
        <v>-76.106089999999995</v>
      </c>
      <c r="Y361">
        <v>32.270000000000003</v>
      </c>
      <c r="Z361">
        <v>2004</v>
      </c>
      <c r="AB361" t="s">
        <v>2843</v>
      </c>
      <c r="AF361" t="s">
        <v>50</v>
      </c>
      <c r="AG361" t="s">
        <v>374</v>
      </c>
      <c r="AH361" t="s">
        <v>2844</v>
      </c>
      <c r="AI361" t="s">
        <v>2845</v>
      </c>
      <c r="AJ361">
        <v>390</v>
      </c>
    </row>
    <row r="362" spans="1:36" ht="12.9" customHeight="1">
      <c r="A362" t="s">
        <v>2207</v>
      </c>
      <c r="B362" t="s">
        <v>2208</v>
      </c>
      <c r="C362" t="s">
        <v>2846</v>
      </c>
      <c r="D362" t="s">
        <v>2847</v>
      </c>
      <c r="E362" t="s">
        <v>2848</v>
      </c>
      <c r="F362">
        <v>2000</v>
      </c>
      <c r="G362">
        <v>2000</v>
      </c>
      <c r="H362">
        <v>2000</v>
      </c>
      <c r="P362" t="s">
        <v>80</v>
      </c>
      <c r="R362" s="7">
        <v>16907</v>
      </c>
      <c r="T362" t="s">
        <v>119</v>
      </c>
      <c r="W362" s="15">
        <v>4.41479</v>
      </c>
      <c r="X362" s="15">
        <v>-74.329689999999999</v>
      </c>
      <c r="Y362">
        <v>4441.96</v>
      </c>
      <c r="Z362">
        <v>2161</v>
      </c>
      <c r="AB362" t="s">
        <v>104</v>
      </c>
      <c r="AF362" t="s">
        <v>50</v>
      </c>
      <c r="AG362" t="s">
        <v>98</v>
      </c>
      <c r="AH362" t="s">
        <v>2849</v>
      </c>
      <c r="AJ362">
        <v>391</v>
      </c>
    </row>
    <row r="363" spans="1:36">
      <c r="A363" t="s">
        <v>2207</v>
      </c>
      <c r="B363" t="s">
        <v>2208</v>
      </c>
      <c r="C363" t="s">
        <v>2850</v>
      </c>
      <c r="D363" t="s">
        <v>2851</v>
      </c>
      <c r="E363" t="s">
        <v>2852</v>
      </c>
      <c r="F363">
        <v>1750</v>
      </c>
      <c r="G363">
        <v>1750</v>
      </c>
      <c r="H363">
        <v>1750</v>
      </c>
      <c r="P363" t="s">
        <v>80</v>
      </c>
      <c r="R363" s="7">
        <v>16912</v>
      </c>
      <c r="W363" s="15">
        <v>4.3804499999999997</v>
      </c>
      <c r="X363" s="15">
        <v>-74.346580000000003</v>
      </c>
      <c r="Y363">
        <v>6019.4620000000004</v>
      </c>
      <c r="Z363">
        <v>1779</v>
      </c>
      <c r="AB363" t="s">
        <v>2853</v>
      </c>
      <c r="AF363" t="s">
        <v>50</v>
      </c>
      <c r="AG363" t="s">
        <v>98</v>
      </c>
      <c r="AH363" t="s">
        <v>2854</v>
      </c>
      <c r="AI363" t="s">
        <v>2855</v>
      </c>
      <c r="AJ363">
        <v>392</v>
      </c>
    </row>
    <row r="364" spans="1:36">
      <c r="A364" t="s">
        <v>2207</v>
      </c>
      <c r="B364" t="s">
        <v>2208</v>
      </c>
      <c r="C364" t="s">
        <v>2856</v>
      </c>
      <c r="D364" t="s">
        <v>2857</v>
      </c>
      <c r="E364" t="s">
        <v>2858</v>
      </c>
      <c r="F364">
        <v>2500</v>
      </c>
      <c r="G364">
        <v>2500</v>
      </c>
      <c r="H364">
        <v>2500</v>
      </c>
      <c r="P364" t="s">
        <v>80</v>
      </c>
      <c r="R364" s="7">
        <v>21667</v>
      </c>
      <c r="T364" t="s">
        <v>111</v>
      </c>
      <c r="W364" s="15">
        <v>4.5747600000000004</v>
      </c>
      <c r="X364" s="15">
        <v>-74.293379999999999</v>
      </c>
      <c r="Y364">
        <v>796.76199999999994</v>
      </c>
      <c r="Z364">
        <v>2486</v>
      </c>
      <c r="AB364" t="s">
        <v>2859</v>
      </c>
      <c r="AF364" t="s">
        <v>50</v>
      </c>
      <c r="AG364" t="s">
        <v>98</v>
      </c>
      <c r="AH364" t="s">
        <v>2860</v>
      </c>
      <c r="AJ364">
        <v>393</v>
      </c>
    </row>
    <row r="365" spans="1:36">
      <c r="A365" t="s">
        <v>2207</v>
      </c>
      <c r="B365" t="s">
        <v>2208</v>
      </c>
      <c r="C365" t="s">
        <v>2861</v>
      </c>
      <c r="D365" t="s">
        <v>2862</v>
      </c>
      <c r="E365" t="s">
        <v>2863</v>
      </c>
      <c r="F365">
        <v>2150</v>
      </c>
      <c r="G365">
        <v>2150</v>
      </c>
      <c r="H365">
        <v>2150</v>
      </c>
      <c r="P365" t="s">
        <v>80</v>
      </c>
      <c r="R365" s="7">
        <v>23603</v>
      </c>
      <c r="T365" t="s">
        <v>111</v>
      </c>
      <c r="W365" s="15">
        <v>4.5847499999999997</v>
      </c>
      <c r="X365" s="15">
        <v>-74.303169999999994</v>
      </c>
      <c r="Y365">
        <v>3696.7170000000001</v>
      </c>
      <c r="Z365">
        <v>2180</v>
      </c>
      <c r="AB365" t="s">
        <v>2864</v>
      </c>
      <c r="AF365" t="s">
        <v>50</v>
      </c>
      <c r="AG365" t="s">
        <v>98</v>
      </c>
      <c r="AH365" t="s">
        <v>2865</v>
      </c>
      <c r="AI365" t="s">
        <v>2866</v>
      </c>
      <c r="AJ365">
        <v>394</v>
      </c>
    </row>
    <row r="366" spans="1:36">
      <c r="A366" t="s">
        <v>2207</v>
      </c>
      <c r="B366" t="s">
        <v>2208</v>
      </c>
      <c r="C366" t="s">
        <v>2867</v>
      </c>
      <c r="D366" t="s">
        <v>2868</v>
      </c>
      <c r="E366" t="s">
        <v>2869</v>
      </c>
      <c r="F366">
        <v>2720</v>
      </c>
      <c r="G366">
        <v>2720</v>
      </c>
      <c r="H366">
        <v>2720</v>
      </c>
      <c r="P366" t="s">
        <v>80</v>
      </c>
      <c r="R366" s="7">
        <v>27051</v>
      </c>
      <c r="W366" s="15">
        <v>4.8465199999999999</v>
      </c>
      <c r="X366" s="15">
        <v>-73.796239999999997</v>
      </c>
      <c r="Y366">
        <v>2272.5300000000002</v>
      </c>
      <c r="Z366">
        <v>3312</v>
      </c>
      <c r="AA366" t="s">
        <v>2870</v>
      </c>
      <c r="AB366" t="s">
        <v>2871</v>
      </c>
      <c r="AF366" t="s">
        <v>50</v>
      </c>
      <c r="AG366" t="s">
        <v>98</v>
      </c>
      <c r="AH366" t="s">
        <v>2872</v>
      </c>
      <c r="AJ366">
        <v>395</v>
      </c>
    </row>
    <row r="367" spans="1:36">
      <c r="A367" t="s">
        <v>2207</v>
      </c>
      <c r="B367" t="s">
        <v>2208</v>
      </c>
      <c r="C367" t="s">
        <v>2873</v>
      </c>
      <c r="D367" t="s">
        <v>2874</v>
      </c>
      <c r="E367" t="s">
        <v>2875</v>
      </c>
      <c r="F367">
        <v>2400</v>
      </c>
      <c r="G367">
        <v>2400</v>
      </c>
      <c r="H367">
        <v>2400</v>
      </c>
      <c r="P367" t="s">
        <v>80</v>
      </c>
      <c r="R367" s="7">
        <v>27090</v>
      </c>
      <c r="W367" s="15">
        <v>4.4406699999999999</v>
      </c>
      <c r="X367" s="15">
        <v>-74.320670000000007</v>
      </c>
      <c r="Y367">
        <v>380.59</v>
      </c>
      <c r="Z367">
        <v>2436</v>
      </c>
      <c r="AB367" t="s">
        <v>2876</v>
      </c>
      <c r="AF367" t="s">
        <v>50</v>
      </c>
      <c r="AG367" t="s">
        <v>98</v>
      </c>
      <c r="AH367" t="s">
        <v>2877</v>
      </c>
      <c r="AI367" t="s">
        <v>2878</v>
      </c>
      <c r="AJ367">
        <v>396</v>
      </c>
    </row>
    <row r="368" spans="1:36">
      <c r="A368" t="s">
        <v>2207</v>
      </c>
      <c r="B368" t="s">
        <v>2208</v>
      </c>
      <c r="C368" t="s">
        <v>2879</v>
      </c>
      <c r="D368" t="s">
        <v>2880</v>
      </c>
      <c r="E368" t="s">
        <v>2881</v>
      </c>
      <c r="F368">
        <v>2000</v>
      </c>
      <c r="G368">
        <v>2000</v>
      </c>
      <c r="H368">
        <v>2000</v>
      </c>
      <c r="P368" t="s">
        <v>80</v>
      </c>
      <c r="R368" s="7">
        <v>32700</v>
      </c>
      <c r="T368" t="s">
        <v>65</v>
      </c>
      <c r="W368" s="15">
        <v>4.6831199999999997</v>
      </c>
      <c r="X368" s="15">
        <v>-74.389629999999997</v>
      </c>
      <c r="Y368">
        <v>286.28899999999999</v>
      </c>
      <c r="Z368">
        <v>2029</v>
      </c>
      <c r="AB368" t="s">
        <v>381</v>
      </c>
      <c r="AF368" t="s">
        <v>50</v>
      </c>
      <c r="AG368" t="s">
        <v>98</v>
      </c>
      <c r="AH368" t="s">
        <v>2882</v>
      </c>
      <c r="AI368" t="s">
        <v>382</v>
      </c>
      <c r="AJ368">
        <v>397</v>
      </c>
    </row>
    <row r="369" spans="1:36">
      <c r="A369" t="s">
        <v>2207</v>
      </c>
      <c r="B369" t="s">
        <v>2208</v>
      </c>
      <c r="C369" t="s">
        <v>2883</v>
      </c>
      <c r="D369" t="s">
        <v>2884</v>
      </c>
      <c r="E369" t="s">
        <v>2885</v>
      </c>
      <c r="F369">
        <v>2000</v>
      </c>
      <c r="G369">
        <v>2000</v>
      </c>
      <c r="H369">
        <v>2000</v>
      </c>
      <c r="P369" t="s">
        <v>80</v>
      </c>
      <c r="R369" s="7">
        <v>32856</v>
      </c>
      <c r="W369" s="15">
        <v>4.6831199999999997</v>
      </c>
      <c r="X369" s="15">
        <v>-74.389629999999997</v>
      </c>
      <c r="Y369">
        <v>286.28899999999999</v>
      </c>
      <c r="Z369">
        <v>2029</v>
      </c>
      <c r="AB369" t="s">
        <v>381</v>
      </c>
      <c r="AF369" t="s">
        <v>50</v>
      </c>
      <c r="AG369" t="s">
        <v>98</v>
      </c>
      <c r="AH369" t="s">
        <v>2882</v>
      </c>
      <c r="AI369" t="s">
        <v>2886</v>
      </c>
      <c r="AJ369">
        <v>398</v>
      </c>
    </row>
    <row r="370" spans="1:36">
      <c r="A370" t="s">
        <v>2207</v>
      </c>
      <c r="B370" t="s">
        <v>2208</v>
      </c>
      <c r="C370" t="s">
        <v>2887</v>
      </c>
      <c r="D370" t="s">
        <v>2888</v>
      </c>
      <c r="E370" t="s">
        <v>2889</v>
      </c>
      <c r="F370">
        <v>1900</v>
      </c>
      <c r="G370">
        <v>1900</v>
      </c>
      <c r="H370">
        <v>1900</v>
      </c>
      <c r="P370" t="s">
        <v>80</v>
      </c>
      <c r="R370" s="7">
        <v>36955</v>
      </c>
      <c r="T370" t="s">
        <v>65</v>
      </c>
      <c r="W370" s="15">
        <v>4.8996399999999998</v>
      </c>
      <c r="X370" s="15">
        <v>-74.424379999999999</v>
      </c>
      <c r="Y370">
        <v>130.82400000000001</v>
      </c>
      <c r="Z370">
        <v>2069</v>
      </c>
      <c r="AB370" t="s">
        <v>214</v>
      </c>
      <c r="AF370" t="s">
        <v>50</v>
      </c>
      <c r="AG370" t="s">
        <v>98</v>
      </c>
      <c r="AH370" t="s">
        <v>215</v>
      </c>
      <c r="AI370" t="s">
        <v>2890</v>
      </c>
      <c r="AJ370">
        <v>399</v>
      </c>
    </row>
    <row r="371" spans="1:36">
      <c r="A371" t="s">
        <v>2207</v>
      </c>
      <c r="B371" t="s">
        <v>2208</v>
      </c>
      <c r="C371" t="s">
        <v>2891</v>
      </c>
      <c r="D371" t="s">
        <v>2892</v>
      </c>
      <c r="E371" t="s">
        <v>2893</v>
      </c>
      <c r="F371">
        <v>2420</v>
      </c>
      <c r="G371">
        <v>2420</v>
      </c>
      <c r="H371">
        <v>2420</v>
      </c>
      <c r="P371" t="s">
        <v>80</v>
      </c>
      <c r="R371" s="7">
        <v>21424</v>
      </c>
      <c r="T371" t="s">
        <v>119</v>
      </c>
      <c r="W371" s="15">
        <v>1.8764799999999999</v>
      </c>
      <c r="X371" s="15">
        <v>-76.259399999999999</v>
      </c>
      <c r="Y371">
        <v>1550.316</v>
      </c>
      <c r="Z371">
        <v>1667</v>
      </c>
      <c r="AA371" t="s">
        <v>2894</v>
      </c>
      <c r="AB371" t="s">
        <v>2895</v>
      </c>
      <c r="AF371" t="s">
        <v>50</v>
      </c>
      <c r="AG371" t="s">
        <v>51</v>
      </c>
      <c r="AH371" t="s">
        <v>1870</v>
      </c>
      <c r="AI371" t="s">
        <v>2896</v>
      </c>
      <c r="AJ371">
        <v>400</v>
      </c>
    </row>
    <row r="372" spans="1:36">
      <c r="A372" t="s">
        <v>2207</v>
      </c>
      <c r="B372" t="s">
        <v>2208</v>
      </c>
      <c r="C372" t="s">
        <v>2897</v>
      </c>
      <c r="D372" t="s">
        <v>2898</v>
      </c>
      <c r="E372" t="s">
        <v>2899</v>
      </c>
      <c r="F372" t="s">
        <v>2900</v>
      </c>
      <c r="G372">
        <v>1200</v>
      </c>
      <c r="H372">
        <v>1300</v>
      </c>
      <c r="P372" t="s">
        <v>80</v>
      </c>
      <c r="R372" s="7">
        <v>27587</v>
      </c>
      <c r="T372" t="s">
        <v>399</v>
      </c>
      <c r="W372" s="15">
        <v>2.2192799999999999</v>
      </c>
      <c r="X372" s="15">
        <v>-76.114530000000002</v>
      </c>
      <c r="Y372">
        <v>2876.982</v>
      </c>
      <c r="Z372">
        <v>2175</v>
      </c>
      <c r="AA372" t="s">
        <v>2901</v>
      </c>
      <c r="AB372" t="s">
        <v>2902</v>
      </c>
      <c r="AF372" t="s">
        <v>50</v>
      </c>
      <c r="AG372" t="s">
        <v>51</v>
      </c>
      <c r="AH372" t="s">
        <v>2903</v>
      </c>
      <c r="AI372" t="s">
        <v>2904</v>
      </c>
      <c r="AJ372">
        <v>401</v>
      </c>
    </row>
    <row r="373" spans="1:36">
      <c r="A373" t="s">
        <v>2207</v>
      </c>
      <c r="B373" t="s">
        <v>2208</v>
      </c>
      <c r="C373" t="s">
        <v>2905</v>
      </c>
      <c r="D373" t="s">
        <v>2906</v>
      </c>
      <c r="E373" t="s">
        <v>2907</v>
      </c>
      <c r="F373">
        <v>1300</v>
      </c>
      <c r="G373">
        <v>1300</v>
      </c>
      <c r="H373">
        <v>1300</v>
      </c>
      <c r="P373" t="s">
        <v>80</v>
      </c>
      <c r="R373" s="7">
        <v>27595</v>
      </c>
      <c r="T373" t="s">
        <v>119</v>
      </c>
      <c r="W373" s="15">
        <v>2.2192799999999999</v>
      </c>
      <c r="X373" s="15">
        <v>-76.114530000000002</v>
      </c>
      <c r="Y373">
        <v>2876.982</v>
      </c>
      <c r="Z373">
        <v>2175</v>
      </c>
      <c r="AA373" t="s">
        <v>2901</v>
      </c>
      <c r="AB373" t="s">
        <v>2902</v>
      </c>
      <c r="AF373" t="s">
        <v>50</v>
      </c>
      <c r="AG373" t="s">
        <v>51</v>
      </c>
      <c r="AH373" t="s">
        <v>2903</v>
      </c>
      <c r="AI373" t="s">
        <v>2908</v>
      </c>
      <c r="AJ373">
        <v>402</v>
      </c>
    </row>
    <row r="374" spans="1:36">
      <c r="A374" t="s">
        <v>2207</v>
      </c>
      <c r="B374" t="s">
        <v>2208</v>
      </c>
      <c r="C374" t="s">
        <v>2909</v>
      </c>
      <c r="D374" t="s">
        <v>2910</v>
      </c>
      <c r="E374" t="s">
        <v>2911</v>
      </c>
      <c r="F374" t="s">
        <v>2900</v>
      </c>
      <c r="G374">
        <v>1200</v>
      </c>
      <c r="H374">
        <v>1300</v>
      </c>
      <c r="P374" t="s">
        <v>80</v>
      </c>
      <c r="R374" s="7">
        <v>27596</v>
      </c>
      <c r="T374" t="s">
        <v>111</v>
      </c>
      <c r="W374" s="15">
        <v>2.2192799999999999</v>
      </c>
      <c r="X374" s="15">
        <v>-76.114530000000002</v>
      </c>
      <c r="Y374">
        <v>2876.982</v>
      </c>
      <c r="Z374">
        <v>2175</v>
      </c>
      <c r="AA374" t="s">
        <v>2901</v>
      </c>
      <c r="AB374" t="s">
        <v>2902</v>
      </c>
      <c r="AF374" t="s">
        <v>50</v>
      </c>
      <c r="AG374" t="s">
        <v>51</v>
      </c>
      <c r="AH374" t="s">
        <v>2903</v>
      </c>
      <c r="AI374" t="s">
        <v>2908</v>
      </c>
      <c r="AJ374">
        <v>403</v>
      </c>
    </row>
    <row r="375" spans="1:36">
      <c r="A375" t="s">
        <v>2207</v>
      </c>
      <c r="B375" t="s">
        <v>2208</v>
      </c>
      <c r="C375" t="s">
        <v>2912</v>
      </c>
      <c r="D375" t="s">
        <v>2913</v>
      </c>
      <c r="E375" t="s">
        <v>2914</v>
      </c>
      <c r="F375">
        <v>2480</v>
      </c>
      <c r="G375">
        <v>2480</v>
      </c>
      <c r="H375">
        <v>2480</v>
      </c>
      <c r="P375" t="s">
        <v>80</v>
      </c>
      <c r="R375" s="7">
        <v>30069</v>
      </c>
      <c r="T375" t="s">
        <v>399</v>
      </c>
      <c r="W375" s="15">
        <v>2.2192799999999999</v>
      </c>
      <c r="X375" s="15">
        <v>-76.114530000000002</v>
      </c>
      <c r="Y375">
        <v>2876.982</v>
      </c>
      <c r="Z375">
        <v>2175</v>
      </c>
      <c r="AA375" t="s">
        <v>2901</v>
      </c>
      <c r="AB375" t="s">
        <v>2902</v>
      </c>
      <c r="AF375" t="s">
        <v>50</v>
      </c>
      <c r="AG375" t="s">
        <v>51</v>
      </c>
      <c r="AH375" t="s">
        <v>2903</v>
      </c>
      <c r="AI375" t="s">
        <v>2915</v>
      </c>
      <c r="AJ375">
        <v>405</v>
      </c>
    </row>
    <row r="376" spans="1:36">
      <c r="A376" t="s">
        <v>2207</v>
      </c>
      <c r="B376" t="s">
        <v>2208</v>
      </c>
      <c r="C376" t="s">
        <v>2916</v>
      </c>
      <c r="D376" t="s">
        <v>2917</v>
      </c>
      <c r="E376" t="s">
        <v>2918</v>
      </c>
      <c r="F376">
        <v>1300</v>
      </c>
      <c r="G376">
        <v>1300</v>
      </c>
      <c r="H376">
        <v>1300</v>
      </c>
      <c r="P376" t="s">
        <v>80</v>
      </c>
      <c r="R376" s="7">
        <v>30411</v>
      </c>
      <c r="T376" t="s">
        <v>111</v>
      </c>
      <c r="W376" s="15">
        <v>1.7346699999999999</v>
      </c>
      <c r="X376" s="15">
        <v>-76.000010000000003</v>
      </c>
      <c r="Y376">
        <v>3798.6889999999999</v>
      </c>
      <c r="Z376">
        <v>1497</v>
      </c>
      <c r="AB376" t="s">
        <v>1329</v>
      </c>
      <c r="AF376" t="s">
        <v>50</v>
      </c>
      <c r="AG376" t="s">
        <v>51</v>
      </c>
      <c r="AH376" t="s">
        <v>1330</v>
      </c>
      <c r="AI376" t="s">
        <v>2919</v>
      </c>
      <c r="AJ376">
        <v>406</v>
      </c>
    </row>
    <row r="377" spans="1:36">
      <c r="A377" t="s">
        <v>2207</v>
      </c>
      <c r="B377" t="s">
        <v>2208</v>
      </c>
      <c r="C377" t="s">
        <v>2920</v>
      </c>
      <c r="D377" t="s">
        <v>2921</v>
      </c>
      <c r="E377" t="s">
        <v>2922</v>
      </c>
      <c r="F377">
        <v>2400</v>
      </c>
      <c r="G377">
        <v>2400</v>
      </c>
      <c r="H377">
        <v>2400</v>
      </c>
      <c r="P377" t="s">
        <v>80</v>
      </c>
      <c r="R377" s="7">
        <v>30903</v>
      </c>
      <c r="T377" t="s">
        <v>2842</v>
      </c>
      <c r="W377" s="15">
        <v>2.6093199999999999</v>
      </c>
      <c r="X377" s="15">
        <v>-75.21208</v>
      </c>
      <c r="Y377">
        <v>819.17700000000002</v>
      </c>
      <c r="Z377">
        <v>1587</v>
      </c>
      <c r="AB377" t="s">
        <v>2923</v>
      </c>
      <c r="AF377" t="s">
        <v>50</v>
      </c>
      <c r="AG377" t="s">
        <v>51</v>
      </c>
      <c r="AH377" t="s">
        <v>2924</v>
      </c>
      <c r="AI377" t="s">
        <v>2925</v>
      </c>
      <c r="AJ377">
        <v>407</v>
      </c>
    </row>
    <row r="378" spans="1:36">
      <c r="A378" t="s">
        <v>2207</v>
      </c>
      <c r="B378" t="s">
        <v>2208</v>
      </c>
      <c r="C378" t="s">
        <v>2926</v>
      </c>
      <c r="D378" t="s">
        <v>2927</v>
      </c>
      <c r="E378" t="s">
        <v>2928</v>
      </c>
      <c r="F378">
        <v>1800</v>
      </c>
      <c r="G378">
        <v>1800</v>
      </c>
      <c r="H378">
        <v>1800</v>
      </c>
      <c r="P378" t="s">
        <v>80</v>
      </c>
      <c r="R378" s="7">
        <v>33138</v>
      </c>
      <c r="T378" t="s">
        <v>399</v>
      </c>
      <c r="W378" s="15">
        <v>3.5899000000000001</v>
      </c>
      <c r="X378" s="15">
        <v>-74.709339999999997</v>
      </c>
      <c r="Y378">
        <v>3321.6179999999999</v>
      </c>
      <c r="Z378">
        <v>1607</v>
      </c>
      <c r="AB378" t="s">
        <v>692</v>
      </c>
      <c r="AF378" t="s">
        <v>50</v>
      </c>
      <c r="AG378" t="s">
        <v>51</v>
      </c>
      <c r="AH378" t="s">
        <v>50</v>
      </c>
      <c r="AI378" t="s">
        <v>2929</v>
      </c>
      <c r="AJ378">
        <v>408</v>
      </c>
    </row>
    <row r="379" spans="1:36">
      <c r="A379" t="s">
        <v>2207</v>
      </c>
      <c r="B379" t="s">
        <v>2208</v>
      </c>
      <c r="C379" t="s">
        <v>2930</v>
      </c>
      <c r="D379" t="s">
        <v>2931</v>
      </c>
      <c r="E379" t="s">
        <v>2932</v>
      </c>
      <c r="F379">
        <v>2330</v>
      </c>
      <c r="G379">
        <v>2330</v>
      </c>
      <c r="H379">
        <v>2330</v>
      </c>
      <c r="P379" t="s">
        <v>80</v>
      </c>
      <c r="R379" s="7">
        <v>37177</v>
      </c>
      <c r="T379" t="s">
        <v>399</v>
      </c>
      <c r="W379" s="15">
        <v>2.6252</v>
      </c>
      <c r="X379" s="15">
        <v>-75.235439999999997</v>
      </c>
      <c r="Y379">
        <v>2996.4639999999999</v>
      </c>
      <c r="Z379">
        <v>2225</v>
      </c>
      <c r="AA379" t="s">
        <v>2933</v>
      </c>
      <c r="AB379" t="s">
        <v>2934</v>
      </c>
      <c r="AF379" t="s">
        <v>50</v>
      </c>
      <c r="AG379" t="s">
        <v>51</v>
      </c>
      <c r="AH379" t="s">
        <v>2935</v>
      </c>
      <c r="AI379" t="s">
        <v>2936</v>
      </c>
      <c r="AJ379">
        <v>409</v>
      </c>
    </row>
    <row r="380" spans="1:36">
      <c r="A380" t="s">
        <v>2207</v>
      </c>
      <c r="B380" t="s">
        <v>2208</v>
      </c>
      <c r="C380" t="s">
        <v>2937</v>
      </c>
      <c r="D380" t="s">
        <v>2938</v>
      </c>
      <c r="E380" t="s">
        <v>2939</v>
      </c>
      <c r="F380">
        <v>2280</v>
      </c>
      <c r="G380">
        <v>2280</v>
      </c>
      <c r="H380">
        <v>2280</v>
      </c>
      <c r="P380" t="s">
        <v>80</v>
      </c>
      <c r="R380" s="7">
        <v>37179</v>
      </c>
      <c r="T380" t="s">
        <v>399</v>
      </c>
      <c r="W380" s="15">
        <v>2.6252</v>
      </c>
      <c r="X380" s="15">
        <v>-75.235439999999997</v>
      </c>
      <c r="Y380">
        <v>2996.4639999999999</v>
      </c>
      <c r="Z380">
        <v>2225</v>
      </c>
      <c r="AA380" t="s">
        <v>2933</v>
      </c>
      <c r="AB380" t="s">
        <v>2934</v>
      </c>
      <c r="AF380" t="s">
        <v>50</v>
      </c>
      <c r="AG380" t="s">
        <v>51</v>
      </c>
      <c r="AH380" t="s">
        <v>2935</v>
      </c>
      <c r="AI380" t="s">
        <v>2940</v>
      </c>
      <c r="AJ380">
        <v>411</v>
      </c>
    </row>
    <row r="381" spans="1:36">
      <c r="A381" t="s">
        <v>2207</v>
      </c>
      <c r="B381" t="s">
        <v>2208</v>
      </c>
      <c r="C381" t="s">
        <v>2941</v>
      </c>
      <c r="D381" t="s">
        <v>2942</v>
      </c>
      <c r="E381" t="s">
        <v>2943</v>
      </c>
      <c r="F381">
        <v>1800</v>
      </c>
      <c r="G381">
        <v>1800</v>
      </c>
      <c r="H381">
        <v>1800</v>
      </c>
      <c r="P381" t="s">
        <v>80</v>
      </c>
      <c r="R381" s="7">
        <v>38565</v>
      </c>
      <c r="T381" t="s">
        <v>111</v>
      </c>
      <c r="W381" s="15">
        <v>1.88558</v>
      </c>
      <c r="X381" s="15">
        <v>-76.294300000000007</v>
      </c>
      <c r="Y381">
        <v>1454.4280000000001</v>
      </c>
      <c r="Z381">
        <v>1745</v>
      </c>
      <c r="AB381" t="s">
        <v>2944</v>
      </c>
      <c r="AF381" t="s">
        <v>50</v>
      </c>
      <c r="AG381" t="s">
        <v>51</v>
      </c>
      <c r="AH381" t="s">
        <v>296</v>
      </c>
      <c r="AI381" t="s">
        <v>2945</v>
      </c>
      <c r="AJ381">
        <v>412</v>
      </c>
    </row>
    <row r="382" spans="1:36">
      <c r="A382" t="s">
        <v>2207</v>
      </c>
      <c r="B382" t="s">
        <v>2208</v>
      </c>
      <c r="C382" t="s">
        <v>2946</v>
      </c>
      <c r="D382" t="s">
        <v>2947</v>
      </c>
      <c r="E382" t="s">
        <v>2948</v>
      </c>
      <c r="F382">
        <v>2050</v>
      </c>
      <c r="G382">
        <v>2050</v>
      </c>
      <c r="H382">
        <v>2050</v>
      </c>
      <c r="P382" t="s">
        <v>80</v>
      </c>
      <c r="R382" s="7">
        <v>38980</v>
      </c>
      <c r="T382" t="s">
        <v>111</v>
      </c>
      <c r="W382" s="15">
        <v>2.5473499999999998</v>
      </c>
      <c r="X382" s="15">
        <v>-75.78877</v>
      </c>
      <c r="Y382">
        <v>2226.9279999999999</v>
      </c>
      <c r="Z382">
        <v>1817</v>
      </c>
      <c r="AA382" t="s">
        <v>2949</v>
      </c>
      <c r="AB382" t="s">
        <v>2950</v>
      </c>
      <c r="AF382" t="s">
        <v>50</v>
      </c>
      <c r="AG382" t="s">
        <v>51</v>
      </c>
      <c r="AH382" t="s">
        <v>2951</v>
      </c>
      <c r="AI382" t="s">
        <v>2952</v>
      </c>
      <c r="AJ382">
        <v>413</v>
      </c>
    </row>
    <row r="383" spans="1:36">
      <c r="A383" t="s">
        <v>2207</v>
      </c>
      <c r="B383" t="s">
        <v>2208</v>
      </c>
      <c r="C383" t="s">
        <v>2953</v>
      </c>
      <c r="D383" t="s">
        <v>1060</v>
      </c>
      <c r="E383" t="s">
        <v>2954</v>
      </c>
      <c r="F383" t="s">
        <v>2955</v>
      </c>
      <c r="G383">
        <v>1925</v>
      </c>
      <c r="H383">
        <v>1925</v>
      </c>
      <c r="I383" t="s">
        <v>2956</v>
      </c>
      <c r="J383" t="s">
        <v>2956</v>
      </c>
      <c r="K383" t="s">
        <v>326</v>
      </c>
      <c r="L383" t="s">
        <v>326</v>
      </c>
      <c r="M383" t="s">
        <v>2957</v>
      </c>
      <c r="N383" t="s">
        <v>2958</v>
      </c>
      <c r="O383" t="s">
        <v>329</v>
      </c>
      <c r="P383" t="s">
        <v>2959</v>
      </c>
      <c r="R383" s="7">
        <v>40022</v>
      </c>
      <c r="T383" t="s">
        <v>119</v>
      </c>
      <c r="W383" s="15">
        <v>1.7689805999999999</v>
      </c>
      <c r="X383" s="15">
        <v>-76.018733299999994</v>
      </c>
      <c r="AF383" t="s">
        <v>50</v>
      </c>
      <c r="AG383" t="s">
        <v>51</v>
      </c>
      <c r="AH383" t="s">
        <v>140</v>
      </c>
      <c r="AI383" t="s">
        <v>2960</v>
      </c>
      <c r="AJ383">
        <v>414</v>
      </c>
    </row>
    <row r="384" spans="1:36">
      <c r="A384" t="s">
        <v>2207</v>
      </c>
      <c r="B384" t="s">
        <v>2208</v>
      </c>
      <c r="C384" t="s">
        <v>2961</v>
      </c>
      <c r="E384" t="s">
        <v>2962</v>
      </c>
      <c r="F384" t="s">
        <v>2955</v>
      </c>
      <c r="G384">
        <v>1925</v>
      </c>
      <c r="H384">
        <v>1925</v>
      </c>
      <c r="I384" t="s">
        <v>2956</v>
      </c>
      <c r="J384" t="s">
        <v>2956</v>
      </c>
      <c r="K384" t="s">
        <v>326</v>
      </c>
      <c r="L384" t="s">
        <v>326</v>
      </c>
      <c r="M384" t="s">
        <v>2957</v>
      </c>
      <c r="N384" t="s">
        <v>2958</v>
      </c>
      <c r="O384" t="s">
        <v>329</v>
      </c>
      <c r="P384" t="s">
        <v>2959</v>
      </c>
      <c r="R384" s="7">
        <v>40022</v>
      </c>
      <c r="T384" t="s">
        <v>119</v>
      </c>
      <c r="W384" s="15">
        <v>1.7689805999999999</v>
      </c>
      <c r="X384" s="15">
        <v>-76.018733299999994</v>
      </c>
      <c r="AF384" t="s">
        <v>50</v>
      </c>
      <c r="AG384" t="s">
        <v>51</v>
      </c>
      <c r="AH384" t="s">
        <v>140</v>
      </c>
      <c r="AI384" t="s">
        <v>2963</v>
      </c>
      <c r="AJ384">
        <v>415</v>
      </c>
    </row>
    <row r="385" spans="1:36">
      <c r="A385" t="s">
        <v>2207</v>
      </c>
      <c r="B385" t="s">
        <v>2208</v>
      </c>
      <c r="C385" t="s">
        <v>2964</v>
      </c>
      <c r="D385" t="s">
        <v>1060</v>
      </c>
      <c r="E385" t="s">
        <v>2962</v>
      </c>
      <c r="F385" t="s">
        <v>2955</v>
      </c>
      <c r="G385">
        <v>1925</v>
      </c>
      <c r="H385">
        <v>1925</v>
      </c>
      <c r="I385" t="s">
        <v>2956</v>
      </c>
      <c r="J385" t="s">
        <v>2956</v>
      </c>
      <c r="K385" t="s">
        <v>326</v>
      </c>
      <c r="L385" t="s">
        <v>326</v>
      </c>
      <c r="M385" t="s">
        <v>2957</v>
      </c>
      <c r="N385" t="s">
        <v>2958</v>
      </c>
      <c r="O385" t="s">
        <v>329</v>
      </c>
      <c r="P385" t="s">
        <v>2959</v>
      </c>
      <c r="R385" s="7">
        <v>40022</v>
      </c>
      <c r="T385" t="s">
        <v>119</v>
      </c>
      <c r="W385" s="15">
        <v>1.7689805999999999</v>
      </c>
      <c r="X385" s="15">
        <v>-76.018733299999994</v>
      </c>
      <c r="AF385" t="s">
        <v>50</v>
      </c>
      <c r="AG385" t="s">
        <v>51</v>
      </c>
      <c r="AH385" t="s">
        <v>140</v>
      </c>
      <c r="AI385" t="s">
        <v>2963</v>
      </c>
      <c r="AJ385">
        <v>416</v>
      </c>
    </row>
    <row r="386" spans="1:36">
      <c r="A386" t="s">
        <v>2207</v>
      </c>
      <c r="B386" t="s">
        <v>2208</v>
      </c>
      <c r="C386" t="s">
        <v>2965</v>
      </c>
      <c r="D386" t="s">
        <v>1060</v>
      </c>
      <c r="E386" t="s">
        <v>2966</v>
      </c>
      <c r="F386" t="s">
        <v>2967</v>
      </c>
      <c r="G386">
        <v>2147</v>
      </c>
      <c r="H386">
        <v>2150</v>
      </c>
      <c r="I386" t="s">
        <v>2968</v>
      </c>
      <c r="J386" t="s">
        <v>2968</v>
      </c>
      <c r="K386" t="s">
        <v>2969</v>
      </c>
      <c r="L386" t="s">
        <v>2970</v>
      </c>
      <c r="M386" t="s">
        <v>2971</v>
      </c>
      <c r="N386" t="s">
        <v>2972</v>
      </c>
      <c r="O386" t="s">
        <v>2973</v>
      </c>
      <c r="P386" t="s">
        <v>2974</v>
      </c>
      <c r="R386" s="7">
        <v>40022</v>
      </c>
      <c r="T386" t="s">
        <v>119</v>
      </c>
      <c r="W386" s="15">
        <v>1.9833333</v>
      </c>
      <c r="X386" s="15">
        <v>-76.283333299999995</v>
      </c>
      <c r="AF386" t="s">
        <v>50</v>
      </c>
      <c r="AG386" t="s">
        <v>51</v>
      </c>
      <c r="AH386" t="s">
        <v>296</v>
      </c>
      <c r="AI386" t="s">
        <v>2975</v>
      </c>
      <c r="AJ386">
        <v>417</v>
      </c>
    </row>
    <row r="387" spans="1:36">
      <c r="A387" t="s">
        <v>2207</v>
      </c>
      <c r="B387" t="s">
        <v>2208</v>
      </c>
      <c r="C387" t="s">
        <v>2976</v>
      </c>
      <c r="D387" t="s">
        <v>2977</v>
      </c>
      <c r="E387" t="s">
        <v>2978</v>
      </c>
      <c r="F387" t="s">
        <v>2979</v>
      </c>
      <c r="G387" t="s">
        <v>2979</v>
      </c>
      <c r="H387" t="s">
        <v>2979</v>
      </c>
      <c r="P387" t="s">
        <v>80</v>
      </c>
      <c r="R387" s="7">
        <v>17018</v>
      </c>
      <c r="W387" s="15">
        <v>11.102819999999999</v>
      </c>
      <c r="X387" s="15">
        <v>-74.073269999999994</v>
      </c>
      <c r="Y387">
        <v>1808.5170000000001</v>
      </c>
      <c r="Z387">
        <v>2020</v>
      </c>
      <c r="AB387" t="s">
        <v>2980</v>
      </c>
      <c r="AF387" t="s">
        <v>50</v>
      </c>
      <c r="AG387" t="s">
        <v>1296</v>
      </c>
      <c r="AH387" t="s">
        <v>2981</v>
      </c>
      <c r="AI387" t="s">
        <v>2982</v>
      </c>
      <c r="AJ387">
        <v>418</v>
      </c>
    </row>
    <row r="388" spans="1:36">
      <c r="A388" t="s">
        <v>2207</v>
      </c>
      <c r="B388" t="s">
        <v>2208</v>
      </c>
      <c r="C388" t="s">
        <v>2983</v>
      </c>
      <c r="D388" t="s">
        <v>2984</v>
      </c>
      <c r="E388" t="s">
        <v>2985</v>
      </c>
      <c r="F388" t="s">
        <v>110</v>
      </c>
      <c r="G388">
        <v>2000</v>
      </c>
      <c r="H388">
        <v>2300</v>
      </c>
      <c r="P388" t="s">
        <v>80</v>
      </c>
      <c r="R388" s="7">
        <v>21642</v>
      </c>
      <c r="T388" t="s">
        <v>119</v>
      </c>
      <c r="W388" s="15">
        <v>11.093360000000001</v>
      </c>
      <c r="X388" s="15">
        <v>-74.033559999999994</v>
      </c>
      <c r="Y388">
        <v>3122.7669999999998</v>
      </c>
      <c r="Z388">
        <v>2109</v>
      </c>
      <c r="AB388" t="s">
        <v>2986</v>
      </c>
      <c r="AF388" t="s">
        <v>50</v>
      </c>
      <c r="AG388" t="s">
        <v>1296</v>
      </c>
      <c r="AH388" t="s">
        <v>2981</v>
      </c>
      <c r="AI388" t="s">
        <v>2987</v>
      </c>
      <c r="AJ388">
        <v>419</v>
      </c>
    </row>
    <row r="389" spans="1:36">
      <c r="A389" t="s">
        <v>2207</v>
      </c>
      <c r="B389" t="s">
        <v>2208</v>
      </c>
      <c r="C389" t="s">
        <v>2988</v>
      </c>
      <c r="D389" t="s">
        <v>2989</v>
      </c>
      <c r="E389" t="s">
        <v>2990</v>
      </c>
      <c r="F389" t="s">
        <v>2991</v>
      </c>
      <c r="G389">
        <v>2600</v>
      </c>
      <c r="H389">
        <v>2800</v>
      </c>
      <c r="P389" t="s">
        <v>80</v>
      </c>
      <c r="R389" s="7">
        <v>21659</v>
      </c>
      <c r="T389" t="s">
        <v>111</v>
      </c>
      <c r="W389" s="15">
        <v>11.102819999999999</v>
      </c>
      <c r="X389" s="15">
        <v>-74.073269999999994</v>
      </c>
      <c r="Y389">
        <v>1808.5170000000001</v>
      </c>
      <c r="Z389">
        <v>2020</v>
      </c>
      <c r="AB389" t="s">
        <v>2980</v>
      </c>
      <c r="AF389" t="s">
        <v>50</v>
      </c>
      <c r="AG389" t="s">
        <v>1296</v>
      </c>
      <c r="AH389" t="s">
        <v>2981</v>
      </c>
      <c r="AI389" t="s">
        <v>2992</v>
      </c>
      <c r="AJ389">
        <v>420</v>
      </c>
    </row>
    <row r="390" spans="1:36">
      <c r="A390" t="s">
        <v>2207</v>
      </c>
      <c r="B390" t="s">
        <v>2208</v>
      </c>
      <c r="C390" t="s">
        <v>2993</v>
      </c>
      <c r="D390" t="s">
        <v>2994</v>
      </c>
      <c r="E390" t="s">
        <v>2995</v>
      </c>
      <c r="F390" t="s">
        <v>2996</v>
      </c>
      <c r="G390">
        <v>1400</v>
      </c>
      <c r="H390">
        <v>2600</v>
      </c>
      <c r="P390" t="s">
        <v>80</v>
      </c>
      <c r="R390" s="7">
        <v>21660</v>
      </c>
      <c r="T390" t="s">
        <v>119</v>
      </c>
      <c r="W390" s="15">
        <v>11.102819999999999</v>
      </c>
      <c r="X390" s="15">
        <v>-74.073269999999994</v>
      </c>
      <c r="Y390">
        <v>1808.5170000000001</v>
      </c>
      <c r="Z390">
        <v>2020</v>
      </c>
      <c r="AB390" t="s">
        <v>2980</v>
      </c>
      <c r="AF390" t="s">
        <v>50</v>
      </c>
      <c r="AG390" t="s">
        <v>1296</v>
      </c>
      <c r="AH390" t="s">
        <v>2981</v>
      </c>
      <c r="AI390" t="s">
        <v>2997</v>
      </c>
      <c r="AJ390">
        <v>421</v>
      </c>
    </row>
    <row r="391" spans="1:36">
      <c r="A391" t="s">
        <v>2207</v>
      </c>
      <c r="B391" t="s">
        <v>2208</v>
      </c>
      <c r="C391" t="s">
        <v>2998</v>
      </c>
      <c r="D391" t="s">
        <v>2999</v>
      </c>
      <c r="E391" t="s">
        <v>3000</v>
      </c>
      <c r="F391" t="s">
        <v>2286</v>
      </c>
      <c r="G391">
        <v>1600</v>
      </c>
      <c r="H391">
        <v>1700</v>
      </c>
      <c r="I391" t="s">
        <v>3001</v>
      </c>
      <c r="J391" t="s">
        <v>3002</v>
      </c>
      <c r="K391" t="s">
        <v>3003</v>
      </c>
      <c r="L391" t="s">
        <v>3004</v>
      </c>
      <c r="M391" t="s">
        <v>3005</v>
      </c>
      <c r="N391" t="s">
        <v>3006</v>
      </c>
      <c r="O391" t="s">
        <v>3007</v>
      </c>
      <c r="P391" t="s">
        <v>3008</v>
      </c>
      <c r="R391" s="7">
        <v>26576</v>
      </c>
      <c r="T391" t="s">
        <v>119</v>
      </c>
      <c r="W391" s="15">
        <v>10.933333299999999</v>
      </c>
      <c r="X391" s="15">
        <v>-73.966666700000005</v>
      </c>
      <c r="AF391" t="s">
        <v>50</v>
      </c>
      <c r="AG391" t="s">
        <v>1296</v>
      </c>
      <c r="AH391" t="s">
        <v>1297</v>
      </c>
      <c r="AI391" t="s">
        <v>3009</v>
      </c>
      <c r="AJ391">
        <v>422</v>
      </c>
    </row>
    <row r="392" spans="1:36">
      <c r="A392" t="s">
        <v>2207</v>
      </c>
      <c r="B392" t="s">
        <v>2208</v>
      </c>
      <c r="C392" t="s">
        <v>3010</v>
      </c>
      <c r="D392" t="s">
        <v>3011</v>
      </c>
      <c r="E392" t="s">
        <v>3012</v>
      </c>
      <c r="F392">
        <v>1800</v>
      </c>
      <c r="G392">
        <v>1800</v>
      </c>
      <c r="H392">
        <v>1800</v>
      </c>
      <c r="P392" t="s">
        <v>80</v>
      </c>
      <c r="R392" s="7">
        <v>28328</v>
      </c>
      <c r="T392" t="s">
        <v>119</v>
      </c>
      <c r="W392" s="15">
        <v>10.916600000000001</v>
      </c>
      <c r="X392" s="15">
        <v>-73.833290000000005</v>
      </c>
      <c r="Y392">
        <v>938.23099999999999</v>
      </c>
      <c r="Z392">
        <v>2318</v>
      </c>
      <c r="AB392" t="s">
        <v>3013</v>
      </c>
      <c r="AF392" t="s">
        <v>50</v>
      </c>
      <c r="AG392" t="s">
        <v>1296</v>
      </c>
      <c r="AH392" t="s">
        <v>1297</v>
      </c>
      <c r="AI392" t="s">
        <v>3014</v>
      </c>
      <c r="AJ392">
        <v>423</v>
      </c>
    </row>
    <row r="393" spans="1:36">
      <c r="A393" t="s">
        <v>2207</v>
      </c>
      <c r="B393" t="s">
        <v>2208</v>
      </c>
      <c r="C393" t="s">
        <v>3015</v>
      </c>
      <c r="D393" t="s">
        <v>3016</v>
      </c>
      <c r="E393" t="s">
        <v>3017</v>
      </c>
      <c r="F393" t="s">
        <v>3018</v>
      </c>
      <c r="G393">
        <v>1300</v>
      </c>
      <c r="H393">
        <v>1900</v>
      </c>
      <c r="P393" t="s">
        <v>80</v>
      </c>
      <c r="R393" s="7">
        <v>18634</v>
      </c>
      <c r="T393" t="s">
        <v>119</v>
      </c>
      <c r="W393" s="15">
        <v>2.9626999999999999</v>
      </c>
      <c r="X393" s="15">
        <v>-73.88673</v>
      </c>
      <c r="Y393">
        <v>4935.0150000000003</v>
      </c>
      <c r="Z393">
        <v>1289</v>
      </c>
      <c r="AB393" t="s">
        <v>3019</v>
      </c>
      <c r="AF393" t="s">
        <v>50</v>
      </c>
      <c r="AG393" t="s">
        <v>1336</v>
      </c>
      <c r="AH393" t="s">
        <v>3020</v>
      </c>
      <c r="AI393" t="s">
        <v>3021</v>
      </c>
      <c r="AJ393">
        <v>424</v>
      </c>
    </row>
    <row r="394" spans="1:36">
      <c r="A394" t="s">
        <v>2207</v>
      </c>
      <c r="B394" t="s">
        <v>2208</v>
      </c>
      <c r="C394" t="s">
        <v>3022</v>
      </c>
      <c r="D394" t="s">
        <v>3023</v>
      </c>
      <c r="E394" t="s">
        <v>3024</v>
      </c>
      <c r="F394">
        <v>1700</v>
      </c>
      <c r="G394">
        <v>1700</v>
      </c>
      <c r="H394">
        <v>1700</v>
      </c>
      <c r="P394" t="s">
        <v>80</v>
      </c>
      <c r="R394" s="7">
        <v>29804</v>
      </c>
      <c r="T394" t="s">
        <v>119</v>
      </c>
      <c r="W394" s="15">
        <v>4.00502</v>
      </c>
      <c r="X394" s="15">
        <v>-73.779210000000006</v>
      </c>
      <c r="Y394">
        <v>189.58</v>
      </c>
      <c r="Z394">
        <v>561</v>
      </c>
      <c r="AB394" t="s">
        <v>3025</v>
      </c>
      <c r="AF394" t="s">
        <v>50</v>
      </c>
      <c r="AG394" t="s">
        <v>1336</v>
      </c>
      <c r="AH394" t="s">
        <v>3026</v>
      </c>
      <c r="AI394" t="s">
        <v>3027</v>
      </c>
      <c r="AJ394">
        <v>425</v>
      </c>
    </row>
    <row r="395" spans="1:36">
      <c r="A395" t="s">
        <v>2207</v>
      </c>
      <c r="B395" t="s">
        <v>2208</v>
      </c>
      <c r="C395" t="s">
        <v>3028</v>
      </c>
      <c r="D395" t="s">
        <v>3029</v>
      </c>
      <c r="E395" t="s">
        <v>3024</v>
      </c>
      <c r="P395" t="s">
        <v>80</v>
      </c>
      <c r="R395" s="7">
        <v>29806</v>
      </c>
      <c r="W395" s="15">
        <v>4.00502</v>
      </c>
      <c r="X395" s="15">
        <v>-73.779210000000006</v>
      </c>
      <c r="Y395">
        <v>189.58</v>
      </c>
      <c r="Z395">
        <v>561</v>
      </c>
      <c r="AB395" t="s">
        <v>3025</v>
      </c>
      <c r="AF395" t="s">
        <v>50</v>
      </c>
      <c r="AG395" t="s">
        <v>1336</v>
      </c>
      <c r="AH395" t="s">
        <v>3026</v>
      </c>
      <c r="AI395" t="s">
        <v>3027</v>
      </c>
      <c r="AJ395">
        <v>426</v>
      </c>
    </row>
    <row r="396" spans="1:36">
      <c r="A396" t="s">
        <v>2207</v>
      </c>
      <c r="B396" t="s">
        <v>2208</v>
      </c>
      <c r="C396" t="s">
        <v>3030</v>
      </c>
      <c r="D396" t="s">
        <v>3031</v>
      </c>
      <c r="E396" t="s">
        <v>3032</v>
      </c>
      <c r="F396">
        <v>2960</v>
      </c>
      <c r="G396">
        <v>2960</v>
      </c>
      <c r="H396">
        <v>2960</v>
      </c>
      <c r="P396" t="s">
        <v>80</v>
      </c>
      <c r="R396" s="7">
        <v>30278</v>
      </c>
      <c r="T396" t="s">
        <v>111</v>
      </c>
      <c r="W396" s="15">
        <v>0.83831</v>
      </c>
      <c r="X396" s="15">
        <v>-77.616919999999993</v>
      </c>
      <c r="Y396">
        <v>2955.806</v>
      </c>
      <c r="Z396">
        <v>2876</v>
      </c>
      <c r="AB396" t="s">
        <v>1439</v>
      </c>
      <c r="AF396" t="s">
        <v>50</v>
      </c>
      <c r="AG396" t="s">
        <v>127</v>
      </c>
      <c r="AH396" t="s">
        <v>1440</v>
      </c>
      <c r="AI396" t="s">
        <v>3033</v>
      </c>
      <c r="AJ396">
        <v>427</v>
      </c>
    </row>
    <row r="397" spans="1:36">
      <c r="A397" t="s">
        <v>2207</v>
      </c>
      <c r="B397" t="s">
        <v>2208</v>
      </c>
      <c r="C397" t="s">
        <v>3034</v>
      </c>
      <c r="D397" t="s">
        <v>3035</v>
      </c>
      <c r="E397" t="s">
        <v>3036</v>
      </c>
      <c r="F397">
        <v>2530</v>
      </c>
      <c r="G397">
        <v>2530</v>
      </c>
      <c r="H397">
        <v>2530</v>
      </c>
      <c r="P397" t="s">
        <v>80</v>
      </c>
      <c r="R397" s="7">
        <v>22940</v>
      </c>
      <c r="W397" s="15">
        <v>1.2137800000000001</v>
      </c>
      <c r="X397" s="15">
        <v>-76.908249999999995</v>
      </c>
      <c r="Y397">
        <v>1729.18</v>
      </c>
      <c r="Z397">
        <v>2347</v>
      </c>
      <c r="AB397" t="s">
        <v>3037</v>
      </c>
      <c r="AF397" t="s">
        <v>50</v>
      </c>
      <c r="AG397" t="s">
        <v>67</v>
      </c>
      <c r="AH397" t="s">
        <v>3038</v>
      </c>
      <c r="AI397" t="s">
        <v>3039</v>
      </c>
      <c r="AJ397">
        <v>428</v>
      </c>
    </row>
    <row r="398" spans="1:36">
      <c r="A398" t="s">
        <v>2207</v>
      </c>
      <c r="B398" t="s">
        <v>2208</v>
      </c>
      <c r="C398" t="s">
        <v>3040</v>
      </c>
      <c r="D398" t="s">
        <v>3041</v>
      </c>
      <c r="E398" t="s">
        <v>3042</v>
      </c>
      <c r="F398">
        <v>3000</v>
      </c>
      <c r="G398">
        <v>3000</v>
      </c>
      <c r="H398">
        <v>3000</v>
      </c>
      <c r="P398" t="s">
        <v>80</v>
      </c>
      <c r="R398" s="7">
        <v>26551</v>
      </c>
      <c r="T398" t="s">
        <v>119</v>
      </c>
      <c r="W398" s="15">
        <v>1.1157600000000001</v>
      </c>
      <c r="X398" s="15">
        <v>-76.970100000000002</v>
      </c>
      <c r="Y398">
        <v>4855.8119999999999</v>
      </c>
      <c r="Z398">
        <v>3187</v>
      </c>
      <c r="AB398" t="s">
        <v>3043</v>
      </c>
      <c r="AF398" t="s">
        <v>50</v>
      </c>
      <c r="AG398" t="s">
        <v>67</v>
      </c>
      <c r="AH398" t="s">
        <v>3044</v>
      </c>
      <c r="AI398" t="s">
        <v>3045</v>
      </c>
      <c r="AJ398">
        <v>429</v>
      </c>
    </row>
    <row r="399" spans="1:36">
      <c r="A399" t="s">
        <v>2207</v>
      </c>
      <c r="B399" t="s">
        <v>2208</v>
      </c>
      <c r="C399" t="s">
        <v>3046</v>
      </c>
      <c r="D399" t="s">
        <v>3047</v>
      </c>
      <c r="E399" t="s">
        <v>3048</v>
      </c>
      <c r="F399">
        <v>2270</v>
      </c>
      <c r="G399">
        <v>2270</v>
      </c>
      <c r="H399">
        <v>2270</v>
      </c>
      <c r="P399" t="s">
        <v>80</v>
      </c>
      <c r="R399" s="7">
        <v>31293</v>
      </c>
      <c r="T399" t="s">
        <v>111</v>
      </c>
      <c r="W399" s="15">
        <v>4.6871799999999997</v>
      </c>
      <c r="X399" s="15">
        <v>-75.617509999999996</v>
      </c>
      <c r="Y399">
        <v>4102.8419999999996</v>
      </c>
      <c r="Z399">
        <v>1968</v>
      </c>
      <c r="AA399" t="s">
        <v>3049</v>
      </c>
      <c r="AB399" t="s">
        <v>3050</v>
      </c>
      <c r="AF399" t="s">
        <v>50</v>
      </c>
      <c r="AG399" t="s">
        <v>182</v>
      </c>
      <c r="AH399" t="s">
        <v>320</v>
      </c>
      <c r="AI399" t="s">
        <v>3051</v>
      </c>
      <c r="AJ399">
        <v>430</v>
      </c>
    </row>
    <row r="400" spans="1:36">
      <c r="A400" t="s">
        <v>2207</v>
      </c>
      <c r="B400" t="s">
        <v>2208</v>
      </c>
      <c r="C400" t="s">
        <v>3052</v>
      </c>
      <c r="D400" t="s">
        <v>3053</v>
      </c>
      <c r="E400" t="s">
        <v>3054</v>
      </c>
      <c r="F400">
        <v>2270</v>
      </c>
      <c r="G400">
        <v>2270</v>
      </c>
      <c r="H400">
        <v>2270</v>
      </c>
      <c r="P400" t="s">
        <v>80</v>
      </c>
      <c r="R400" s="7">
        <v>31293</v>
      </c>
      <c r="T400" t="s">
        <v>399</v>
      </c>
      <c r="W400" s="15">
        <v>4.6871799999999997</v>
      </c>
      <c r="X400" s="15">
        <v>-75.617509999999996</v>
      </c>
      <c r="Y400">
        <v>4102.8419999999996</v>
      </c>
      <c r="Z400">
        <v>1968</v>
      </c>
      <c r="AA400" t="s">
        <v>3049</v>
      </c>
      <c r="AB400" t="s">
        <v>3050</v>
      </c>
      <c r="AF400" t="s">
        <v>50</v>
      </c>
      <c r="AG400" t="s">
        <v>182</v>
      </c>
      <c r="AH400" t="s">
        <v>320</v>
      </c>
      <c r="AI400" t="s">
        <v>3055</v>
      </c>
      <c r="AJ400">
        <v>431</v>
      </c>
    </row>
    <row r="401" spans="1:36">
      <c r="A401" t="s">
        <v>2207</v>
      </c>
      <c r="B401" t="s">
        <v>2208</v>
      </c>
      <c r="C401" t="s">
        <v>3056</v>
      </c>
      <c r="D401" t="s">
        <v>3057</v>
      </c>
      <c r="E401" t="s">
        <v>3058</v>
      </c>
      <c r="F401">
        <v>2300</v>
      </c>
      <c r="G401">
        <v>2300</v>
      </c>
      <c r="H401">
        <v>2300</v>
      </c>
      <c r="P401" t="s">
        <v>80</v>
      </c>
      <c r="R401" s="7">
        <v>31525</v>
      </c>
      <c r="T401" t="s">
        <v>399</v>
      </c>
      <c r="W401" s="15">
        <v>4.3171400000000002</v>
      </c>
      <c r="X401" s="15">
        <v>-75.726060000000004</v>
      </c>
      <c r="Y401">
        <v>317.66300000000001</v>
      </c>
      <c r="Z401">
        <v>1798</v>
      </c>
      <c r="AB401" t="s">
        <v>3059</v>
      </c>
      <c r="AF401" t="s">
        <v>50</v>
      </c>
      <c r="AG401" t="s">
        <v>182</v>
      </c>
      <c r="AH401" t="s">
        <v>3060</v>
      </c>
      <c r="AI401" t="s">
        <v>3061</v>
      </c>
      <c r="AJ401">
        <v>432</v>
      </c>
    </row>
    <row r="402" spans="1:36">
      <c r="A402" t="s">
        <v>2207</v>
      </c>
      <c r="B402" t="s">
        <v>2208</v>
      </c>
      <c r="C402" t="s">
        <v>3062</v>
      </c>
      <c r="D402" t="s">
        <v>3063</v>
      </c>
      <c r="E402" t="s">
        <v>3064</v>
      </c>
      <c r="F402" t="s">
        <v>3065</v>
      </c>
      <c r="G402">
        <v>2400</v>
      </c>
      <c r="H402">
        <v>2700</v>
      </c>
      <c r="P402" t="s">
        <v>80</v>
      </c>
      <c r="R402" s="7">
        <v>32992</v>
      </c>
      <c r="T402" t="s">
        <v>236</v>
      </c>
      <c r="W402" s="15">
        <v>4.2267200000000003</v>
      </c>
      <c r="X402" s="15">
        <v>-75.703119999999998</v>
      </c>
      <c r="Y402">
        <v>1766.614</v>
      </c>
      <c r="Z402">
        <v>2549</v>
      </c>
      <c r="AB402" t="s">
        <v>3066</v>
      </c>
      <c r="AF402" t="s">
        <v>50</v>
      </c>
      <c r="AG402" t="s">
        <v>182</v>
      </c>
      <c r="AH402" t="s">
        <v>3067</v>
      </c>
      <c r="AI402" t="s">
        <v>3068</v>
      </c>
      <c r="AJ402">
        <v>433</v>
      </c>
    </row>
    <row r="403" spans="1:36">
      <c r="A403" t="s">
        <v>2207</v>
      </c>
      <c r="B403" t="s">
        <v>2208</v>
      </c>
      <c r="C403" t="s">
        <v>3069</v>
      </c>
      <c r="D403" t="s">
        <v>3070</v>
      </c>
      <c r="E403" t="s">
        <v>3071</v>
      </c>
      <c r="F403">
        <v>2680</v>
      </c>
      <c r="G403">
        <v>2680</v>
      </c>
      <c r="H403">
        <v>2680</v>
      </c>
      <c r="P403" t="s">
        <v>80</v>
      </c>
      <c r="R403" s="7">
        <v>33370</v>
      </c>
      <c r="T403" t="s">
        <v>236</v>
      </c>
      <c r="W403" s="15">
        <v>4.6252899999999997</v>
      </c>
      <c r="X403" s="15">
        <v>-75.453090000000003</v>
      </c>
      <c r="Y403">
        <v>1710.309</v>
      </c>
      <c r="Z403">
        <v>2842</v>
      </c>
      <c r="AB403" t="s">
        <v>3072</v>
      </c>
      <c r="AF403" t="s">
        <v>50</v>
      </c>
      <c r="AG403" t="s">
        <v>182</v>
      </c>
      <c r="AH403" t="s">
        <v>803</v>
      </c>
      <c r="AI403" t="s">
        <v>3073</v>
      </c>
      <c r="AJ403">
        <v>434</v>
      </c>
    </row>
    <row r="404" spans="1:36">
      <c r="A404" t="s">
        <v>2207</v>
      </c>
      <c r="B404" t="s">
        <v>2208</v>
      </c>
      <c r="C404" t="s">
        <v>3069</v>
      </c>
      <c r="D404" t="s">
        <v>3074</v>
      </c>
      <c r="E404" t="s">
        <v>3071</v>
      </c>
      <c r="F404">
        <v>2680</v>
      </c>
      <c r="G404">
        <v>2680</v>
      </c>
      <c r="H404">
        <v>2680</v>
      </c>
      <c r="P404" t="s">
        <v>80</v>
      </c>
      <c r="R404" s="7">
        <v>33370</v>
      </c>
      <c r="T404" t="s">
        <v>236</v>
      </c>
      <c r="W404" s="15">
        <v>4.6252899999999997</v>
      </c>
      <c r="X404" s="15">
        <v>-75.453090000000003</v>
      </c>
      <c r="Y404">
        <v>1710.309</v>
      </c>
      <c r="Z404">
        <v>2842</v>
      </c>
      <c r="AB404" t="s">
        <v>3072</v>
      </c>
      <c r="AF404" t="s">
        <v>50</v>
      </c>
      <c r="AG404" t="s">
        <v>182</v>
      </c>
      <c r="AH404" t="s">
        <v>803</v>
      </c>
      <c r="AI404" t="s">
        <v>3073</v>
      </c>
      <c r="AJ404">
        <v>435</v>
      </c>
    </row>
    <row r="405" spans="1:36">
      <c r="A405" t="s">
        <v>2207</v>
      </c>
      <c r="B405" t="s">
        <v>2208</v>
      </c>
      <c r="C405" t="s">
        <v>3075</v>
      </c>
      <c r="D405" t="s">
        <v>3076</v>
      </c>
      <c r="E405" t="s">
        <v>3077</v>
      </c>
      <c r="F405">
        <v>2900</v>
      </c>
      <c r="G405">
        <v>2900</v>
      </c>
      <c r="H405">
        <v>2900</v>
      </c>
      <c r="P405" t="s">
        <v>80</v>
      </c>
      <c r="R405" s="7">
        <v>34232</v>
      </c>
      <c r="T405" t="s">
        <v>236</v>
      </c>
      <c r="W405" s="15">
        <v>4.4564000000000004</v>
      </c>
      <c r="X405" s="15">
        <v>-75.619630000000001</v>
      </c>
      <c r="Y405">
        <v>2546.3380000000002</v>
      </c>
      <c r="Z405">
        <v>2693</v>
      </c>
      <c r="AB405" t="s">
        <v>3078</v>
      </c>
      <c r="AF405" t="s">
        <v>50</v>
      </c>
      <c r="AG405" t="s">
        <v>182</v>
      </c>
      <c r="AH405" t="s">
        <v>3079</v>
      </c>
      <c r="AI405" t="s">
        <v>3080</v>
      </c>
      <c r="AJ405">
        <v>436</v>
      </c>
    </row>
    <row r="406" spans="1:36">
      <c r="A406" t="s">
        <v>2207</v>
      </c>
      <c r="B406" t="s">
        <v>2208</v>
      </c>
      <c r="C406" t="s">
        <v>3081</v>
      </c>
      <c r="D406" t="s">
        <v>3082</v>
      </c>
      <c r="E406" t="s">
        <v>3083</v>
      </c>
      <c r="F406" t="s">
        <v>3084</v>
      </c>
      <c r="G406">
        <v>2500</v>
      </c>
      <c r="H406">
        <v>2780</v>
      </c>
      <c r="P406" t="s">
        <v>80</v>
      </c>
      <c r="R406" s="7">
        <v>34838</v>
      </c>
      <c r="T406" t="s">
        <v>236</v>
      </c>
      <c r="W406" s="15">
        <v>4.1099800000000002</v>
      </c>
      <c r="X406" s="15">
        <v>-75.808610000000002</v>
      </c>
      <c r="Y406">
        <v>641.95100000000002</v>
      </c>
      <c r="Z406">
        <v>2501</v>
      </c>
      <c r="AB406" t="s">
        <v>3085</v>
      </c>
      <c r="AF406" t="s">
        <v>50</v>
      </c>
      <c r="AG406" t="s">
        <v>182</v>
      </c>
      <c r="AH406" t="s">
        <v>3067</v>
      </c>
      <c r="AI406" t="s">
        <v>3086</v>
      </c>
      <c r="AJ406">
        <v>437</v>
      </c>
    </row>
    <row r="407" spans="1:36" s="2" customFormat="1">
      <c r="A407" t="s">
        <v>2207</v>
      </c>
      <c r="B407" t="s">
        <v>2208</v>
      </c>
      <c r="C407" t="s">
        <v>3087</v>
      </c>
      <c r="D407" t="s">
        <v>1820</v>
      </c>
      <c r="E407" t="s">
        <v>3088</v>
      </c>
      <c r="F407" t="s">
        <v>2073</v>
      </c>
      <c r="G407">
        <v>2430</v>
      </c>
      <c r="H407">
        <v>3200</v>
      </c>
      <c r="I407" t="s">
        <v>2074</v>
      </c>
      <c r="J407" t="s">
        <v>2075</v>
      </c>
      <c r="K407" t="s">
        <v>2076</v>
      </c>
      <c r="L407" t="s">
        <v>2077</v>
      </c>
      <c r="M407" t="s">
        <v>2078</v>
      </c>
      <c r="N407" t="s">
        <v>2079</v>
      </c>
      <c r="O407" t="s">
        <v>2080</v>
      </c>
      <c r="P407" t="s">
        <v>2081</v>
      </c>
      <c r="Q407"/>
      <c r="R407" s="7">
        <v>40017</v>
      </c>
      <c r="S407"/>
      <c r="T407" t="s">
        <v>318</v>
      </c>
      <c r="U407"/>
      <c r="V407"/>
      <c r="W407" s="15">
        <v>4.6414999999999997</v>
      </c>
      <c r="X407" s="15">
        <v>-75.486777799999999</v>
      </c>
      <c r="Y407"/>
      <c r="Z407"/>
      <c r="AA407"/>
      <c r="AB407"/>
      <c r="AC407"/>
      <c r="AD407"/>
      <c r="AE407"/>
      <c r="AF407" t="s">
        <v>50</v>
      </c>
      <c r="AG407" t="s">
        <v>182</v>
      </c>
      <c r="AH407" t="s">
        <v>803</v>
      </c>
      <c r="AI407" t="s">
        <v>3089</v>
      </c>
      <c r="AJ407">
        <v>438</v>
      </c>
    </row>
    <row r="408" spans="1:36">
      <c r="A408" t="s">
        <v>2207</v>
      </c>
      <c r="B408" t="s">
        <v>2208</v>
      </c>
      <c r="C408" t="s">
        <v>3090</v>
      </c>
      <c r="D408" t="s">
        <v>1820</v>
      </c>
      <c r="E408" t="s">
        <v>3091</v>
      </c>
      <c r="F408" t="s">
        <v>3092</v>
      </c>
      <c r="G408">
        <v>1950</v>
      </c>
      <c r="H408">
        <v>1950</v>
      </c>
      <c r="I408" t="s">
        <v>1667</v>
      </c>
      <c r="J408" t="s">
        <v>1667</v>
      </c>
      <c r="K408" t="s">
        <v>3093</v>
      </c>
      <c r="L408" t="s">
        <v>3093</v>
      </c>
      <c r="M408" t="s">
        <v>3094</v>
      </c>
      <c r="N408" t="s">
        <v>315</v>
      </c>
      <c r="O408" t="s">
        <v>3095</v>
      </c>
      <c r="P408" t="s">
        <v>3096</v>
      </c>
      <c r="R408" s="7">
        <v>40014</v>
      </c>
      <c r="T408" t="s">
        <v>119</v>
      </c>
      <c r="W408" s="15">
        <v>4.6857300000000004</v>
      </c>
      <c r="X408" s="15">
        <v>-75.578029999999998</v>
      </c>
      <c r="Y408">
        <v>5540.5119999999997</v>
      </c>
      <c r="Z408">
        <v>2087</v>
      </c>
      <c r="AB408" t="s">
        <v>1153</v>
      </c>
      <c r="AF408" t="s">
        <v>50</v>
      </c>
      <c r="AG408" t="s">
        <v>1671</v>
      </c>
      <c r="AH408" t="s">
        <v>803</v>
      </c>
      <c r="AI408" t="s">
        <v>3097</v>
      </c>
      <c r="AJ408">
        <v>440</v>
      </c>
    </row>
    <row r="409" spans="1:36" s="2" customFormat="1">
      <c r="A409" t="s">
        <v>2207</v>
      </c>
      <c r="B409" t="s">
        <v>2208</v>
      </c>
      <c r="C409" t="s">
        <v>3098</v>
      </c>
      <c r="D409" t="s">
        <v>1820</v>
      </c>
      <c r="E409" t="s">
        <v>3099</v>
      </c>
      <c r="F409" t="s">
        <v>2073</v>
      </c>
      <c r="G409">
        <v>2430</v>
      </c>
      <c r="H409">
        <v>3200</v>
      </c>
      <c r="I409" t="s">
        <v>3100</v>
      </c>
      <c r="J409" t="s">
        <v>3100</v>
      </c>
      <c r="K409" t="s">
        <v>3101</v>
      </c>
      <c r="L409" t="s">
        <v>3101</v>
      </c>
      <c r="M409" t="s">
        <v>3102</v>
      </c>
      <c r="N409" t="s">
        <v>2079</v>
      </c>
      <c r="O409" t="s">
        <v>2080</v>
      </c>
      <c r="P409" t="s">
        <v>2081</v>
      </c>
      <c r="Q409"/>
      <c r="R409" s="7">
        <v>40017</v>
      </c>
      <c r="S409"/>
      <c r="T409" t="s">
        <v>318</v>
      </c>
      <c r="U409"/>
      <c r="V409"/>
      <c r="W409" s="15">
        <v>4.6414999999999997</v>
      </c>
      <c r="X409" s="15">
        <v>-75.486777799999999</v>
      </c>
      <c r="Y409"/>
      <c r="Z409"/>
      <c r="AA409"/>
      <c r="AB409"/>
      <c r="AC409"/>
      <c r="AD409"/>
      <c r="AE409"/>
      <c r="AF409" t="s">
        <v>50</v>
      </c>
      <c r="AG409" t="s">
        <v>1671</v>
      </c>
      <c r="AH409" t="s">
        <v>803</v>
      </c>
      <c r="AI409" t="s">
        <v>3103</v>
      </c>
      <c r="AJ409">
        <v>441</v>
      </c>
    </row>
    <row r="410" spans="1:36">
      <c r="A410" t="s">
        <v>2207</v>
      </c>
      <c r="B410" t="s">
        <v>2208</v>
      </c>
      <c r="C410" t="s">
        <v>3104</v>
      </c>
      <c r="D410" t="s">
        <v>3105</v>
      </c>
      <c r="E410" t="s">
        <v>3106</v>
      </c>
      <c r="F410">
        <v>2740</v>
      </c>
      <c r="G410">
        <v>2740</v>
      </c>
      <c r="H410">
        <v>2740</v>
      </c>
      <c r="P410" t="s">
        <v>80</v>
      </c>
      <c r="R410" s="7">
        <v>30348</v>
      </c>
      <c r="W410" s="15">
        <v>5.1285999999999996</v>
      </c>
      <c r="X410" s="15">
        <v>-76.048439999999999</v>
      </c>
      <c r="Y410">
        <v>2194.4319999999998</v>
      </c>
      <c r="Z410">
        <v>3052</v>
      </c>
      <c r="AB410" t="s">
        <v>2111</v>
      </c>
      <c r="AF410" t="s">
        <v>50</v>
      </c>
      <c r="AG410" t="s">
        <v>360</v>
      </c>
      <c r="AH410" t="s">
        <v>367</v>
      </c>
      <c r="AI410" t="s">
        <v>3107</v>
      </c>
      <c r="AJ410">
        <v>442</v>
      </c>
    </row>
    <row r="411" spans="1:36">
      <c r="A411" t="s">
        <v>2207</v>
      </c>
      <c r="B411" t="s">
        <v>2208</v>
      </c>
      <c r="C411" t="s">
        <v>3108</v>
      </c>
      <c r="D411" t="s">
        <v>3109</v>
      </c>
      <c r="E411" t="s">
        <v>3110</v>
      </c>
      <c r="F411">
        <v>2285</v>
      </c>
      <c r="G411">
        <v>2285</v>
      </c>
      <c r="H411">
        <v>2285</v>
      </c>
      <c r="P411" t="s">
        <v>80</v>
      </c>
      <c r="R411" s="7">
        <v>30644</v>
      </c>
      <c r="T411" t="s">
        <v>119</v>
      </c>
      <c r="W411" s="15">
        <v>5.1504300000000001</v>
      </c>
      <c r="X411" s="15">
        <v>-76.021590000000003</v>
      </c>
      <c r="Y411">
        <v>1968.616</v>
      </c>
      <c r="Z411">
        <v>2254</v>
      </c>
      <c r="AB411" t="s">
        <v>3111</v>
      </c>
      <c r="AF411" t="s">
        <v>50</v>
      </c>
      <c r="AG411" t="s">
        <v>360</v>
      </c>
      <c r="AH411" t="s">
        <v>3112</v>
      </c>
      <c r="AI411" t="s">
        <v>3113</v>
      </c>
      <c r="AJ411">
        <v>443</v>
      </c>
    </row>
    <row r="412" spans="1:36">
      <c r="A412" t="s">
        <v>2207</v>
      </c>
      <c r="B412" t="s">
        <v>2208</v>
      </c>
      <c r="C412" t="s">
        <v>3114</v>
      </c>
      <c r="D412" t="s">
        <v>3115</v>
      </c>
      <c r="E412" t="s">
        <v>3116</v>
      </c>
      <c r="F412">
        <v>2450</v>
      </c>
      <c r="G412">
        <v>2450</v>
      </c>
      <c r="H412">
        <v>2450</v>
      </c>
      <c r="P412" t="s">
        <v>80</v>
      </c>
      <c r="R412" s="7">
        <v>32790</v>
      </c>
      <c r="T412" t="s">
        <v>3117</v>
      </c>
      <c r="W412" s="15">
        <v>4.7076700000000002</v>
      </c>
      <c r="X412" s="15">
        <v>-75.492909999999995</v>
      </c>
      <c r="Y412">
        <v>3245.4160000000002</v>
      </c>
      <c r="Z412">
        <v>2543</v>
      </c>
      <c r="AB412" t="s">
        <v>3118</v>
      </c>
      <c r="AF412" t="s">
        <v>50</v>
      </c>
      <c r="AG412" t="s">
        <v>360</v>
      </c>
      <c r="AH412" t="s">
        <v>361</v>
      </c>
      <c r="AI412" t="s">
        <v>3119</v>
      </c>
      <c r="AJ412">
        <v>444</v>
      </c>
    </row>
    <row r="413" spans="1:36">
      <c r="A413" t="s">
        <v>2207</v>
      </c>
      <c r="B413" t="s">
        <v>2208</v>
      </c>
      <c r="C413" t="s">
        <v>3120</v>
      </c>
      <c r="D413" t="s">
        <v>3121</v>
      </c>
      <c r="E413" t="s">
        <v>3122</v>
      </c>
      <c r="F413">
        <v>2400</v>
      </c>
      <c r="G413">
        <v>2400</v>
      </c>
      <c r="H413">
        <v>2400</v>
      </c>
      <c r="P413" t="s">
        <v>80</v>
      </c>
      <c r="R413" s="7">
        <v>32844</v>
      </c>
      <c r="T413" t="s">
        <v>119</v>
      </c>
      <c r="W413" s="15">
        <v>4.7076700000000002</v>
      </c>
      <c r="X413" s="15">
        <v>-75.492909999999995</v>
      </c>
      <c r="Y413">
        <v>3245.4160000000002</v>
      </c>
      <c r="Z413">
        <v>2543</v>
      </c>
      <c r="AB413" t="s">
        <v>3118</v>
      </c>
      <c r="AF413" t="s">
        <v>50</v>
      </c>
      <c r="AG413" t="s">
        <v>360</v>
      </c>
      <c r="AH413" t="s">
        <v>361</v>
      </c>
      <c r="AI413" t="s">
        <v>3123</v>
      </c>
      <c r="AJ413">
        <v>445</v>
      </c>
    </row>
    <row r="414" spans="1:36">
      <c r="A414" t="s">
        <v>2207</v>
      </c>
      <c r="B414" t="s">
        <v>2208</v>
      </c>
      <c r="C414" t="s">
        <v>3124</v>
      </c>
      <c r="D414" t="s">
        <v>3125</v>
      </c>
      <c r="E414" t="s">
        <v>3126</v>
      </c>
      <c r="F414">
        <v>2000</v>
      </c>
      <c r="G414">
        <v>2000</v>
      </c>
      <c r="H414">
        <v>2000</v>
      </c>
      <c r="P414" t="s">
        <v>80</v>
      </c>
      <c r="R414" s="7">
        <v>38315</v>
      </c>
      <c r="T414" t="s">
        <v>111</v>
      </c>
      <c r="W414" s="15">
        <v>4.72879</v>
      </c>
      <c r="X414" s="15">
        <v>-75.5779</v>
      </c>
      <c r="Y414">
        <v>611.64800000000002</v>
      </c>
      <c r="Z414">
        <v>1864</v>
      </c>
      <c r="AB414" t="s">
        <v>359</v>
      </c>
      <c r="AF414" t="s">
        <v>50</v>
      </c>
      <c r="AG414" t="s">
        <v>360</v>
      </c>
      <c r="AH414" t="s">
        <v>361</v>
      </c>
      <c r="AI414" t="s">
        <v>3127</v>
      </c>
      <c r="AJ414">
        <v>446</v>
      </c>
    </row>
    <row r="415" spans="1:36">
      <c r="A415" t="s">
        <v>2207</v>
      </c>
      <c r="B415" t="s">
        <v>2208</v>
      </c>
      <c r="C415" t="s">
        <v>3128</v>
      </c>
      <c r="D415" t="s">
        <v>3129</v>
      </c>
      <c r="E415" t="s">
        <v>3130</v>
      </c>
      <c r="F415">
        <v>2600</v>
      </c>
      <c r="G415">
        <v>2600</v>
      </c>
      <c r="H415">
        <v>2600</v>
      </c>
      <c r="P415" t="s">
        <v>80</v>
      </c>
      <c r="R415" s="7">
        <v>38738</v>
      </c>
      <c r="T415" t="s">
        <v>119</v>
      </c>
      <c r="W415" s="15">
        <v>4.7076700000000002</v>
      </c>
      <c r="X415" s="15">
        <v>-75.492909999999995</v>
      </c>
      <c r="Y415">
        <v>3245.4160000000002</v>
      </c>
      <c r="Z415">
        <v>2543</v>
      </c>
      <c r="AB415" t="s">
        <v>3118</v>
      </c>
      <c r="AF415" t="s">
        <v>50</v>
      </c>
      <c r="AG415" t="s">
        <v>360</v>
      </c>
      <c r="AH415" t="s">
        <v>361</v>
      </c>
      <c r="AI415" t="s">
        <v>3131</v>
      </c>
      <c r="AJ415">
        <v>447</v>
      </c>
    </row>
    <row r="416" spans="1:36">
      <c r="A416" t="s">
        <v>2207</v>
      </c>
      <c r="B416" t="s">
        <v>2208</v>
      </c>
      <c r="C416" t="s">
        <v>3132</v>
      </c>
      <c r="D416" t="s">
        <v>1529</v>
      </c>
      <c r="E416" t="s">
        <v>3133</v>
      </c>
      <c r="F416" t="s">
        <v>3134</v>
      </c>
      <c r="G416">
        <v>1897</v>
      </c>
      <c r="H416">
        <v>1897</v>
      </c>
      <c r="I416" t="s">
        <v>3135</v>
      </c>
      <c r="J416" t="s">
        <v>3135</v>
      </c>
      <c r="K416" t="s">
        <v>3136</v>
      </c>
      <c r="L416" t="s">
        <v>3136</v>
      </c>
      <c r="M416" t="s">
        <v>3137</v>
      </c>
      <c r="P416" t="s">
        <v>80</v>
      </c>
      <c r="R416" s="7">
        <v>40006</v>
      </c>
      <c r="T416" t="s">
        <v>3138</v>
      </c>
      <c r="W416" s="15">
        <v>4.72879</v>
      </c>
      <c r="X416" s="15">
        <v>-75.5779</v>
      </c>
      <c r="Y416">
        <v>611.64800000000002</v>
      </c>
      <c r="Z416">
        <v>1864</v>
      </c>
      <c r="AB416" t="s">
        <v>359</v>
      </c>
      <c r="AF416" t="s">
        <v>50</v>
      </c>
      <c r="AG416" t="s">
        <v>360</v>
      </c>
      <c r="AH416" t="s">
        <v>361</v>
      </c>
      <c r="AI416" t="s">
        <v>3139</v>
      </c>
      <c r="AJ416">
        <v>448</v>
      </c>
    </row>
    <row r="417" spans="1:36">
      <c r="A417" t="s">
        <v>2207</v>
      </c>
      <c r="B417" t="s">
        <v>2208</v>
      </c>
      <c r="C417" t="s">
        <v>3140</v>
      </c>
      <c r="D417" t="s">
        <v>299</v>
      </c>
      <c r="E417" t="s">
        <v>3141</v>
      </c>
      <c r="F417" t="s">
        <v>3142</v>
      </c>
      <c r="G417">
        <v>2106</v>
      </c>
      <c r="H417">
        <v>2106</v>
      </c>
      <c r="I417" t="s">
        <v>3143</v>
      </c>
      <c r="J417" t="s">
        <v>3143</v>
      </c>
      <c r="K417" t="s">
        <v>3144</v>
      </c>
      <c r="L417" t="s">
        <v>3144</v>
      </c>
      <c r="M417" t="s">
        <v>3145</v>
      </c>
      <c r="P417" t="s">
        <v>80</v>
      </c>
      <c r="R417" s="7">
        <v>40009</v>
      </c>
      <c r="T417" t="s">
        <v>119</v>
      </c>
      <c r="W417" s="15">
        <v>4.8191499999999996</v>
      </c>
      <c r="X417" s="15">
        <v>-75.545216670000002</v>
      </c>
      <c r="AF417" t="s">
        <v>50</v>
      </c>
      <c r="AG417" t="s">
        <v>360</v>
      </c>
      <c r="AH417" t="s">
        <v>2116</v>
      </c>
      <c r="AI417" t="s">
        <v>3146</v>
      </c>
      <c r="AJ417">
        <v>449</v>
      </c>
    </row>
    <row r="418" spans="1:36">
      <c r="A418" t="s">
        <v>2207</v>
      </c>
      <c r="B418" t="s">
        <v>2208</v>
      </c>
      <c r="C418" t="s">
        <v>3147</v>
      </c>
      <c r="D418" t="s">
        <v>1060</v>
      </c>
      <c r="E418" t="s">
        <v>3148</v>
      </c>
      <c r="F418" t="s">
        <v>3149</v>
      </c>
      <c r="G418">
        <v>2122</v>
      </c>
      <c r="H418">
        <v>2612</v>
      </c>
      <c r="I418" t="s">
        <v>3150</v>
      </c>
      <c r="J418" t="s">
        <v>3150</v>
      </c>
      <c r="K418" t="s">
        <v>3151</v>
      </c>
      <c r="L418" t="s">
        <v>3151</v>
      </c>
      <c r="M418" t="s">
        <v>3152</v>
      </c>
      <c r="P418" t="s">
        <v>80</v>
      </c>
      <c r="R418" s="7">
        <v>40009</v>
      </c>
      <c r="T418" t="s">
        <v>119</v>
      </c>
      <c r="W418" s="15">
        <v>4.8134166670000003</v>
      </c>
      <c r="X418" s="15">
        <v>-75.532716669999999</v>
      </c>
      <c r="AF418" t="s">
        <v>50</v>
      </c>
      <c r="AG418" t="s">
        <v>360</v>
      </c>
      <c r="AH418" t="s">
        <v>2116</v>
      </c>
      <c r="AI418" t="s">
        <v>3153</v>
      </c>
      <c r="AJ418">
        <v>450</v>
      </c>
    </row>
    <row r="419" spans="1:36" s="3" customFormat="1">
      <c r="A419" t="s">
        <v>2207</v>
      </c>
      <c r="B419" t="s">
        <v>2208</v>
      </c>
      <c r="C419" t="s">
        <v>3154</v>
      </c>
      <c r="D419" t="s">
        <v>1529</v>
      </c>
      <c r="E419" t="s">
        <v>3155</v>
      </c>
      <c r="F419">
        <v>2612</v>
      </c>
      <c r="G419">
        <v>2612</v>
      </c>
      <c r="H419">
        <v>2612</v>
      </c>
      <c r="I419" t="s">
        <v>3156</v>
      </c>
      <c r="J419" t="s">
        <v>3150</v>
      </c>
      <c r="K419" t="s">
        <v>3157</v>
      </c>
      <c r="L419" t="s">
        <v>3151</v>
      </c>
      <c r="M419" t="s">
        <v>3152</v>
      </c>
      <c r="N419"/>
      <c r="O419"/>
      <c r="P419" t="s">
        <v>80</v>
      </c>
      <c r="Q419"/>
      <c r="R419" s="7">
        <v>40010</v>
      </c>
      <c r="S419"/>
      <c r="T419" t="s">
        <v>119</v>
      </c>
      <c r="U419"/>
      <c r="V419"/>
      <c r="W419" s="15">
        <v>4.8134166670000003</v>
      </c>
      <c r="X419" s="15">
        <v>-75.532716669999999</v>
      </c>
      <c r="Y419"/>
      <c r="Z419"/>
      <c r="AA419"/>
      <c r="AB419"/>
      <c r="AC419"/>
      <c r="AD419"/>
      <c r="AE419"/>
      <c r="AF419" t="s">
        <v>50</v>
      </c>
      <c r="AG419" t="s">
        <v>360</v>
      </c>
      <c r="AH419" t="s">
        <v>2116</v>
      </c>
      <c r="AI419" t="s">
        <v>3158</v>
      </c>
      <c r="AJ419">
        <v>451</v>
      </c>
    </row>
    <row r="420" spans="1:36">
      <c r="A420" t="s">
        <v>2207</v>
      </c>
      <c r="B420" t="s">
        <v>2208</v>
      </c>
      <c r="C420" t="s">
        <v>3159</v>
      </c>
      <c r="D420" t="s">
        <v>3160</v>
      </c>
      <c r="E420" t="s">
        <v>3161</v>
      </c>
      <c r="F420">
        <v>2824</v>
      </c>
      <c r="G420">
        <v>2824</v>
      </c>
      <c r="H420">
        <v>2824</v>
      </c>
      <c r="I420" t="s">
        <v>3162</v>
      </c>
      <c r="J420" t="s">
        <v>3162</v>
      </c>
      <c r="K420" t="s">
        <v>3163</v>
      </c>
      <c r="L420" t="s">
        <v>3163</v>
      </c>
      <c r="M420" t="s">
        <v>3164</v>
      </c>
      <c r="P420" t="s">
        <v>80</v>
      </c>
      <c r="R420" s="7">
        <v>40744</v>
      </c>
      <c r="T420" t="s">
        <v>119</v>
      </c>
      <c r="W420" s="15">
        <v>5.1244243999999997</v>
      </c>
      <c r="X420" s="15">
        <v>-76.041665399999999</v>
      </c>
      <c r="AF420" t="s">
        <v>50</v>
      </c>
      <c r="AG420" t="s">
        <v>360</v>
      </c>
      <c r="AH420" t="s">
        <v>367</v>
      </c>
      <c r="AI420" t="s">
        <v>3165</v>
      </c>
      <c r="AJ420">
        <v>452</v>
      </c>
    </row>
    <row r="421" spans="1:36">
      <c r="A421" t="s">
        <v>2207</v>
      </c>
      <c r="B421" t="s">
        <v>2208</v>
      </c>
      <c r="C421" t="s">
        <v>3166</v>
      </c>
      <c r="D421" t="s">
        <v>1837</v>
      </c>
      <c r="E421" t="s">
        <v>3167</v>
      </c>
      <c r="F421">
        <v>1783</v>
      </c>
      <c r="G421">
        <v>1783</v>
      </c>
      <c r="H421">
        <v>1783</v>
      </c>
      <c r="I421" t="s">
        <v>3168</v>
      </c>
      <c r="J421" t="s">
        <v>3169</v>
      </c>
      <c r="K421" t="s">
        <v>3170</v>
      </c>
      <c r="L421" t="s">
        <v>3171</v>
      </c>
      <c r="M421" t="s">
        <v>3172</v>
      </c>
      <c r="N421" t="s">
        <v>3173</v>
      </c>
      <c r="O421" t="s">
        <v>3174</v>
      </c>
      <c r="P421" t="s">
        <v>3175</v>
      </c>
      <c r="R421" s="7">
        <v>41019</v>
      </c>
      <c r="T421" t="s">
        <v>119</v>
      </c>
      <c r="W421" s="15">
        <v>4.72879</v>
      </c>
      <c r="X421" s="15">
        <v>-75.5779</v>
      </c>
      <c r="Y421">
        <v>611.64800000000002</v>
      </c>
      <c r="Z421">
        <v>1864</v>
      </c>
      <c r="AB421" t="s">
        <v>359</v>
      </c>
      <c r="AF421" t="s">
        <v>50</v>
      </c>
      <c r="AG421" t="s">
        <v>360</v>
      </c>
      <c r="AH421" t="s">
        <v>361</v>
      </c>
      <c r="AI421" t="s">
        <v>3176</v>
      </c>
      <c r="AJ421">
        <v>453</v>
      </c>
    </row>
    <row r="422" spans="1:36">
      <c r="A422" t="s">
        <v>2207</v>
      </c>
      <c r="B422" t="s">
        <v>2208</v>
      </c>
      <c r="C422" t="s">
        <v>3177</v>
      </c>
      <c r="D422" t="s">
        <v>1529</v>
      </c>
      <c r="E422" t="s">
        <v>3126</v>
      </c>
      <c r="F422">
        <v>1783</v>
      </c>
      <c r="G422">
        <v>1783</v>
      </c>
      <c r="H422">
        <v>1783</v>
      </c>
      <c r="I422" t="s">
        <v>3168</v>
      </c>
      <c r="J422" t="s">
        <v>3169</v>
      </c>
      <c r="K422" t="s">
        <v>3170</v>
      </c>
      <c r="L422" t="s">
        <v>3171</v>
      </c>
      <c r="M422" t="s">
        <v>3172</v>
      </c>
      <c r="N422" t="s">
        <v>3173</v>
      </c>
      <c r="O422" t="s">
        <v>3174</v>
      </c>
      <c r="P422" t="s">
        <v>3175</v>
      </c>
      <c r="R422" s="7">
        <v>41019</v>
      </c>
      <c r="T422" t="s">
        <v>119</v>
      </c>
      <c r="W422" s="15">
        <v>4.72879</v>
      </c>
      <c r="X422" s="15">
        <v>-75.5779</v>
      </c>
      <c r="Y422">
        <v>611.64800000000002</v>
      </c>
      <c r="Z422">
        <v>1864</v>
      </c>
      <c r="AB422" t="s">
        <v>359</v>
      </c>
      <c r="AF422" t="s">
        <v>50</v>
      </c>
      <c r="AG422" t="s">
        <v>360</v>
      </c>
      <c r="AH422" t="s">
        <v>361</v>
      </c>
      <c r="AI422" t="s">
        <v>3127</v>
      </c>
      <c r="AJ422">
        <v>454</v>
      </c>
    </row>
    <row r="423" spans="1:36">
      <c r="A423" t="s">
        <v>2207</v>
      </c>
      <c r="B423" t="s">
        <v>2208</v>
      </c>
      <c r="C423" t="s">
        <v>3178</v>
      </c>
      <c r="D423" t="s">
        <v>1529</v>
      </c>
      <c r="E423" t="s">
        <v>3179</v>
      </c>
      <c r="F423" t="s">
        <v>3180</v>
      </c>
      <c r="G423">
        <v>3500</v>
      </c>
      <c r="H423">
        <v>3000</v>
      </c>
      <c r="I423" t="s">
        <v>2121</v>
      </c>
      <c r="J423" t="s">
        <v>2121</v>
      </c>
      <c r="K423" t="s">
        <v>2123</v>
      </c>
      <c r="L423" t="s">
        <v>2123</v>
      </c>
      <c r="M423" t="s">
        <v>2124</v>
      </c>
      <c r="P423" t="s">
        <v>80</v>
      </c>
      <c r="R423" s="7">
        <v>40558</v>
      </c>
      <c r="T423" t="s">
        <v>119</v>
      </c>
      <c r="W423" s="15">
        <v>5.1208051000000001</v>
      </c>
      <c r="X423" s="15">
        <v>-76.059453199999993</v>
      </c>
      <c r="AF423" t="s">
        <v>50</v>
      </c>
      <c r="AG423" t="s">
        <v>360</v>
      </c>
      <c r="AH423" t="s">
        <v>367</v>
      </c>
      <c r="AI423" t="s">
        <v>3181</v>
      </c>
      <c r="AJ423">
        <v>455</v>
      </c>
    </row>
    <row r="424" spans="1:36">
      <c r="A424" t="s">
        <v>2207</v>
      </c>
      <c r="B424" t="s">
        <v>2208</v>
      </c>
      <c r="C424" t="s">
        <v>3182</v>
      </c>
      <c r="D424" t="s">
        <v>1060</v>
      </c>
      <c r="E424" t="s">
        <v>3183</v>
      </c>
      <c r="F424" t="s">
        <v>3184</v>
      </c>
      <c r="G424">
        <v>3000</v>
      </c>
      <c r="H424">
        <v>2560</v>
      </c>
      <c r="I424" t="s">
        <v>3185</v>
      </c>
      <c r="J424" t="s">
        <v>3185</v>
      </c>
      <c r="K424" t="s">
        <v>3186</v>
      </c>
      <c r="L424" t="s">
        <v>3186</v>
      </c>
      <c r="M424" t="s">
        <v>3187</v>
      </c>
      <c r="P424" t="s">
        <v>80</v>
      </c>
      <c r="R424" s="7">
        <v>40558</v>
      </c>
      <c r="T424" t="s">
        <v>119</v>
      </c>
      <c r="W424" s="15">
        <v>5.1225912999999998</v>
      </c>
      <c r="X424" s="15">
        <v>-76.045968400000007</v>
      </c>
      <c r="AF424" t="s">
        <v>50</v>
      </c>
      <c r="AG424" t="s">
        <v>360</v>
      </c>
      <c r="AH424" t="s">
        <v>367</v>
      </c>
      <c r="AI424" t="s">
        <v>3188</v>
      </c>
      <c r="AJ424">
        <v>456</v>
      </c>
    </row>
    <row r="425" spans="1:36">
      <c r="A425" t="s">
        <v>2207</v>
      </c>
      <c r="B425" t="s">
        <v>2208</v>
      </c>
      <c r="C425" t="s">
        <v>3189</v>
      </c>
      <c r="D425" t="s">
        <v>3190</v>
      </c>
      <c r="E425" t="s">
        <v>3191</v>
      </c>
      <c r="F425">
        <v>200</v>
      </c>
      <c r="G425">
        <v>200</v>
      </c>
      <c r="H425">
        <v>200</v>
      </c>
      <c r="P425" t="s">
        <v>80</v>
      </c>
      <c r="R425" s="7">
        <v>13355</v>
      </c>
      <c r="T425" t="s">
        <v>119</v>
      </c>
      <c r="W425" s="15">
        <v>6.3198699999999999</v>
      </c>
      <c r="X425" s="15">
        <v>-73.885490000000004</v>
      </c>
      <c r="Y425">
        <v>1707.425</v>
      </c>
      <c r="Z425">
        <v>807</v>
      </c>
      <c r="AB425" t="s">
        <v>3192</v>
      </c>
      <c r="AF425" t="s">
        <v>50</v>
      </c>
      <c r="AG425" t="s">
        <v>224</v>
      </c>
      <c r="AH425" t="s">
        <v>3193</v>
      </c>
      <c r="AJ425">
        <v>457</v>
      </c>
    </row>
    <row r="426" spans="1:36">
      <c r="A426" t="s">
        <v>2207</v>
      </c>
      <c r="B426" t="s">
        <v>2208</v>
      </c>
      <c r="C426" t="s">
        <v>3194</v>
      </c>
      <c r="D426" t="s">
        <v>3195</v>
      </c>
      <c r="E426" t="s">
        <v>3196</v>
      </c>
      <c r="F426">
        <v>1800</v>
      </c>
      <c r="G426">
        <v>1800</v>
      </c>
      <c r="H426">
        <v>1800</v>
      </c>
      <c r="P426" t="s">
        <v>80</v>
      </c>
      <c r="R426" s="7">
        <v>31538</v>
      </c>
      <c r="W426" s="15">
        <v>6.1062900000000004</v>
      </c>
      <c r="X426" s="15">
        <v>-73.197119999999998</v>
      </c>
      <c r="Y426">
        <v>8542.4390000000003</v>
      </c>
      <c r="Z426">
        <v>1743</v>
      </c>
      <c r="AB426" t="s">
        <v>3197</v>
      </c>
      <c r="AF426" t="s">
        <v>50</v>
      </c>
      <c r="AG426" t="s">
        <v>224</v>
      </c>
      <c r="AH426" t="s">
        <v>3198</v>
      </c>
      <c r="AJ426">
        <v>458</v>
      </c>
    </row>
    <row r="427" spans="1:36">
      <c r="A427" t="s">
        <v>2207</v>
      </c>
      <c r="B427" t="s">
        <v>2208</v>
      </c>
      <c r="C427" t="s">
        <v>3199</v>
      </c>
      <c r="D427" t="s">
        <v>3200</v>
      </c>
      <c r="E427" t="s">
        <v>3201</v>
      </c>
      <c r="F427">
        <v>2750</v>
      </c>
      <c r="G427">
        <v>2750</v>
      </c>
      <c r="H427">
        <v>2750</v>
      </c>
      <c r="P427" t="s">
        <v>80</v>
      </c>
      <c r="R427" s="7">
        <v>31862</v>
      </c>
      <c r="T427" t="s">
        <v>119</v>
      </c>
      <c r="W427" s="15">
        <v>7.2782799999999996</v>
      </c>
      <c r="X427" s="15">
        <v>-72.967309999999998</v>
      </c>
      <c r="Y427">
        <v>1828.106</v>
      </c>
      <c r="Z427">
        <v>1992</v>
      </c>
      <c r="AB427" t="s">
        <v>3202</v>
      </c>
      <c r="AF427" t="s">
        <v>50</v>
      </c>
      <c r="AG427" t="s">
        <v>224</v>
      </c>
      <c r="AH427" t="s">
        <v>3203</v>
      </c>
      <c r="AI427" t="s">
        <v>3204</v>
      </c>
      <c r="AJ427">
        <v>459</v>
      </c>
    </row>
    <row r="428" spans="1:36">
      <c r="A428" t="s">
        <v>2207</v>
      </c>
      <c r="B428" t="s">
        <v>2208</v>
      </c>
      <c r="C428" t="s">
        <v>3205</v>
      </c>
      <c r="D428" t="s">
        <v>3206</v>
      </c>
      <c r="E428" t="s">
        <v>3207</v>
      </c>
      <c r="F428" t="s">
        <v>3208</v>
      </c>
      <c r="G428">
        <v>2400</v>
      </c>
      <c r="H428">
        <v>2550</v>
      </c>
      <c r="I428" t="s">
        <v>3209</v>
      </c>
      <c r="J428" t="s">
        <v>3210</v>
      </c>
      <c r="K428" t="s">
        <v>3211</v>
      </c>
      <c r="L428" t="s">
        <v>3212</v>
      </c>
      <c r="M428" t="s">
        <v>3213</v>
      </c>
      <c r="N428" t="s">
        <v>3214</v>
      </c>
      <c r="O428" t="s">
        <v>3215</v>
      </c>
      <c r="P428" t="s">
        <v>3216</v>
      </c>
      <c r="R428" s="7">
        <v>35747</v>
      </c>
      <c r="T428" t="s">
        <v>119</v>
      </c>
      <c r="W428" s="15">
        <v>6.0166667</v>
      </c>
      <c r="X428" s="15">
        <v>-73.150000000000006</v>
      </c>
      <c r="AF428" t="s">
        <v>50</v>
      </c>
      <c r="AG428" t="s">
        <v>224</v>
      </c>
      <c r="AH428" t="s">
        <v>3217</v>
      </c>
      <c r="AI428" t="s">
        <v>3218</v>
      </c>
      <c r="AJ428">
        <v>460</v>
      </c>
    </row>
    <row r="429" spans="1:36">
      <c r="A429" t="s">
        <v>2207</v>
      </c>
      <c r="B429" t="s">
        <v>2208</v>
      </c>
      <c r="C429" t="s">
        <v>3219</v>
      </c>
      <c r="D429" t="s">
        <v>3220</v>
      </c>
      <c r="E429" t="s">
        <v>3221</v>
      </c>
      <c r="F429">
        <v>2700</v>
      </c>
      <c r="G429">
        <v>2700</v>
      </c>
      <c r="H429">
        <v>2700</v>
      </c>
      <c r="P429" t="s">
        <v>80</v>
      </c>
      <c r="R429" s="7">
        <v>29433</v>
      </c>
      <c r="T429" t="s">
        <v>119</v>
      </c>
      <c r="W429" s="15">
        <v>4.7154400000000001</v>
      </c>
      <c r="X429" s="15">
        <v>-75.136899999999997</v>
      </c>
      <c r="Y429">
        <v>1450.5989999999999</v>
      </c>
      <c r="Z429">
        <v>2827</v>
      </c>
      <c r="AB429" t="s">
        <v>3222</v>
      </c>
      <c r="AF429" t="s">
        <v>50</v>
      </c>
      <c r="AG429" t="s">
        <v>133</v>
      </c>
      <c r="AH429" t="s">
        <v>134</v>
      </c>
      <c r="AI429" t="s">
        <v>3223</v>
      </c>
      <c r="AJ429">
        <v>461</v>
      </c>
    </row>
    <row r="430" spans="1:36">
      <c r="A430" t="s">
        <v>2207</v>
      </c>
      <c r="B430" t="s">
        <v>2208</v>
      </c>
      <c r="C430" t="s">
        <v>3224</v>
      </c>
      <c r="D430" t="s">
        <v>3225</v>
      </c>
      <c r="E430" t="s">
        <v>3226</v>
      </c>
      <c r="F430">
        <v>2540</v>
      </c>
      <c r="G430">
        <v>2540</v>
      </c>
      <c r="H430">
        <v>2540</v>
      </c>
      <c r="P430" t="s">
        <v>80</v>
      </c>
      <c r="R430" s="7">
        <v>29434</v>
      </c>
      <c r="T430" t="s">
        <v>399</v>
      </c>
      <c r="W430" s="15">
        <v>4.7177100000000003</v>
      </c>
      <c r="X430" s="15">
        <v>-75.104140000000001</v>
      </c>
      <c r="Y430">
        <v>2997.92</v>
      </c>
      <c r="Z430">
        <v>2367</v>
      </c>
      <c r="AB430" t="s">
        <v>3227</v>
      </c>
      <c r="AF430" t="s">
        <v>50</v>
      </c>
      <c r="AG430" t="s">
        <v>133</v>
      </c>
      <c r="AH430" t="s">
        <v>134</v>
      </c>
      <c r="AI430" t="s">
        <v>3228</v>
      </c>
      <c r="AJ430">
        <v>462</v>
      </c>
    </row>
    <row r="431" spans="1:36">
      <c r="A431" t="s">
        <v>2207</v>
      </c>
      <c r="B431" t="s">
        <v>2208</v>
      </c>
      <c r="C431" t="s">
        <v>3229</v>
      </c>
      <c r="D431" t="s">
        <v>3230</v>
      </c>
      <c r="E431" t="s">
        <v>3231</v>
      </c>
      <c r="F431">
        <v>2340</v>
      </c>
      <c r="G431">
        <v>2340</v>
      </c>
      <c r="H431">
        <v>2340</v>
      </c>
      <c r="P431" t="s">
        <v>80</v>
      </c>
      <c r="R431" s="7">
        <v>29435</v>
      </c>
      <c r="T431" t="s">
        <v>119</v>
      </c>
      <c r="W431" s="15">
        <v>4.7177100000000003</v>
      </c>
      <c r="X431" s="15">
        <v>-75.104140000000001</v>
      </c>
      <c r="Y431">
        <v>2997.92</v>
      </c>
      <c r="Z431">
        <v>2367</v>
      </c>
      <c r="AB431" t="s">
        <v>3227</v>
      </c>
      <c r="AF431" t="s">
        <v>50</v>
      </c>
      <c r="AG431" t="s">
        <v>133</v>
      </c>
      <c r="AH431" t="s">
        <v>134</v>
      </c>
      <c r="AI431" t="s">
        <v>3232</v>
      </c>
      <c r="AJ431">
        <v>463</v>
      </c>
    </row>
    <row r="432" spans="1:36">
      <c r="A432" t="s">
        <v>2207</v>
      </c>
      <c r="B432" t="s">
        <v>2208</v>
      </c>
      <c r="C432" t="s">
        <v>3233</v>
      </c>
      <c r="D432" t="s">
        <v>3234</v>
      </c>
      <c r="E432" t="s">
        <v>3235</v>
      </c>
      <c r="F432">
        <v>2220</v>
      </c>
      <c r="G432">
        <v>2220</v>
      </c>
      <c r="H432">
        <v>2220</v>
      </c>
      <c r="P432" t="s">
        <v>80</v>
      </c>
      <c r="R432" s="7">
        <v>37707</v>
      </c>
      <c r="T432" t="s">
        <v>399</v>
      </c>
      <c r="W432" s="15">
        <v>4.8928500000000001</v>
      </c>
      <c r="X432" s="15">
        <v>-75.127200000000002</v>
      </c>
      <c r="Y432">
        <v>1458.605</v>
      </c>
      <c r="Z432">
        <v>2245</v>
      </c>
      <c r="AB432" t="s">
        <v>3236</v>
      </c>
      <c r="AF432" t="s">
        <v>50</v>
      </c>
      <c r="AG432" t="s">
        <v>133</v>
      </c>
      <c r="AH432" t="s">
        <v>957</v>
      </c>
      <c r="AI432" t="s">
        <v>3237</v>
      </c>
      <c r="AJ432">
        <v>464</v>
      </c>
    </row>
    <row r="433" spans="1:36">
      <c r="A433" t="s">
        <v>2207</v>
      </c>
      <c r="B433" t="s">
        <v>2208</v>
      </c>
      <c r="C433" t="s">
        <v>3238</v>
      </c>
      <c r="D433" t="s">
        <v>1060</v>
      </c>
      <c r="E433" t="s">
        <v>3239</v>
      </c>
      <c r="F433">
        <v>3696</v>
      </c>
      <c r="G433">
        <v>3696</v>
      </c>
      <c r="H433">
        <v>3696</v>
      </c>
      <c r="I433" t="s">
        <v>3240</v>
      </c>
      <c r="J433" t="s">
        <v>3241</v>
      </c>
      <c r="K433" t="s">
        <v>3242</v>
      </c>
      <c r="L433" t="s">
        <v>345</v>
      </c>
      <c r="M433" t="s">
        <v>3243</v>
      </c>
      <c r="N433" t="s">
        <v>347</v>
      </c>
      <c r="O433" t="s">
        <v>348</v>
      </c>
      <c r="P433" t="s">
        <v>349</v>
      </c>
      <c r="R433" s="7">
        <v>40022</v>
      </c>
      <c r="T433" t="s">
        <v>119</v>
      </c>
      <c r="W433" s="15">
        <v>4.5583499999999999</v>
      </c>
      <c r="X433" s="15">
        <v>-75.320210000000003</v>
      </c>
      <c r="Y433">
        <v>714.47500000000002</v>
      </c>
      <c r="Z433">
        <v>2033</v>
      </c>
      <c r="AB433" t="s">
        <v>350</v>
      </c>
      <c r="AF433" t="s">
        <v>50</v>
      </c>
      <c r="AG433" t="s">
        <v>133</v>
      </c>
      <c r="AH433" t="s">
        <v>351</v>
      </c>
      <c r="AI433" t="s">
        <v>3244</v>
      </c>
      <c r="AJ433">
        <v>465</v>
      </c>
    </row>
    <row r="434" spans="1:36">
      <c r="A434" t="s">
        <v>2207</v>
      </c>
      <c r="B434" t="s">
        <v>2208</v>
      </c>
      <c r="C434" t="s">
        <v>3245</v>
      </c>
      <c r="D434" t="s">
        <v>1060</v>
      </c>
      <c r="E434" t="s">
        <v>3239</v>
      </c>
      <c r="F434">
        <v>3696</v>
      </c>
      <c r="G434">
        <v>3696</v>
      </c>
      <c r="H434">
        <v>3696</v>
      </c>
      <c r="I434" t="s">
        <v>3240</v>
      </c>
      <c r="J434" t="s">
        <v>3241</v>
      </c>
      <c r="K434" t="s">
        <v>3242</v>
      </c>
      <c r="L434" t="s">
        <v>345</v>
      </c>
      <c r="M434" t="s">
        <v>3243</v>
      </c>
      <c r="N434" t="s">
        <v>347</v>
      </c>
      <c r="O434" t="s">
        <v>348</v>
      </c>
      <c r="P434" t="s">
        <v>349</v>
      </c>
      <c r="R434" s="7">
        <v>40022</v>
      </c>
      <c r="T434" t="s">
        <v>119</v>
      </c>
      <c r="W434" s="15">
        <v>4.5583499999999999</v>
      </c>
      <c r="X434" s="15">
        <v>-75.320210000000003</v>
      </c>
      <c r="Y434">
        <v>714.47500000000002</v>
      </c>
      <c r="Z434">
        <v>2033</v>
      </c>
      <c r="AB434" t="s">
        <v>350</v>
      </c>
      <c r="AF434" t="s">
        <v>50</v>
      </c>
      <c r="AG434" t="s">
        <v>133</v>
      </c>
      <c r="AH434" t="s">
        <v>351</v>
      </c>
      <c r="AI434" t="s">
        <v>3244</v>
      </c>
      <c r="AJ434">
        <v>466</v>
      </c>
    </row>
    <row r="435" spans="1:36">
      <c r="A435" t="s">
        <v>2207</v>
      </c>
      <c r="B435" t="s">
        <v>2208</v>
      </c>
      <c r="C435" t="s">
        <v>3246</v>
      </c>
      <c r="D435" t="s">
        <v>3247</v>
      </c>
      <c r="E435" t="s">
        <v>3248</v>
      </c>
      <c r="F435" t="s">
        <v>3249</v>
      </c>
      <c r="G435">
        <v>1700</v>
      </c>
      <c r="H435">
        <v>1850</v>
      </c>
      <c r="P435" t="s">
        <v>80</v>
      </c>
      <c r="R435" s="7">
        <v>14303</v>
      </c>
      <c r="T435" t="s">
        <v>111</v>
      </c>
      <c r="W435" s="15">
        <v>3.43452</v>
      </c>
      <c r="X435" s="15">
        <v>-76.602419999999995</v>
      </c>
      <c r="Y435">
        <v>812.649</v>
      </c>
      <c r="Z435">
        <v>1640</v>
      </c>
      <c r="AB435" t="s">
        <v>3250</v>
      </c>
      <c r="AF435" t="s">
        <v>50</v>
      </c>
      <c r="AG435" t="s">
        <v>3251</v>
      </c>
      <c r="AH435" t="s">
        <v>3252</v>
      </c>
      <c r="AI435" t="s">
        <v>3253</v>
      </c>
      <c r="AJ435">
        <v>467</v>
      </c>
    </row>
    <row r="436" spans="1:36">
      <c r="A436" t="s">
        <v>2207</v>
      </c>
      <c r="B436" t="s">
        <v>2208</v>
      </c>
      <c r="C436" t="s">
        <v>3254</v>
      </c>
      <c r="D436" t="s">
        <v>3255</v>
      </c>
      <c r="E436" t="s">
        <v>3256</v>
      </c>
      <c r="F436">
        <v>580</v>
      </c>
      <c r="G436">
        <v>580</v>
      </c>
      <c r="H436">
        <v>580</v>
      </c>
      <c r="I436" t="s">
        <v>3257</v>
      </c>
      <c r="J436" t="s">
        <v>3257</v>
      </c>
      <c r="K436" t="s">
        <v>3258</v>
      </c>
      <c r="L436" t="s">
        <v>3258</v>
      </c>
      <c r="M436" t="s">
        <v>3259</v>
      </c>
      <c r="N436" t="s">
        <v>3260</v>
      </c>
      <c r="O436" t="s">
        <v>3261</v>
      </c>
      <c r="P436" t="s">
        <v>3262</v>
      </c>
      <c r="R436" s="7">
        <v>30719</v>
      </c>
      <c r="T436" t="s">
        <v>111</v>
      </c>
      <c r="W436" s="15">
        <v>3.5</v>
      </c>
      <c r="X436" s="15">
        <v>-76.866666699999996</v>
      </c>
      <c r="AF436" t="s">
        <v>50</v>
      </c>
      <c r="AG436" t="s">
        <v>3251</v>
      </c>
      <c r="AH436" t="s">
        <v>3263</v>
      </c>
      <c r="AI436" t="s">
        <v>3264</v>
      </c>
      <c r="AJ436">
        <v>468</v>
      </c>
    </row>
    <row r="437" spans="1:36">
      <c r="A437" t="s">
        <v>2207</v>
      </c>
      <c r="B437" t="s">
        <v>2208</v>
      </c>
      <c r="C437" t="s">
        <v>3265</v>
      </c>
      <c r="D437" t="s">
        <v>3266</v>
      </c>
      <c r="E437" t="s">
        <v>3267</v>
      </c>
      <c r="F437">
        <v>2000</v>
      </c>
      <c r="G437">
        <v>2000</v>
      </c>
      <c r="H437">
        <v>2000</v>
      </c>
      <c r="P437" t="s">
        <v>80</v>
      </c>
      <c r="R437" s="7">
        <v>14032</v>
      </c>
      <c r="T437" t="s">
        <v>119</v>
      </c>
      <c r="W437" s="15">
        <v>3.4614400000000001</v>
      </c>
      <c r="X437" s="15">
        <v>-76.637479999999996</v>
      </c>
      <c r="Y437">
        <v>4256.1009999999997</v>
      </c>
      <c r="Z437">
        <v>1800</v>
      </c>
      <c r="AB437" t="s">
        <v>3268</v>
      </c>
      <c r="AF437" t="s">
        <v>50</v>
      </c>
      <c r="AG437" t="s">
        <v>83</v>
      </c>
      <c r="AH437" t="s">
        <v>3269</v>
      </c>
      <c r="AI437" t="s">
        <v>3270</v>
      </c>
      <c r="AJ437">
        <v>469</v>
      </c>
    </row>
    <row r="438" spans="1:36">
      <c r="A438" t="s">
        <v>2207</v>
      </c>
      <c r="B438" t="s">
        <v>2208</v>
      </c>
      <c r="C438" t="s">
        <v>3271</v>
      </c>
      <c r="D438" t="s">
        <v>3272</v>
      </c>
      <c r="E438" t="s">
        <v>3273</v>
      </c>
      <c r="P438" t="s">
        <v>80</v>
      </c>
      <c r="R438" s="7">
        <v>27935</v>
      </c>
      <c r="T438" t="s">
        <v>65</v>
      </c>
      <c r="W438" s="15">
        <v>3.7411400000000001</v>
      </c>
      <c r="X438" s="15">
        <v>-76.967410000000001</v>
      </c>
      <c r="Y438">
        <v>678.31</v>
      </c>
      <c r="Z438">
        <v>31</v>
      </c>
      <c r="AB438" t="s">
        <v>3274</v>
      </c>
      <c r="AF438" t="s">
        <v>50</v>
      </c>
      <c r="AG438" t="s">
        <v>83</v>
      </c>
      <c r="AH438" t="s">
        <v>3275</v>
      </c>
      <c r="AI438" t="s">
        <v>3276</v>
      </c>
      <c r="AJ438">
        <v>470</v>
      </c>
    </row>
    <row r="439" spans="1:36">
      <c r="A439" t="s">
        <v>2207</v>
      </c>
      <c r="B439" t="s">
        <v>2208</v>
      </c>
      <c r="C439" t="s">
        <v>3277</v>
      </c>
      <c r="D439" t="s">
        <v>3278</v>
      </c>
      <c r="E439" t="s">
        <v>3279</v>
      </c>
      <c r="F439">
        <v>1800</v>
      </c>
      <c r="G439">
        <v>1800</v>
      </c>
      <c r="H439">
        <v>1800</v>
      </c>
      <c r="P439" t="s">
        <v>80</v>
      </c>
      <c r="R439" s="7">
        <v>28615</v>
      </c>
      <c r="T439" t="s">
        <v>119</v>
      </c>
      <c r="W439" s="15">
        <v>3.4358</v>
      </c>
      <c r="X439" s="15">
        <v>-76.640969999999996</v>
      </c>
      <c r="Y439">
        <v>1528.002</v>
      </c>
      <c r="Z439">
        <v>1859</v>
      </c>
      <c r="AB439" t="s">
        <v>3280</v>
      </c>
      <c r="AF439" t="s">
        <v>50</v>
      </c>
      <c r="AG439" t="s">
        <v>83</v>
      </c>
      <c r="AH439" t="s">
        <v>3281</v>
      </c>
      <c r="AI439" t="s">
        <v>3282</v>
      </c>
      <c r="AJ439">
        <v>471</v>
      </c>
    </row>
    <row r="440" spans="1:36">
      <c r="A440" t="s">
        <v>2207</v>
      </c>
      <c r="B440" t="s">
        <v>2208</v>
      </c>
      <c r="C440" t="s">
        <v>3283</v>
      </c>
      <c r="D440" t="s">
        <v>3284</v>
      </c>
      <c r="E440" t="s">
        <v>3285</v>
      </c>
      <c r="F440">
        <v>2800</v>
      </c>
      <c r="G440">
        <v>2800</v>
      </c>
      <c r="H440">
        <v>2800</v>
      </c>
      <c r="P440" t="s">
        <v>80</v>
      </c>
      <c r="R440" s="7">
        <v>33057</v>
      </c>
      <c r="T440" t="s">
        <v>119</v>
      </c>
      <c r="W440" s="15">
        <v>3.5057900000000002</v>
      </c>
      <c r="X440" s="15">
        <v>-76.104259999999996</v>
      </c>
      <c r="Y440">
        <v>507.92</v>
      </c>
      <c r="Z440">
        <v>2847</v>
      </c>
      <c r="AB440" t="s">
        <v>3286</v>
      </c>
      <c r="AF440" t="s">
        <v>50</v>
      </c>
      <c r="AG440" t="s">
        <v>83</v>
      </c>
      <c r="AH440" t="s">
        <v>3287</v>
      </c>
      <c r="AI440" t="s">
        <v>3288</v>
      </c>
      <c r="AJ440">
        <v>472</v>
      </c>
    </row>
    <row r="441" spans="1:36">
      <c r="A441" t="s">
        <v>2207</v>
      </c>
      <c r="B441" t="s">
        <v>2208</v>
      </c>
      <c r="C441" t="s">
        <v>3289</v>
      </c>
      <c r="D441" t="s">
        <v>1060</v>
      </c>
      <c r="E441" t="s">
        <v>3290</v>
      </c>
      <c r="F441">
        <v>2000</v>
      </c>
      <c r="G441">
        <v>2000</v>
      </c>
      <c r="H441">
        <v>2000</v>
      </c>
      <c r="P441" t="s">
        <v>80</v>
      </c>
      <c r="R441" s="7">
        <v>39815</v>
      </c>
      <c r="T441" t="s">
        <v>3138</v>
      </c>
      <c r="W441" s="15">
        <v>3.34415</v>
      </c>
      <c r="X441" s="15">
        <v>-76.695809999999994</v>
      </c>
      <c r="Y441">
        <v>916.18299999999999</v>
      </c>
      <c r="Z441">
        <v>3944</v>
      </c>
      <c r="AB441" t="s">
        <v>3291</v>
      </c>
      <c r="AF441" t="s">
        <v>50</v>
      </c>
      <c r="AG441" t="s">
        <v>83</v>
      </c>
      <c r="AH441" t="s">
        <v>3292</v>
      </c>
      <c r="AI441" t="s">
        <v>3293</v>
      </c>
      <c r="AJ441">
        <v>473</v>
      </c>
    </row>
    <row r="442" spans="1:36">
      <c r="A442" t="s">
        <v>2207</v>
      </c>
      <c r="B442" t="s">
        <v>2208</v>
      </c>
      <c r="C442" t="s">
        <v>3294</v>
      </c>
      <c r="D442" t="s">
        <v>1529</v>
      </c>
      <c r="E442" t="s">
        <v>3295</v>
      </c>
      <c r="F442" t="s">
        <v>1913</v>
      </c>
      <c r="G442">
        <v>2500</v>
      </c>
      <c r="H442">
        <v>3000</v>
      </c>
      <c r="P442" t="s">
        <v>80</v>
      </c>
      <c r="R442" s="7">
        <v>39815</v>
      </c>
      <c r="T442" t="s">
        <v>119</v>
      </c>
      <c r="W442" s="15">
        <v>3.34415</v>
      </c>
      <c r="X442" s="15">
        <v>-76.695809999999994</v>
      </c>
      <c r="Y442">
        <v>916.18299999999999</v>
      </c>
      <c r="Z442">
        <v>3944</v>
      </c>
      <c r="AB442" t="s">
        <v>3291</v>
      </c>
      <c r="AF442" t="s">
        <v>50</v>
      </c>
      <c r="AG442" t="s">
        <v>83</v>
      </c>
      <c r="AH442" t="s">
        <v>3296</v>
      </c>
      <c r="AI442" t="s">
        <v>3297</v>
      </c>
      <c r="AJ442">
        <v>474</v>
      </c>
    </row>
    <row r="443" spans="1:36">
      <c r="A443" t="s">
        <v>3298</v>
      </c>
      <c r="B443" t="s">
        <v>3299</v>
      </c>
      <c r="C443" t="s">
        <v>3300</v>
      </c>
      <c r="D443" t="s">
        <v>3301</v>
      </c>
      <c r="E443" t="s">
        <v>3302</v>
      </c>
      <c r="F443">
        <v>2680</v>
      </c>
      <c r="G443">
        <v>2680</v>
      </c>
      <c r="H443">
        <v>2680</v>
      </c>
      <c r="I443" t="s">
        <v>3303</v>
      </c>
      <c r="J443" t="s">
        <v>3303</v>
      </c>
      <c r="K443" t="s">
        <v>3304</v>
      </c>
      <c r="L443" t="s">
        <v>3304</v>
      </c>
      <c r="M443" t="s">
        <v>3305</v>
      </c>
      <c r="N443" t="s">
        <v>2309</v>
      </c>
      <c r="O443" t="s">
        <v>2310</v>
      </c>
      <c r="P443" t="s">
        <v>2311</v>
      </c>
      <c r="R443" s="7">
        <v>31965</v>
      </c>
      <c r="T443" t="s">
        <v>1863</v>
      </c>
      <c r="W443" s="15">
        <v>5.6833333000000001</v>
      </c>
      <c r="X443" s="15">
        <v>-75.233333299999998</v>
      </c>
      <c r="AF443" t="s">
        <v>50</v>
      </c>
      <c r="AG443" t="s">
        <v>402</v>
      </c>
      <c r="AH443" t="s">
        <v>3306</v>
      </c>
      <c r="AI443" t="s">
        <v>3307</v>
      </c>
      <c r="AJ443">
        <v>475</v>
      </c>
    </row>
    <row r="444" spans="1:36">
      <c r="A444" t="s">
        <v>3298</v>
      </c>
      <c r="B444" t="s">
        <v>3299</v>
      </c>
      <c r="C444" t="s">
        <v>3308</v>
      </c>
      <c r="D444" t="s">
        <v>3309</v>
      </c>
      <c r="E444" t="s">
        <v>3310</v>
      </c>
      <c r="F444">
        <v>1815</v>
      </c>
      <c r="G444">
        <v>1815</v>
      </c>
      <c r="H444">
        <v>1815</v>
      </c>
      <c r="I444" t="s">
        <v>3311</v>
      </c>
      <c r="J444" t="s">
        <v>3311</v>
      </c>
      <c r="K444" t="s">
        <v>3312</v>
      </c>
      <c r="L444" t="s">
        <v>3312</v>
      </c>
      <c r="M444" t="s">
        <v>3313</v>
      </c>
      <c r="N444" t="s">
        <v>3314</v>
      </c>
      <c r="O444" t="s">
        <v>3315</v>
      </c>
      <c r="P444" t="s">
        <v>3316</v>
      </c>
      <c r="R444" s="7">
        <v>37891</v>
      </c>
      <c r="T444" t="s">
        <v>1863</v>
      </c>
      <c r="W444" s="15">
        <v>6.9876667000000001</v>
      </c>
      <c r="X444" s="15">
        <v>-75.143222199999997</v>
      </c>
      <c r="AF444" t="s">
        <v>50</v>
      </c>
      <c r="AG444" t="s">
        <v>402</v>
      </c>
      <c r="AH444" t="s">
        <v>1186</v>
      </c>
      <c r="AI444" t="s">
        <v>3317</v>
      </c>
      <c r="AJ444">
        <v>476</v>
      </c>
    </row>
    <row r="445" spans="1:36" s="2" customFormat="1">
      <c r="A445" t="s">
        <v>3318</v>
      </c>
      <c r="B445" t="s">
        <v>3299</v>
      </c>
      <c r="C445" t="s">
        <v>3319</v>
      </c>
      <c r="D445" t="s">
        <v>3320</v>
      </c>
      <c r="E445" t="s">
        <v>3321</v>
      </c>
      <c r="F445">
        <v>2486</v>
      </c>
      <c r="G445">
        <v>2486</v>
      </c>
      <c r="H445">
        <v>2486</v>
      </c>
      <c r="I445" t="s">
        <v>3322</v>
      </c>
      <c r="J445" t="s">
        <v>3323</v>
      </c>
      <c r="K445" t="s">
        <v>3324</v>
      </c>
      <c r="L445" t="s">
        <v>3325</v>
      </c>
      <c r="M445" t="s">
        <v>3326</v>
      </c>
      <c r="N445" t="s">
        <v>3327</v>
      </c>
      <c r="O445" t="s">
        <v>3328</v>
      </c>
      <c r="P445" t="s">
        <v>3329</v>
      </c>
      <c r="Q445"/>
      <c r="R445" s="7">
        <v>13850</v>
      </c>
      <c r="S445"/>
      <c r="T445"/>
      <c r="U445"/>
      <c r="V445"/>
      <c r="W445" s="15">
        <v>6.4627777999999996</v>
      </c>
      <c r="X445" s="15">
        <v>-75.556388900000002</v>
      </c>
      <c r="Y445"/>
      <c r="Z445"/>
      <c r="AA445"/>
      <c r="AB445"/>
      <c r="AC445"/>
      <c r="AD445"/>
      <c r="AE445"/>
      <c r="AF445" t="s">
        <v>50</v>
      </c>
      <c r="AG445" t="s">
        <v>402</v>
      </c>
      <c r="AH445" t="s">
        <v>3330</v>
      </c>
      <c r="AI445"/>
      <c r="AJ445">
        <v>477</v>
      </c>
    </row>
    <row r="446" spans="1:36">
      <c r="A446" t="s">
        <v>3318</v>
      </c>
      <c r="B446" t="s">
        <v>3299</v>
      </c>
      <c r="C446" t="s">
        <v>3331</v>
      </c>
      <c r="D446" t="s">
        <v>3332</v>
      </c>
      <c r="E446" t="s">
        <v>3333</v>
      </c>
      <c r="F446">
        <v>1850</v>
      </c>
      <c r="G446">
        <v>1850</v>
      </c>
      <c r="H446">
        <v>1850</v>
      </c>
      <c r="I446" t="s">
        <v>2381</v>
      </c>
      <c r="J446" t="s">
        <v>2382</v>
      </c>
      <c r="K446" t="s">
        <v>2383</v>
      </c>
      <c r="L446" t="s">
        <v>2384</v>
      </c>
      <c r="M446" t="s">
        <v>2385</v>
      </c>
      <c r="N446" t="s">
        <v>532</v>
      </c>
      <c r="O446" t="s">
        <v>2365</v>
      </c>
      <c r="P446" t="s">
        <v>2366</v>
      </c>
      <c r="R446" s="7">
        <v>25542</v>
      </c>
      <c r="W446" s="15">
        <v>6.3112199999999996</v>
      </c>
      <c r="X446" s="15">
        <v>-75.146090000000001</v>
      </c>
      <c r="Y446">
        <v>2681.63</v>
      </c>
      <c r="Z446">
        <v>1854</v>
      </c>
      <c r="AB446" t="s">
        <v>2229</v>
      </c>
      <c r="AF446" t="s">
        <v>50</v>
      </c>
      <c r="AG446" t="s">
        <v>402</v>
      </c>
      <c r="AH446" t="s">
        <v>2230</v>
      </c>
      <c r="AI446" t="s">
        <v>3334</v>
      </c>
      <c r="AJ446">
        <v>478</v>
      </c>
    </row>
    <row r="447" spans="1:36">
      <c r="A447" t="s">
        <v>3318</v>
      </c>
      <c r="B447" t="s">
        <v>3299</v>
      </c>
      <c r="C447" t="s">
        <v>3335</v>
      </c>
      <c r="D447" t="s">
        <v>3336</v>
      </c>
      <c r="E447" t="s">
        <v>3337</v>
      </c>
      <c r="F447">
        <v>2160</v>
      </c>
      <c r="G447">
        <v>2160</v>
      </c>
      <c r="H447">
        <v>2160</v>
      </c>
      <c r="I447" t="s">
        <v>3338</v>
      </c>
      <c r="J447" t="s">
        <v>3339</v>
      </c>
      <c r="K447" t="s">
        <v>3340</v>
      </c>
      <c r="L447" t="s">
        <v>3341</v>
      </c>
      <c r="M447" t="s">
        <v>3342</v>
      </c>
      <c r="N447" t="s">
        <v>3343</v>
      </c>
      <c r="O447" t="s">
        <v>3344</v>
      </c>
      <c r="P447" t="s">
        <v>3345</v>
      </c>
      <c r="R447" s="7">
        <v>27944</v>
      </c>
      <c r="T447" t="s">
        <v>119</v>
      </c>
      <c r="W447" s="15">
        <v>6.1470000000000002</v>
      </c>
      <c r="X447" s="15">
        <v>-75.188000000000002</v>
      </c>
      <c r="AF447" t="s">
        <v>50</v>
      </c>
      <c r="AG447" t="s">
        <v>402</v>
      </c>
      <c r="AH447" t="s">
        <v>3346</v>
      </c>
      <c r="AJ447">
        <v>479</v>
      </c>
    </row>
    <row r="448" spans="1:36">
      <c r="A448" t="s">
        <v>3318</v>
      </c>
      <c r="B448" t="s">
        <v>3299</v>
      </c>
      <c r="C448" t="s">
        <v>3335</v>
      </c>
      <c r="D448" t="s">
        <v>3347</v>
      </c>
      <c r="E448" t="s">
        <v>3337</v>
      </c>
      <c r="F448">
        <v>2160</v>
      </c>
      <c r="G448">
        <v>2160</v>
      </c>
      <c r="H448">
        <v>2160</v>
      </c>
      <c r="I448" t="s">
        <v>3338</v>
      </c>
      <c r="J448" t="s">
        <v>3339</v>
      </c>
      <c r="K448" t="s">
        <v>3340</v>
      </c>
      <c r="L448" t="s">
        <v>3341</v>
      </c>
      <c r="M448" t="s">
        <v>3342</v>
      </c>
      <c r="N448" t="s">
        <v>3343</v>
      </c>
      <c r="O448" t="s">
        <v>3344</v>
      </c>
      <c r="P448" t="s">
        <v>3345</v>
      </c>
      <c r="R448" s="7">
        <v>27944</v>
      </c>
      <c r="W448" s="15">
        <v>6.1470000000000002</v>
      </c>
      <c r="X448" s="15">
        <v>-75.188000000000002</v>
      </c>
      <c r="AF448" t="s">
        <v>50</v>
      </c>
      <c r="AG448" t="s">
        <v>402</v>
      </c>
      <c r="AH448" t="s">
        <v>3346</v>
      </c>
      <c r="AJ448">
        <v>480</v>
      </c>
    </row>
    <row r="449" spans="1:36">
      <c r="A449" t="s">
        <v>3318</v>
      </c>
      <c r="B449" t="s">
        <v>3299</v>
      </c>
      <c r="C449" t="s">
        <v>3348</v>
      </c>
      <c r="D449" t="s">
        <v>3349</v>
      </c>
      <c r="E449" t="s">
        <v>3350</v>
      </c>
      <c r="P449" t="s">
        <v>80</v>
      </c>
      <c r="R449" s="7">
        <v>28035</v>
      </c>
      <c r="W449" s="15">
        <v>5.42103</v>
      </c>
      <c r="X449" s="15">
        <v>-73.544179999999997</v>
      </c>
      <c r="Y449">
        <v>653.03899999999999</v>
      </c>
      <c r="Z449">
        <v>3284</v>
      </c>
      <c r="AB449" t="s">
        <v>3351</v>
      </c>
      <c r="AF449" t="s">
        <v>50</v>
      </c>
      <c r="AG449" t="s">
        <v>90</v>
      </c>
      <c r="AH449" t="s">
        <v>3352</v>
      </c>
      <c r="AI449" t="s">
        <v>3353</v>
      </c>
      <c r="AJ449">
        <v>481</v>
      </c>
    </row>
    <row r="450" spans="1:36">
      <c r="A450" t="s">
        <v>3318</v>
      </c>
      <c r="B450" t="s">
        <v>3299</v>
      </c>
      <c r="C450" t="s">
        <v>3354</v>
      </c>
      <c r="D450" t="s">
        <v>3355</v>
      </c>
      <c r="E450" t="s">
        <v>3356</v>
      </c>
      <c r="F450">
        <v>2250</v>
      </c>
      <c r="G450">
        <v>2250</v>
      </c>
      <c r="H450">
        <v>2250</v>
      </c>
      <c r="I450" t="s">
        <v>3357</v>
      </c>
      <c r="J450" t="s">
        <v>3358</v>
      </c>
      <c r="K450" t="s">
        <v>3359</v>
      </c>
      <c r="L450" t="s">
        <v>476</v>
      </c>
      <c r="M450" t="s">
        <v>3360</v>
      </c>
      <c r="N450" t="s">
        <v>478</v>
      </c>
      <c r="O450" t="s">
        <v>479</v>
      </c>
      <c r="P450" t="s">
        <v>480</v>
      </c>
      <c r="R450" s="7">
        <v>28307</v>
      </c>
      <c r="W450" s="15">
        <v>6.17624</v>
      </c>
      <c r="X450" s="15">
        <v>-75.457849999999993</v>
      </c>
      <c r="Y450">
        <v>474.19</v>
      </c>
      <c r="AA450" t="s">
        <v>467</v>
      </c>
      <c r="AB450" t="s">
        <v>468</v>
      </c>
      <c r="AF450" t="s">
        <v>50</v>
      </c>
      <c r="AG450" t="s">
        <v>402</v>
      </c>
      <c r="AH450" t="s">
        <v>3361</v>
      </c>
      <c r="AI450" t="s">
        <v>3362</v>
      </c>
      <c r="AJ450">
        <v>482</v>
      </c>
    </row>
    <row r="451" spans="1:36">
      <c r="A451" t="s">
        <v>3318</v>
      </c>
      <c r="B451" t="s">
        <v>3299</v>
      </c>
      <c r="C451" t="s">
        <v>3363</v>
      </c>
      <c r="D451" t="s">
        <v>3364</v>
      </c>
      <c r="E451" t="s">
        <v>3356</v>
      </c>
      <c r="F451">
        <v>2250</v>
      </c>
      <c r="G451">
        <v>2250</v>
      </c>
      <c r="H451">
        <v>2250</v>
      </c>
      <c r="I451" t="s">
        <v>3357</v>
      </c>
      <c r="J451" t="s">
        <v>3358</v>
      </c>
      <c r="K451" t="s">
        <v>3359</v>
      </c>
      <c r="L451" t="s">
        <v>476</v>
      </c>
      <c r="M451" t="s">
        <v>3360</v>
      </c>
      <c r="N451" t="s">
        <v>478</v>
      </c>
      <c r="O451" t="s">
        <v>479</v>
      </c>
      <c r="P451" t="s">
        <v>480</v>
      </c>
      <c r="R451" s="7">
        <v>28307</v>
      </c>
      <c r="W451" s="15">
        <v>6.17624</v>
      </c>
      <c r="X451" s="15">
        <v>-75.457849999999993</v>
      </c>
      <c r="Y451">
        <v>474.19</v>
      </c>
      <c r="AA451" t="s">
        <v>467</v>
      </c>
      <c r="AB451" t="s">
        <v>468</v>
      </c>
      <c r="AF451" t="s">
        <v>50</v>
      </c>
      <c r="AG451" t="s">
        <v>402</v>
      </c>
      <c r="AH451" t="s">
        <v>3361</v>
      </c>
      <c r="AI451" t="s">
        <v>3362</v>
      </c>
      <c r="AJ451">
        <v>483</v>
      </c>
    </row>
    <row r="452" spans="1:36">
      <c r="A452" t="s">
        <v>3318</v>
      </c>
      <c r="B452" t="s">
        <v>3299</v>
      </c>
      <c r="C452" t="s">
        <v>3365</v>
      </c>
      <c r="D452" t="s">
        <v>3366</v>
      </c>
      <c r="E452" t="s">
        <v>3367</v>
      </c>
      <c r="F452">
        <v>2300</v>
      </c>
      <c r="G452">
        <v>2300</v>
      </c>
      <c r="H452">
        <v>2300</v>
      </c>
      <c r="P452" t="s">
        <v>80</v>
      </c>
      <c r="R452" s="7">
        <v>29792</v>
      </c>
      <c r="W452" s="15">
        <v>4.1172199999999997</v>
      </c>
      <c r="X452" s="15">
        <v>-74.440619999999996</v>
      </c>
      <c r="Y452">
        <v>973.67399999999998</v>
      </c>
      <c r="Z452">
        <v>2157</v>
      </c>
      <c r="AB452" t="s">
        <v>3368</v>
      </c>
      <c r="AF452" t="s">
        <v>50</v>
      </c>
      <c r="AG452" t="s">
        <v>98</v>
      </c>
      <c r="AH452" t="s">
        <v>2050</v>
      </c>
      <c r="AI452" t="s">
        <v>3369</v>
      </c>
      <c r="AJ452">
        <v>485</v>
      </c>
    </row>
    <row r="453" spans="1:36">
      <c r="A453" t="s">
        <v>3318</v>
      </c>
      <c r="B453" t="s">
        <v>3299</v>
      </c>
      <c r="C453" t="s">
        <v>3370</v>
      </c>
      <c r="D453" t="s">
        <v>3371</v>
      </c>
      <c r="E453" t="s">
        <v>3372</v>
      </c>
      <c r="F453">
        <v>1890</v>
      </c>
      <c r="G453">
        <v>1890</v>
      </c>
      <c r="H453">
        <v>1890</v>
      </c>
      <c r="I453" t="s">
        <v>3373</v>
      </c>
      <c r="J453" t="s">
        <v>3374</v>
      </c>
      <c r="K453" t="s">
        <v>3375</v>
      </c>
      <c r="L453" t="s">
        <v>3376</v>
      </c>
      <c r="M453" t="s">
        <v>3377</v>
      </c>
      <c r="N453" t="s">
        <v>3378</v>
      </c>
      <c r="O453" t="s">
        <v>3379</v>
      </c>
      <c r="P453" t="s">
        <v>3380</v>
      </c>
      <c r="R453" s="7">
        <v>30225</v>
      </c>
      <c r="W453" s="15">
        <v>6.3112199999999996</v>
      </c>
      <c r="X453" s="15">
        <v>-75.146090000000001</v>
      </c>
      <c r="Y453">
        <v>2681.63</v>
      </c>
      <c r="Z453">
        <v>1854</v>
      </c>
      <c r="AB453" t="s">
        <v>2229</v>
      </c>
      <c r="AF453" t="s">
        <v>50</v>
      </c>
      <c r="AG453" t="s">
        <v>402</v>
      </c>
      <c r="AH453" t="s">
        <v>2230</v>
      </c>
      <c r="AI453" t="s">
        <v>3381</v>
      </c>
      <c r="AJ453">
        <v>486</v>
      </c>
    </row>
    <row r="454" spans="1:36">
      <c r="A454" t="s">
        <v>3318</v>
      </c>
      <c r="B454" t="s">
        <v>3299</v>
      </c>
      <c r="C454" t="s">
        <v>3382</v>
      </c>
      <c r="D454" t="s">
        <v>3383</v>
      </c>
      <c r="E454" t="s">
        <v>3384</v>
      </c>
      <c r="F454">
        <v>1850</v>
      </c>
      <c r="G454">
        <v>1850</v>
      </c>
      <c r="H454">
        <v>1850</v>
      </c>
      <c r="I454" t="s">
        <v>3385</v>
      </c>
      <c r="J454" t="s">
        <v>3386</v>
      </c>
      <c r="K454" t="s">
        <v>3387</v>
      </c>
      <c r="L454" t="s">
        <v>3388</v>
      </c>
      <c r="M454" t="s">
        <v>3389</v>
      </c>
      <c r="N454" t="s">
        <v>3390</v>
      </c>
      <c r="O454" t="s">
        <v>3391</v>
      </c>
      <c r="P454" t="s">
        <v>3392</v>
      </c>
      <c r="R454" s="7">
        <v>31120</v>
      </c>
      <c r="W454" s="15">
        <v>6.3112199999999996</v>
      </c>
      <c r="X454" s="15">
        <v>-75.146090000000001</v>
      </c>
      <c r="Y454">
        <v>2681.63</v>
      </c>
      <c r="Z454">
        <v>1854</v>
      </c>
      <c r="AB454" t="s">
        <v>2229</v>
      </c>
      <c r="AF454" t="s">
        <v>50</v>
      </c>
      <c r="AG454" t="s">
        <v>402</v>
      </c>
      <c r="AH454" t="s">
        <v>2276</v>
      </c>
      <c r="AI454" t="s">
        <v>3393</v>
      </c>
      <c r="AJ454">
        <v>487</v>
      </c>
    </row>
    <row r="455" spans="1:36">
      <c r="A455" t="s">
        <v>3318</v>
      </c>
      <c r="B455" t="s">
        <v>3299</v>
      </c>
      <c r="C455" t="s">
        <v>3394</v>
      </c>
      <c r="D455" t="s">
        <v>3395</v>
      </c>
      <c r="E455" t="s">
        <v>3396</v>
      </c>
      <c r="F455">
        <v>1850</v>
      </c>
      <c r="G455">
        <v>1850</v>
      </c>
      <c r="H455">
        <v>1850</v>
      </c>
      <c r="I455" t="s">
        <v>2381</v>
      </c>
      <c r="J455" t="s">
        <v>2382</v>
      </c>
      <c r="K455" t="s">
        <v>2383</v>
      </c>
      <c r="L455" t="s">
        <v>2384</v>
      </c>
      <c r="M455" t="s">
        <v>2385</v>
      </c>
      <c r="N455" t="s">
        <v>532</v>
      </c>
      <c r="O455" t="s">
        <v>2365</v>
      </c>
      <c r="P455" t="s">
        <v>2366</v>
      </c>
      <c r="R455" s="7">
        <v>31491</v>
      </c>
      <c r="W455" s="15">
        <v>6.3112199999999996</v>
      </c>
      <c r="X455" s="15">
        <v>-75.146090000000001</v>
      </c>
      <c r="Y455">
        <v>2681.63</v>
      </c>
      <c r="Z455">
        <v>1854</v>
      </c>
      <c r="AB455" t="s">
        <v>2229</v>
      </c>
      <c r="AF455" t="s">
        <v>50</v>
      </c>
      <c r="AG455" t="s">
        <v>402</v>
      </c>
      <c r="AH455" t="s">
        <v>2230</v>
      </c>
      <c r="AI455" t="s">
        <v>3397</v>
      </c>
      <c r="AJ455">
        <v>488</v>
      </c>
    </row>
    <row r="456" spans="1:36">
      <c r="A456" t="s">
        <v>3318</v>
      </c>
      <c r="B456" t="s">
        <v>3299</v>
      </c>
      <c r="C456" t="s">
        <v>3398</v>
      </c>
      <c r="D456" t="s">
        <v>3399</v>
      </c>
      <c r="E456" t="s">
        <v>3400</v>
      </c>
      <c r="F456">
        <v>2600</v>
      </c>
      <c r="G456">
        <v>2600</v>
      </c>
      <c r="H456">
        <v>2600</v>
      </c>
      <c r="P456" t="s">
        <v>80</v>
      </c>
      <c r="R456" s="7">
        <v>31868</v>
      </c>
      <c r="W456" s="15">
        <v>7.4399300000000004</v>
      </c>
      <c r="X456" s="15">
        <v>-72.450950000000006</v>
      </c>
      <c r="Y456">
        <v>840.05700000000002</v>
      </c>
      <c r="Z456">
        <v>2492</v>
      </c>
      <c r="AB456" t="s">
        <v>3401</v>
      </c>
      <c r="AF456" t="s">
        <v>50</v>
      </c>
      <c r="AG456" t="s">
        <v>1306</v>
      </c>
      <c r="AH456" t="s">
        <v>3402</v>
      </c>
      <c r="AI456" t="s">
        <v>3403</v>
      </c>
      <c r="AJ456">
        <v>489</v>
      </c>
    </row>
    <row r="457" spans="1:36">
      <c r="A457" t="s">
        <v>3318</v>
      </c>
      <c r="B457" t="s">
        <v>3299</v>
      </c>
      <c r="C457" t="s">
        <v>3404</v>
      </c>
      <c r="D457" t="s">
        <v>3405</v>
      </c>
      <c r="E457" t="s">
        <v>3406</v>
      </c>
      <c r="F457" t="s">
        <v>2286</v>
      </c>
      <c r="G457">
        <v>1600</v>
      </c>
      <c r="H457">
        <v>1700</v>
      </c>
      <c r="I457" t="s">
        <v>2381</v>
      </c>
      <c r="J457" t="s">
        <v>2382</v>
      </c>
      <c r="K457" t="s">
        <v>2089</v>
      </c>
      <c r="L457" t="s">
        <v>2090</v>
      </c>
      <c r="M457" t="s">
        <v>3407</v>
      </c>
      <c r="P457" t="s">
        <v>80</v>
      </c>
      <c r="R457" s="7">
        <v>31920</v>
      </c>
      <c r="W457" s="15">
        <v>6.2615299999999996</v>
      </c>
      <c r="X457" s="15">
        <v>-75.522369999999995</v>
      </c>
      <c r="Y457">
        <v>9894.6119999999992</v>
      </c>
      <c r="Z457">
        <v>2487</v>
      </c>
      <c r="AB457" t="s">
        <v>2287</v>
      </c>
      <c r="AF457" t="s">
        <v>50</v>
      </c>
      <c r="AG457" t="s">
        <v>402</v>
      </c>
      <c r="AH457" t="s">
        <v>2288</v>
      </c>
      <c r="AI457" t="s">
        <v>3408</v>
      </c>
      <c r="AJ457">
        <v>490</v>
      </c>
    </row>
    <row r="458" spans="1:36">
      <c r="A458" t="s">
        <v>3318</v>
      </c>
      <c r="B458" t="s">
        <v>3299</v>
      </c>
      <c r="C458" t="s">
        <v>3409</v>
      </c>
      <c r="D458" t="s">
        <v>3410</v>
      </c>
      <c r="E458" t="s">
        <v>3411</v>
      </c>
      <c r="F458" t="s">
        <v>605</v>
      </c>
      <c r="G458">
        <v>2340</v>
      </c>
      <c r="H458">
        <v>2430</v>
      </c>
      <c r="I458" t="s">
        <v>3412</v>
      </c>
      <c r="J458" t="s">
        <v>3413</v>
      </c>
      <c r="K458" t="s">
        <v>3414</v>
      </c>
      <c r="L458" t="s">
        <v>3415</v>
      </c>
      <c r="M458" t="s">
        <v>3416</v>
      </c>
      <c r="N458" t="s">
        <v>610</v>
      </c>
      <c r="O458" t="s">
        <v>611</v>
      </c>
      <c r="P458" t="s">
        <v>612</v>
      </c>
      <c r="R458" s="7">
        <v>31963</v>
      </c>
      <c r="W458" s="15">
        <v>5.9228800000000001</v>
      </c>
      <c r="X458" s="15">
        <v>-75.303579999999997</v>
      </c>
      <c r="Y458">
        <v>2835.0059999999999</v>
      </c>
      <c r="Z458">
        <v>2431</v>
      </c>
      <c r="AB458" t="s">
        <v>613</v>
      </c>
      <c r="AF458" t="s">
        <v>50</v>
      </c>
      <c r="AG458" t="s">
        <v>3417</v>
      </c>
      <c r="AH458" t="s">
        <v>614</v>
      </c>
      <c r="AI458" t="s">
        <v>3418</v>
      </c>
      <c r="AJ458">
        <v>491</v>
      </c>
    </row>
    <row r="459" spans="1:36">
      <c r="A459" t="s">
        <v>3318</v>
      </c>
      <c r="B459" t="s">
        <v>3299</v>
      </c>
      <c r="C459" t="s">
        <v>3409</v>
      </c>
      <c r="D459" t="s">
        <v>3419</v>
      </c>
      <c r="E459" t="s">
        <v>3411</v>
      </c>
      <c r="F459" t="s">
        <v>605</v>
      </c>
      <c r="G459">
        <v>2340</v>
      </c>
      <c r="H459">
        <v>2430</v>
      </c>
      <c r="I459" t="s">
        <v>3412</v>
      </c>
      <c r="J459" t="s">
        <v>3413</v>
      </c>
      <c r="K459" t="s">
        <v>3414</v>
      </c>
      <c r="L459" t="s">
        <v>3415</v>
      </c>
      <c r="M459" t="s">
        <v>3416</v>
      </c>
      <c r="N459" t="s">
        <v>610</v>
      </c>
      <c r="O459" t="s">
        <v>611</v>
      </c>
      <c r="P459" t="s">
        <v>612</v>
      </c>
      <c r="R459" s="7">
        <v>31963</v>
      </c>
      <c r="W459" s="15">
        <v>5.9228800000000001</v>
      </c>
      <c r="X459" s="15">
        <v>-75.303579999999997</v>
      </c>
      <c r="Y459">
        <v>2835.0059999999999</v>
      </c>
      <c r="Z459">
        <v>2431</v>
      </c>
      <c r="AB459" t="s">
        <v>613</v>
      </c>
      <c r="AF459" t="s">
        <v>50</v>
      </c>
      <c r="AG459" t="s">
        <v>3417</v>
      </c>
      <c r="AH459" t="s">
        <v>614</v>
      </c>
      <c r="AI459" t="s">
        <v>3418</v>
      </c>
      <c r="AJ459">
        <v>492</v>
      </c>
    </row>
    <row r="460" spans="1:36">
      <c r="A460" t="s">
        <v>3318</v>
      </c>
      <c r="B460" t="s">
        <v>3299</v>
      </c>
      <c r="C460" t="s">
        <v>3409</v>
      </c>
      <c r="D460" t="s">
        <v>3420</v>
      </c>
      <c r="E460" t="s">
        <v>3411</v>
      </c>
      <c r="F460" t="s">
        <v>605</v>
      </c>
      <c r="G460">
        <v>2340</v>
      </c>
      <c r="H460">
        <v>2430</v>
      </c>
      <c r="I460" t="s">
        <v>3412</v>
      </c>
      <c r="J460" t="s">
        <v>3413</v>
      </c>
      <c r="K460" t="s">
        <v>3414</v>
      </c>
      <c r="L460" t="s">
        <v>3415</v>
      </c>
      <c r="M460" t="s">
        <v>3416</v>
      </c>
      <c r="N460" t="s">
        <v>610</v>
      </c>
      <c r="O460" t="s">
        <v>611</v>
      </c>
      <c r="P460" t="s">
        <v>612</v>
      </c>
      <c r="R460" s="7">
        <v>31963</v>
      </c>
      <c r="W460" s="15">
        <v>5.9228800000000001</v>
      </c>
      <c r="X460" s="15">
        <v>-75.303579999999997</v>
      </c>
      <c r="Y460">
        <v>2835.0059999999999</v>
      </c>
      <c r="Z460">
        <v>2431</v>
      </c>
      <c r="AB460" t="s">
        <v>613</v>
      </c>
      <c r="AF460" t="s">
        <v>50</v>
      </c>
      <c r="AG460" t="s">
        <v>3417</v>
      </c>
      <c r="AH460" t="s">
        <v>614</v>
      </c>
      <c r="AI460" t="s">
        <v>3418</v>
      </c>
      <c r="AJ460">
        <v>493</v>
      </c>
    </row>
    <row r="461" spans="1:36">
      <c r="A461" t="s">
        <v>3318</v>
      </c>
      <c r="B461" t="s">
        <v>3299</v>
      </c>
      <c r="C461" t="s">
        <v>3421</v>
      </c>
      <c r="D461" t="s">
        <v>3422</v>
      </c>
      <c r="E461" t="s">
        <v>3423</v>
      </c>
      <c r="F461">
        <v>1550</v>
      </c>
      <c r="G461">
        <v>1550</v>
      </c>
      <c r="H461">
        <v>1550</v>
      </c>
      <c r="I461" t="s">
        <v>3424</v>
      </c>
      <c r="J461" t="s">
        <v>3425</v>
      </c>
      <c r="K461" t="s">
        <v>3426</v>
      </c>
      <c r="L461" t="s">
        <v>3427</v>
      </c>
      <c r="M461" t="s">
        <v>3428</v>
      </c>
      <c r="N461" t="s">
        <v>3429</v>
      </c>
      <c r="O461" t="s">
        <v>3430</v>
      </c>
      <c r="P461" t="s">
        <v>3431</v>
      </c>
      <c r="R461" s="7">
        <v>32010</v>
      </c>
      <c r="W461" s="15">
        <v>5.2277056000000002</v>
      </c>
      <c r="X461" s="15">
        <v>-76.030474999999996</v>
      </c>
      <c r="AF461" t="s">
        <v>50</v>
      </c>
      <c r="AG461" t="s">
        <v>360</v>
      </c>
      <c r="AH461" t="s">
        <v>3432</v>
      </c>
      <c r="AI461" t="s">
        <v>3433</v>
      </c>
      <c r="AJ461">
        <v>494</v>
      </c>
    </row>
    <row r="462" spans="1:36">
      <c r="A462" t="s">
        <v>3318</v>
      </c>
      <c r="B462" t="s">
        <v>3299</v>
      </c>
      <c r="C462" t="s">
        <v>3434</v>
      </c>
      <c r="D462" t="s">
        <v>3435</v>
      </c>
      <c r="E462" t="s">
        <v>3436</v>
      </c>
      <c r="F462" t="s">
        <v>3437</v>
      </c>
      <c r="G462">
        <v>1480</v>
      </c>
      <c r="H462">
        <v>1560</v>
      </c>
      <c r="I462" t="s">
        <v>3438</v>
      </c>
      <c r="J462" t="s">
        <v>3439</v>
      </c>
      <c r="K462" t="s">
        <v>3440</v>
      </c>
      <c r="L462" t="s">
        <v>3441</v>
      </c>
      <c r="M462" t="s">
        <v>3442</v>
      </c>
      <c r="N462" t="s">
        <v>3443</v>
      </c>
      <c r="O462" t="s">
        <v>3444</v>
      </c>
      <c r="P462" t="s">
        <v>3445</v>
      </c>
      <c r="R462" s="7">
        <v>32187</v>
      </c>
      <c r="W462" s="15">
        <v>6.9166667000000004</v>
      </c>
      <c r="X462" s="15">
        <v>-75.083333300000007</v>
      </c>
      <c r="AF462" t="s">
        <v>50</v>
      </c>
      <c r="AG462" t="s">
        <v>402</v>
      </c>
      <c r="AH462" t="s">
        <v>3446</v>
      </c>
      <c r="AI462" t="s">
        <v>3447</v>
      </c>
      <c r="AJ462">
        <v>495</v>
      </c>
    </row>
    <row r="463" spans="1:36">
      <c r="A463" t="s">
        <v>3318</v>
      </c>
      <c r="B463" t="s">
        <v>3299</v>
      </c>
      <c r="C463" t="s">
        <v>3448</v>
      </c>
      <c r="D463" t="s">
        <v>3449</v>
      </c>
      <c r="E463" t="s">
        <v>3450</v>
      </c>
      <c r="F463">
        <v>1590</v>
      </c>
      <c r="G463">
        <v>1590</v>
      </c>
      <c r="H463">
        <v>1590</v>
      </c>
      <c r="I463" t="s">
        <v>3451</v>
      </c>
      <c r="J463" t="s">
        <v>3452</v>
      </c>
      <c r="K463" t="s">
        <v>3453</v>
      </c>
      <c r="L463" t="s">
        <v>3454</v>
      </c>
      <c r="M463" t="s">
        <v>3455</v>
      </c>
      <c r="N463" t="s">
        <v>3456</v>
      </c>
      <c r="O463" t="s">
        <v>3457</v>
      </c>
      <c r="P463" t="s">
        <v>3458</v>
      </c>
      <c r="R463" s="7">
        <v>32416</v>
      </c>
      <c r="W463" s="15">
        <v>6.9097222</v>
      </c>
      <c r="X463" s="15">
        <v>-75.134500000000003</v>
      </c>
      <c r="AF463" t="s">
        <v>50</v>
      </c>
      <c r="AG463" t="s">
        <v>402</v>
      </c>
      <c r="AH463" t="s">
        <v>3446</v>
      </c>
      <c r="AI463" t="s">
        <v>3459</v>
      </c>
      <c r="AJ463">
        <v>496</v>
      </c>
    </row>
    <row r="464" spans="1:36">
      <c r="A464" t="s">
        <v>3318</v>
      </c>
      <c r="B464" t="s">
        <v>3299</v>
      </c>
      <c r="C464" t="s">
        <v>3460</v>
      </c>
      <c r="D464" t="s">
        <v>3461</v>
      </c>
      <c r="E464" t="s">
        <v>3462</v>
      </c>
      <c r="F464">
        <v>1400</v>
      </c>
      <c r="G464">
        <v>1400</v>
      </c>
      <c r="H464">
        <v>1400</v>
      </c>
      <c r="I464" t="s">
        <v>3463</v>
      </c>
      <c r="J464" t="s">
        <v>3464</v>
      </c>
      <c r="K464" t="s">
        <v>3465</v>
      </c>
      <c r="L464" t="s">
        <v>3466</v>
      </c>
      <c r="M464" t="s">
        <v>3467</v>
      </c>
      <c r="N464" t="s">
        <v>624</v>
      </c>
      <c r="O464" t="s">
        <v>625</v>
      </c>
      <c r="P464" t="s">
        <v>626</v>
      </c>
      <c r="R464" s="7">
        <v>32451</v>
      </c>
      <c r="T464" t="s">
        <v>119</v>
      </c>
      <c r="W464" s="15">
        <v>6.7441800000000001</v>
      </c>
      <c r="X464" s="15">
        <v>-76.368160000000003</v>
      </c>
      <c r="Y464">
        <v>3673.5120000000002</v>
      </c>
      <c r="Z464">
        <v>784</v>
      </c>
      <c r="AB464" t="s">
        <v>1355</v>
      </c>
      <c r="AF464" t="s">
        <v>50</v>
      </c>
      <c r="AG464" t="s">
        <v>402</v>
      </c>
      <c r="AH464" t="s">
        <v>1356</v>
      </c>
      <c r="AI464" t="s">
        <v>3468</v>
      </c>
      <c r="AJ464">
        <v>497</v>
      </c>
    </row>
    <row r="465" spans="1:36">
      <c r="A465" t="s">
        <v>3318</v>
      </c>
      <c r="B465" t="s">
        <v>3299</v>
      </c>
      <c r="C465" t="s">
        <v>3469</v>
      </c>
      <c r="D465" t="s">
        <v>3470</v>
      </c>
      <c r="E465" t="s">
        <v>3333</v>
      </c>
      <c r="F465">
        <v>1850</v>
      </c>
      <c r="G465">
        <v>1850</v>
      </c>
      <c r="H465">
        <v>1850</v>
      </c>
      <c r="I465" t="s">
        <v>2381</v>
      </c>
      <c r="J465" t="s">
        <v>2382</v>
      </c>
      <c r="K465" t="s">
        <v>2383</v>
      </c>
      <c r="L465" t="s">
        <v>2384</v>
      </c>
      <c r="M465" t="s">
        <v>2385</v>
      </c>
      <c r="N465" t="s">
        <v>532</v>
      </c>
      <c r="O465" t="s">
        <v>2365</v>
      </c>
      <c r="P465" t="s">
        <v>2366</v>
      </c>
      <c r="R465" s="7">
        <v>32819</v>
      </c>
      <c r="W465" s="15">
        <v>6.3112199999999996</v>
      </c>
      <c r="X465" s="15">
        <v>-75.146090000000001</v>
      </c>
      <c r="Y465">
        <v>2681.63</v>
      </c>
      <c r="Z465">
        <v>1854</v>
      </c>
      <c r="AB465" t="s">
        <v>2229</v>
      </c>
      <c r="AF465" t="s">
        <v>50</v>
      </c>
      <c r="AG465" t="s">
        <v>402</v>
      </c>
      <c r="AH465" t="s">
        <v>2230</v>
      </c>
      <c r="AI465" t="s">
        <v>3334</v>
      </c>
      <c r="AJ465">
        <v>498</v>
      </c>
    </row>
    <row r="466" spans="1:36">
      <c r="A466" t="s">
        <v>3318</v>
      </c>
      <c r="B466" t="s">
        <v>3299</v>
      </c>
      <c r="C466" t="s">
        <v>3471</v>
      </c>
      <c r="D466" t="s">
        <v>3472</v>
      </c>
      <c r="E466" t="s">
        <v>3473</v>
      </c>
      <c r="F466">
        <v>1850</v>
      </c>
      <c r="G466">
        <v>1850</v>
      </c>
      <c r="H466">
        <v>1850</v>
      </c>
      <c r="I466" t="s">
        <v>2381</v>
      </c>
      <c r="J466" t="s">
        <v>2382</v>
      </c>
      <c r="K466" t="s">
        <v>2383</v>
      </c>
      <c r="L466" t="s">
        <v>2384</v>
      </c>
      <c r="M466" t="s">
        <v>2385</v>
      </c>
      <c r="N466" t="s">
        <v>532</v>
      </c>
      <c r="O466" t="s">
        <v>2365</v>
      </c>
      <c r="P466" t="s">
        <v>2366</v>
      </c>
      <c r="R466" s="7">
        <v>32833</v>
      </c>
      <c r="W466" s="15">
        <v>6.3112199999999996</v>
      </c>
      <c r="X466" s="15">
        <v>-75.146090000000001</v>
      </c>
      <c r="Y466">
        <v>2681.63</v>
      </c>
      <c r="Z466">
        <v>1854</v>
      </c>
      <c r="AB466" t="s">
        <v>2229</v>
      </c>
      <c r="AF466" t="s">
        <v>50</v>
      </c>
      <c r="AG466" t="s">
        <v>402</v>
      </c>
      <c r="AH466" t="s">
        <v>2230</v>
      </c>
      <c r="AI466" t="s">
        <v>3474</v>
      </c>
      <c r="AJ466">
        <v>499</v>
      </c>
    </row>
    <row r="467" spans="1:36">
      <c r="A467" t="s">
        <v>3318</v>
      </c>
      <c r="B467" t="s">
        <v>3299</v>
      </c>
      <c r="C467" t="s">
        <v>3475</v>
      </c>
      <c r="D467" t="s">
        <v>3476</v>
      </c>
      <c r="E467" t="s">
        <v>3473</v>
      </c>
      <c r="F467">
        <v>1850</v>
      </c>
      <c r="G467">
        <v>1850</v>
      </c>
      <c r="H467">
        <v>1850</v>
      </c>
      <c r="I467" t="s">
        <v>2381</v>
      </c>
      <c r="J467" t="s">
        <v>2382</v>
      </c>
      <c r="K467" t="s">
        <v>2383</v>
      </c>
      <c r="L467" t="s">
        <v>2384</v>
      </c>
      <c r="M467" t="s">
        <v>2385</v>
      </c>
      <c r="N467" t="s">
        <v>532</v>
      </c>
      <c r="O467" t="s">
        <v>2365</v>
      </c>
      <c r="P467" t="s">
        <v>2366</v>
      </c>
      <c r="R467" s="7">
        <v>32833</v>
      </c>
      <c r="W467" s="15">
        <v>6.3112199999999996</v>
      </c>
      <c r="X467" s="15">
        <v>-75.146090000000001</v>
      </c>
      <c r="Y467">
        <v>2681.63</v>
      </c>
      <c r="Z467">
        <v>1854</v>
      </c>
      <c r="AB467" t="s">
        <v>2229</v>
      </c>
      <c r="AF467" t="s">
        <v>50</v>
      </c>
      <c r="AG467" t="s">
        <v>402</v>
      </c>
      <c r="AH467" t="s">
        <v>2230</v>
      </c>
      <c r="AI467" t="s">
        <v>3474</v>
      </c>
      <c r="AJ467">
        <v>500</v>
      </c>
    </row>
    <row r="468" spans="1:36">
      <c r="A468" t="s">
        <v>3318</v>
      </c>
      <c r="B468" t="s">
        <v>3299</v>
      </c>
      <c r="C468" t="s">
        <v>3477</v>
      </c>
      <c r="D468" t="s">
        <v>3478</v>
      </c>
      <c r="E468" t="s">
        <v>3333</v>
      </c>
      <c r="F468">
        <v>1850</v>
      </c>
      <c r="G468">
        <v>1850</v>
      </c>
      <c r="H468">
        <v>1850</v>
      </c>
      <c r="I468" t="s">
        <v>2381</v>
      </c>
      <c r="J468" t="s">
        <v>2382</v>
      </c>
      <c r="K468" t="s">
        <v>2383</v>
      </c>
      <c r="L468" t="s">
        <v>2384</v>
      </c>
      <c r="M468" t="s">
        <v>2385</v>
      </c>
      <c r="N468" t="s">
        <v>532</v>
      </c>
      <c r="O468" t="s">
        <v>2365</v>
      </c>
      <c r="P468" t="s">
        <v>2366</v>
      </c>
      <c r="R468" s="7">
        <v>32833</v>
      </c>
      <c r="W468" s="15">
        <v>6.3112199999999996</v>
      </c>
      <c r="X468" s="15">
        <v>-75.146090000000001</v>
      </c>
      <c r="Y468">
        <v>2681.63</v>
      </c>
      <c r="Z468">
        <v>1854</v>
      </c>
      <c r="AB468" t="s">
        <v>2229</v>
      </c>
      <c r="AF468" t="s">
        <v>50</v>
      </c>
      <c r="AG468" t="s">
        <v>402</v>
      </c>
      <c r="AH468" t="s">
        <v>2230</v>
      </c>
      <c r="AI468" t="s">
        <v>3334</v>
      </c>
      <c r="AJ468">
        <v>501</v>
      </c>
    </row>
    <row r="469" spans="1:36">
      <c r="A469" t="s">
        <v>3318</v>
      </c>
      <c r="B469" t="s">
        <v>3299</v>
      </c>
      <c r="C469" t="s">
        <v>3479</v>
      </c>
      <c r="D469" t="s">
        <v>3480</v>
      </c>
      <c r="E469" t="s">
        <v>3481</v>
      </c>
      <c r="F469">
        <v>1850</v>
      </c>
      <c r="G469">
        <v>1850</v>
      </c>
      <c r="H469">
        <v>1850</v>
      </c>
      <c r="I469" t="s">
        <v>3385</v>
      </c>
      <c r="J469" t="s">
        <v>3386</v>
      </c>
      <c r="K469" t="s">
        <v>3387</v>
      </c>
      <c r="L469" t="s">
        <v>3388</v>
      </c>
      <c r="M469" t="s">
        <v>3389</v>
      </c>
      <c r="N469" t="s">
        <v>3390</v>
      </c>
      <c r="O469" t="s">
        <v>3391</v>
      </c>
      <c r="P469" t="s">
        <v>3392</v>
      </c>
      <c r="R469" s="7">
        <v>32910</v>
      </c>
      <c r="T469" t="s">
        <v>1863</v>
      </c>
      <c r="W469" s="15">
        <v>6.3112199999999996</v>
      </c>
      <c r="X469" s="15">
        <v>-75.146090000000001</v>
      </c>
      <c r="Y469">
        <v>2681.63</v>
      </c>
      <c r="Z469">
        <v>1854</v>
      </c>
      <c r="AB469" t="s">
        <v>2229</v>
      </c>
      <c r="AF469" t="s">
        <v>50</v>
      </c>
      <c r="AG469" t="s">
        <v>402</v>
      </c>
      <c r="AH469" t="s">
        <v>2230</v>
      </c>
      <c r="AI469" t="s">
        <v>3482</v>
      </c>
      <c r="AJ469">
        <v>502</v>
      </c>
    </row>
    <row r="470" spans="1:36">
      <c r="A470" t="s">
        <v>3318</v>
      </c>
      <c r="B470" t="s">
        <v>3299</v>
      </c>
      <c r="C470" t="s">
        <v>3483</v>
      </c>
      <c r="D470" t="s">
        <v>3484</v>
      </c>
      <c r="E470" t="s">
        <v>3485</v>
      </c>
      <c r="F470">
        <v>1850</v>
      </c>
      <c r="G470">
        <v>1850</v>
      </c>
      <c r="H470">
        <v>1850</v>
      </c>
      <c r="I470" t="s">
        <v>2381</v>
      </c>
      <c r="J470" t="s">
        <v>2382</v>
      </c>
      <c r="K470" t="s">
        <v>2383</v>
      </c>
      <c r="L470" t="s">
        <v>2384</v>
      </c>
      <c r="M470" t="s">
        <v>2385</v>
      </c>
      <c r="N470" t="s">
        <v>532</v>
      </c>
      <c r="O470" t="s">
        <v>2365</v>
      </c>
      <c r="P470" t="s">
        <v>2366</v>
      </c>
      <c r="R470" s="7">
        <v>32938</v>
      </c>
      <c r="W470" s="15">
        <v>6.3112199999999996</v>
      </c>
      <c r="X470" s="15">
        <v>-75.146090000000001</v>
      </c>
      <c r="Y470">
        <v>2681.63</v>
      </c>
      <c r="Z470">
        <v>1854</v>
      </c>
      <c r="AB470" t="s">
        <v>2229</v>
      </c>
      <c r="AF470" t="s">
        <v>50</v>
      </c>
      <c r="AG470" t="s">
        <v>402</v>
      </c>
      <c r="AH470" t="s">
        <v>2276</v>
      </c>
      <c r="AI470" t="s">
        <v>3486</v>
      </c>
      <c r="AJ470">
        <v>503</v>
      </c>
    </row>
    <row r="471" spans="1:36">
      <c r="A471" t="s">
        <v>3318</v>
      </c>
      <c r="B471" t="s">
        <v>3299</v>
      </c>
      <c r="C471" t="s">
        <v>3487</v>
      </c>
      <c r="D471" t="s">
        <v>3488</v>
      </c>
      <c r="E471" t="s">
        <v>3473</v>
      </c>
      <c r="F471">
        <v>1850</v>
      </c>
      <c r="G471">
        <v>1850</v>
      </c>
      <c r="H471">
        <v>1850</v>
      </c>
      <c r="I471" t="s">
        <v>2381</v>
      </c>
      <c r="J471" t="s">
        <v>2382</v>
      </c>
      <c r="K471" t="s">
        <v>2383</v>
      </c>
      <c r="L471" t="s">
        <v>2384</v>
      </c>
      <c r="M471" t="s">
        <v>2385</v>
      </c>
      <c r="N471" t="s">
        <v>532</v>
      </c>
      <c r="O471" t="s">
        <v>2365</v>
      </c>
      <c r="P471" t="s">
        <v>2366</v>
      </c>
      <c r="R471" s="7">
        <v>32938</v>
      </c>
      <c r="W471" s="15">
        <v>6.3112199999999996</v>
      </c>
      <c r="X471" s="15">
        <v>-75.146090000000001</v>
      </c>
      <c r="Y471">
        <v>2681.63</v>
      </c>
      <c r="Z471">
        <v>1854</v>
      </c>
      <c r="AB471" t="s">
        <v>2229</v>
      </c>
      <c r="AF471" t="s">
        <v>50</v>
      </c>
      <c r="AG471" t="s">
        <v>402</v>
      </c>
      <c r="AH471" t="s">
        <v>2230</v>
      </c>
      <c r="AI471" t="s">
        <v>3474</v>
      </c>
      <c r="AJ471">
        <v>504</v>
      </c>
    </row>
    <row r="472" spans="1:36">
      <c r="A472" t="s">
        <v>3318</v>
      </c>
      <c r="B472" t="s">
        <v>3299</v>
      </c>
      <c r="C472" t="s">
        <v>3489</v>
      </c>
      <c r="D472" t="s">
        <v>3490</v>
      </c>
      <c r="E472" t="s">
        <v>3473</v>
      </c>
      <c r="F472">
        <v>1850</v>
      </c>
      <c r="G472">
        <v>1850</v>
      </c>
      <c r="H472">
        <v>1850</v>
      </c>
      <c r="I472" t="s">
        <v>2381</v>
      </c>
      <c r="J472" t="s">
        <v>2382</v>
      </c>
      <c r="K472" t="s">
        <v>2383</v>
      </c>
      <c r="L472" t="s">
        <v>2384</v>
      </c>
      <c r="M472" t="s">
        <v>2385</v>
      </c>
      <c r="N472" t="s">
        <v>532</v>
      </c>
      <c r="O472" t="s">
        <v>2365</v>
      </c>
      <c r="P472" t="s">
        <v>2366</v>
      </c>
      <c r="R472" s="7">
        <v>32952</v>
      </c>
      <c r="W472" s="15">
        <v>6.3112199999999996</v>
      </c>
      <c r="X472" s="15">
        <v>-75.146090000000001</v>
      </c>
      <c r="Y472">
        <v>2681.63</v>
      </c>
      <c r="Z472">
        <v>1854</v>
      </c>
      <c r="AB472" t="s">
        <v>2229</v>
      </c>
      <c r="AF472" t="s">
        <v>50</v>
      </c>
      <c r="AG472" t="s">
        <v>402</v>
      </c>
      <c r="AH472" t="s">
        <v>2230</v>
      </c>
      <c r="AI472" t="s">
        <v>3474</v>
      </c>
      <c r="AJ472">
        <v>505</v>
      </c>
    </row>
    <row r="473" spans="1:36">
      <c r="A473" t="s">
        <v>3318</v>
      </c>
      <c r="B473" t="s">
        <v>3299</v>
      </c>
      <c r="C473" t="s">
        <v>3491</v>
      </c>
      <c r="D473" t="s">
        <v>3492</v>
      </c>
      <c r="E473" t="s">
        <v>3333</v>
      </c>
      <c r="F473">
        <v>1850</v>
      </c>
      <c r="G473">
        <v>1850</v>
      </c>
      <c r="H473">
        <v>1850</v>
      </c>
      <c r="I473" t="s">
        <v>3385</v>
      </c>
      <c r="J473" t="s">
        <v>3386</v>
      </c>
      <c r="K473" t="s">
        <v>3387</v>
      </c>
      <c r="L473" t="s">
        <v>3388</v>
      </c>
      <c r="M473" t="s">
        <v>3389</v>
      </c>
      <c r="N473" t="s">
        <v>3390</v>
      </c>
      <c r="O473" t="s">
        <v>3391</v>
      </c>
      <c r="P473" t="s">
        <v>3392</v>
      </c>
      <c r="R473" s="7">
        <v>32952</v>
      </c>
      <c r="W473" s="15">
        <v>6.3112199999999996</v>
      </c>
      <c r="X473" s="15">
        <v>-75.146090000000001</v>
      </c>
      <c r="Y473">
        <v>2681.63</v>
      </c>
      <c r="Z473">
        <v>1854</v>
      </c>
      <c r="AB473" t="s">
        <v>2229</v>
      </c>
      <c r="AF473" t="s">
        <v>50</v>
      </c>
      <c r="AG473" t="s">
        <v>402</v>
      </c>
      <c r="AH473" t="s">
        <v>2230</v>
      </c>
      <c r="AI473" t="s">
        <v>3334</v>
      </c>
      <c r="AJ473">
        <v>506</v>
      </c>
    </row>
    <row r="474" spans="1:36">
      <c r="A474" t="s">
        <v>3318</v>
      </c>
      <c r="B474" t="s">
        <v>3299</v>
      </c>
      <c r="C474" t="s">
        <v>3493</v>
      </c>
      <c r="D474" t="s">
        <v>3494</v>
      </c>
      <c r="E474" t="s">
        <v>3333</v>
      </c>
      <c r="F474">
        <v>1850</v>
      </c>
      <c r="G474">
        <v>1850</v>
      </c>
      <c r="H474">
        <v>1850</v>
      </c>
      <c r="I474" t="s">
        <v>2381</v>
      </c>
      <c r="J474" t="s">
        <v>2382</v>
      </c>
      <c r="K474" t="s">
        <v>2383</v>
      </c>
      <c r="L474" t="s">
        <v>2384</v>
      </c>
      <c r="M474" t="s">
        <v>2385</v>
      </c>
      <c r="N474" t="s">
        <v>532</v>
      </c>
      <c r="O474" t="s">
        <v>2365</v>
      </c>
      <c r="P474" t="s">
        <v>2366</v>
      </c>
      <c r="R474" s="7">
        <v>33001</v>
      </c>
      <c r="W474" s="15">
        <v>6.3112199999999996</v>
      </c>
      <c r="X474" s="15">
        <v>-75.146090000000001</v>
      </c>
      <c r="Y474">
        <v>2681.63</v>
      </c>
      <c r="Z474">
        <v>1854</v>
      </c>
      <c r="AB474" t="s">
        <v>2229</v>
      </c>
      <c r="AF474" t="s">
        <v>50</v>
      </c>
      <c r="AG474" t="s">
        <v>402</v>
      </c>
      <c r="AH474" t="s">
        <v>2230</v>
      </c>
      <c r="AI474" t="s">
        <v>3334</v>
      </c>
      <c r="AJ474">
        <v>507</v>
      </c>
    </row>
    <row r="475" spans="1:36">
      <c r="A475" t="s">
        <v>3318</v>
      </c>
      <c r="B475" t="s">
        <v>3299</v>
      </c>
      <c r="C475" t="s">
        <v>3495</v>
      </c>
      <c r="D475" t="s">
        <v>3496</v>
      </c>
      <c r="E475" t="s">
        <v>3485</v>
      </c>
      <c r="F475">
        <v>1850</v>
      </c>
      <c r="G475">
        <v>1850</v>
      </c>
      <c r="H475">
        <v>1850</v>
      </c>
      <c r="I475" t="s">
        <v>2381</v>
      </c>
      <c r="J475" t="s">
        <v>2382</v>
      </c>
      <c r="K475" t="s">
        <v>2383</v>
      </c>
      <c r="L475" t="s">
        <v>2384</v>
      </c>
      <c r="M475" t="s">
        <v>2385</v>
      </c>
      <c r="N475" t="s">
        <v>532</v>
      </c>
      <c r="O475" t="s">
        <v>2365</v>
      </c>
      <c r="P475" t="s">
        <v>2366</v>
      </c>
      <c r="R475" s="7">
        <v>33015</v>
      </c>
      <c r="W475" s="15">
        <v>6.3112199999999996</v>
      </c>
      <c r="X475" s="15">
        <v>-75.146090000000001</v>
      </c>
      <c r="Y475">
        <v>2681.63</v>
      </c>
      <c r="Z475">
        <v>1854</v>
      </c>
      <c r="AB475" t="s">
        <v>2229</v>
      </c>
      <c r="AF475" t="s">
        <v>50</v>
      </c>
      <c r="AG475" t="s">
        <v>402</v>
      </c>
      <c r="AH475" t="s">
        <v>2276</v>
      </c>
      <c r="AI475" t="s">
        <v>3486</v>
      </c>
      <c r="AJ475">
        <v>508</v>
      </c>
    </row>
    <row r="476" spans="1:36">
      <c r="A476" t="s">
        <v>3318</v>
      </c>
      <c r="B476" t="s">
        <v>3299</v>
      </c>
      <c r="C476" t="s">
        <v>3497</v>
      </c>
      <c r="D476" t="s">
        <v>3498</v>
      </c>
      <c r="E476" t="s">
        <v>3499</v>
      </c>
      <c r="F476" t="s">
        <v>3500</v>
      </c>
      <c r="G476">
        <v>2140</v>
      </c>
      <c r="H476">
        <v>2410</v>
      </c>
      <c r="I476" t="s">
        <v>3501</v>
      </c>
      <c r="J476" t="s">
        <v>3502</v>
      </c>
      <c r="K476" t="s">
        <v>3503</v>
      </c>
      <c r="L476" t="s">
        <v>3504</v>
      </c>
      <c r="M476" t="s">
        <v>3505</v>
      </c>
      <c r="N476" t="s">
        <v>532</v>
      </c>
      <c r="O476" t="s">
        <v>3506</v>
      </c>
      <c r="P476" t="s">
        <v>3507</v>
      </c>
      <c r="R476" s="7">
        <v>33189</v>
      </c>
      <c r="W476" s="15">
        <v>6.1695399999999996</v>
      </c>
      <c r="X476" s="15">
        <v>-75.460819999999998</v>
      </c>
      <c r="Y476">
        <v>1590.6869999999999</v>
      </c>
      <c r="Z476">
        <v>2296</v>
      </c>
      <c r="AB476" t="s">
        <v>3508</v>
      </c>
      <c r="AF476" t="s">
        <v>50</v>
      </c>
      <c r="AG476" t="s">
        <v>402</v>
      </c>
      <c r="AH476" t="s">
        <v>3509</v>
      </c>
      <c r="AI476" t="s">
        <v>3510</v>
      </c>
      <c r="AJ476">
        <v>509</v>
      </c>
    </row>
    <row r="477" spans="1:36">
      <c r="A477" t="s">
        <v>3318</v>
      </c>
      <c r="B477" t="s">
        <v>3299</v>
      </c>
      <c r="C477" t="s">
        <v>3511</v>
      </c>
      <c r="D477" t="s">
        <v>3512</v>
      </c>
      <c r="E477" t="s">
        <v>3513</v>
      </c>
      <c r="F477">
        <v>2000</v>
      </c>
      <c r="G477">
        <v>2000</v>
      </c>
      <c r="H477">
        <v>2000</v>
      </c>
      <c r="I477" t="s">
        <v>3514</v>
      </c>
      <c r="J477" t="s">
        <v>3515</v>
      </c>
      <c r="K477" t="s">
        <v>3516</v>
      </c>
      <c r="L477" t="s">
        <v>3517</v>
      </c>
      <c r="M477" t="s">
        <v>3518</v>
      </c>
      <c r="N477" t="s">
        <v>3519</v>
      </c>
      <c r="O477" t="s">
        <v>3520</v>
      </c>
      <c r="P477" t="s">
        <v>3521</v>
      </c>
      <c r="R477" s="7">
        <v>35253</v>
      </c>
      <c r="W477" s="15">
        <v>6.2359249999999999</v>
      </c>
      <c r="X477" s="15">
        <v>-75.575136099999995</v>
      </c>
      <c r="AF477" t="s">
        <v>50</v>
      </c>
      <c r="AG477" t="s">
        <v>402</v>
      </c>
      <c r="AH477" t="s">
        <v>855</v>
      </c>
      <c r="AI477" t="s">
        <v>3522</v>
      </c>
      <c r="AJ477">
        <v>510</v>
      </c>
    </row>
    <row r="478" spans="1:36">
      <c r="A478" t="s">
        <v>3318</v>
      </c>
      <c r="B478" t="s">
        <v>3299</v>
      </c>
      <c r="C478" t="s">
        <v>3511</v>
      </c>
      <c r="D478" t="s">
        <v>3523</v>
      </c>
      <c r="E478" t="s">
        <v>3513</v>
      </c>
      <c r="F478">
        <v>2000</v>
      </c>
      <c r="G478">
        <v>2000</v>
      </c>
      <c r="H478">
        <v>2000</v>
      </c>
      <c r="I478" t="s">
        <v>3514</v>
      </c>
      <c r="J478" t="s">
        <v>3515</v>
      </c>
      <c r="K478" t="s">
        <v>3516</v>
      </c>
      <c r="L478" t="s">
        <v>3517</v>
      </c>
      <c r="M478" t="s">
        <v>3518</v>
      </c>
      <c r="N478" t="s">
        <v>3519</v>
      </c>
      <c r="O478" t="s">
        <v>3520</v>
      </c>
      <c r="P478" t="s">
        <v>3521</v>
      </c>
      <c r="R478" s="7">
        <v>35253</v>
      </c>
      <c r="W478" s="15">
        <v>6.2359249999999999</v>
      </c>
      <c r="X478" s="15">
        <v>-75.575136099999995</v>
      </c>
      <c r="AF478" t="s">
        <v>50</v>
      </c>
      <c r="AG478" t="s">
        <v>402</v>
      </c>
      <c r="AH478" t="s">
        <v>855</v>
      </c>
      <c r="AI478" t="s">
        <v>3522</v>
      </c>
      <c r="AJ478">
        <v>511</v>
      </c>
    </row>
    <row r="479" spans="1:36">
      <c r="A479" t="s">
        <v>3318</v>
      </c>
      <c r="B479" t="s">
        <v>3299</v>
      </c>
      <c r="C479" t="s">
        <v>3524</v>
      </c>
      <c r="D479" t="s">
        <v>3525</v>
      </c>
      <c r="E479" t="s">
        <v>3526</v>
      </c>
      <c r="F479">
        <v>2100</v>
      </c>
      <c r="G479">
        <v>2100</v>
      </c>
      <c r="H479">
        <v>2100</v>
      </c>
      <c r="I479" t="s">
        <v>3527</v>
      </c>
      <c r="J479" t="s">
        <v>3528</v>
      </c>
      <c r="K479" t="s">
        <v>3529</v>
      </c>
      <c r="L479" t="s">
        <v>3530</v>
      </c>
      <c r="M479" t="s">
        <v>3531</v>
      </c>
      <c r="N479" t="s">
        <v>3532</v>
      </c>
      <c r="O479" t="s">
        <v>3533</v>
      </c>
      <c r="P479" t="s">
        <v>3534</v>
      </c>
      <c r="R479" s="7">
        <v>36599</v>
      </c>
      <c r="W479" s="15">
        <v>2.51058</v>
      </c>
      <c r="X479" s="15">
        <v>-76.984210000000004</v>
      </c>
      <c r="Y479">
        <v>1862.7349999999999</v>
      </c>
      <c r="Z479">
        <v>1783</v>
      </c>
      <c r="AB479" t="s">
        <v>282</v>
      </c>
      <c r="AF479" t="s">
        <v>50</v>
      </c>
      <c r="AG479" t="s">
        <v>284</v>
      </c>
      <c r="AH479" t="s">
        <v>285</v>
      </c>
      <c r="AJ479">
        <v>512</v>
      </c>
    </row>
    <row r="480" spans="1:36">
      <c r="A480" t="s">
        <v>3318</v>
      </c>
      <c r="B480" t="s">
        <v>3299</v>
      </c>
      <c r="C480" t="s">
        <v>3535</v>
      </c>
      <c r="D480" t="s">
        <v>3536</v>
      </c>
      <c r="E480" t="s">
        <v>3537</v>
      </c>
      <c r="F480">
        <v>1950</v>
      </c>
      <c r="G480">
        <v>1950</v>
      </c>
      <c r="H480">
        <v>1950</v>
      </c>
      <c r="I480" t="s">
        <v>3538</v>
      </c>
      <c r="J480" t="s">
        <v>3539</v>
      </c>
      <c r="K480" t="s">
        <v>3540</v>
      </c>
      <c r="L480" t="s">
        <v>3541</v>
      </c>
      <c r="M480" t="s">
        <v>3542</v>
      </c>
      <c r="N480" t="s">
        <v>3543</v>
      </c>
      <c r="O480" t="s">
        <v>3544</v>
      </c>
      <c r="P480" t="s">
        <v>3545</v>
      </c>
      <c r="R480" s="7">
        <v>36663</v>
      </c>
      <c r="W480" s="15">
        <v>6.4563056000000003</v>
      </c>
      <c r="X480" s="15">
        <v>-75.268111099999999</v>
      </c>
      <c r="AF480" t="s">
        <v>50</v>
      </c>
      <c r="AG480" t="s">
        <v>3546</v>
      </c>
      <c r="AH480" t="s">
        <v>3547</v>
      </c>
      <c r="AI480" t="s">
        <v>3548</v>
      </c>
      <c r="AJ480">
        <v>513</v>
      </c>
    </row>
    <row r="481" spans="1:36">
      <c r="A481" t="s">
        <v>3318</v>
      </c>
      <c r="B481" t="s">
        <v>3299</v>
      </c>
      <c r="C481" t="s">
        <v>3549</v>
      </c>
      <c r="D481" t="s">
        <v>3550</v>
      </c>
      <c r="E481" t="s">
        <v>3551</v>
      </c>
      <c r="F481">
        <v>2420</v>
      </c>
      <c r="G481">
        <v>2420</v>
      </c>
      <c r="H481">
        <v>2420</v>
      </c>
      <c r="I481" t="s">
        <v>3552</v>
      </c>
      <c r="J481" t="s">
        <v>3553</v>
      </c>
      <c r="K481" t="s">
        <v>3554</v>
      </c>
      <c r="L481" t="s">
        <v>3555</v>
      </c>
      <c r="M481" t="s">
        <v>3556</v>
      </c>
      <c r="N481" t="s">
        <v>3557</v>
      </c>
      <c r="O481" t="s">
        <v>3558</v>
      </c>
      <c r="P481" t="s">
        <v>3559</v>
      </c>
      <c r="R481" s="7">
        <v>36826</v>
      </c>
      <c r="W481" s="15">
        <v>6.3055555999999999</v>
      </c>
      <c r="X481" s="15">
        <v>-75.515166699999995</v>
      </c>
      <c r="AF481" t="s">
        <v>50</v>
      </c>
      <c r="AG481" t="s">
        <v>402</v>
      </c>
      <c r="AH481" t="s">
        <v>3560</v>
      </c>
      <c r="AI481" t="s">
        <v>3561</v>
      </c>
      <c r="AJ481">
        <v>514</v>
      </c>
    </row>
    <row r="482" spans="1:36">
      <c r="A482" t="s">
        <v>3318</v>
      </c>
      <c r="B482" t="s">
        <v>3299</v>
      </c>
      <c r="C482" t="s">
        <v>3549</v>
      </c>
      <c r="D482" t="s">
        <v>3562</v>
      </c>
      <c r="E482" t="s">
        <v>3551</v>
      </c>
      <c r="F482">
        <v>2420</v>
      </c>
      <c r="G482">
        <v>2420</v>
      </c>
      <c r="H482">
        <v>2420</v>
      </c>
      <c r="I482" t="s">
        <v>3552</v>
      </c>
      <c r="J482" t="s">
        <v>3553</v>
      </c>
      <c r="K482" t="s">
        <v>3554</v>
      </c>
      <c r="L482" t="s">
        <v>3555</v>
      </c>
      <c r="M482" t="s">
        <v>3556</v>
      </c>
      <c r="N482" t="s">
        <v>3557</v>
      </c>
      <c r="O482" t="s">
        <v>3558</v>
      </c>
      <c r="P482" t="s">
        <v>3559</v>
      </c>
      <c r="R482" s="7">
        <v>36826</v>
      </c>
      <c r="W482" s="15">
        <v>6.3055555999999999</v>
      </c>
      <c r="X482" s="15">
        <v>-75.515166699999995</v>
      </c>
      <c r="AF482" t="s">
        <v>50</v>
      </c>
      <c r="AG482" t="s">
        <v>402</v>
      </c>
      <c r="AH482" t="s">
        <v>3560</v>
      </c>
      <c r="AI482" t="s">
        <v>3561</v>
      </c>
      <c r="AJ482">
        <v>515</v>
      </c>
    </row>
    <row r="483" spans="1:36">
      <c r="A483" t="s">
        <v>3318</v>
      </c>
      <c r="B483" t="s">
        <v>3299</v>
      </c>
      <c r="C483" t="s">
        <v>3549</v>
      </c>
      <c r="D483" t="s">
        <v>3563</v>
      </c>
      <c r="E483" t="s">
        <v>3551</v>
      </c>
      <c r="F483">
        <v>2420</v>
      </c>
      <c r="G483">
        <v>2420</v>
      </c>
      <c r="H483">
        <v>2420</v>
      </c>
      <c r="I483" t="s">
        <v>3552</v>
      </c>
      <c r="J483" t="s">
        <v>3553</v>
      </c>
      <c r="K483" t="s">
        <v>3554</v>
      </c>
      <c r="L483" t="s">
        <v>3555</v>
      </c>
      <c r="M483" t="s">
        <v>3556</v>
      </c>
      <c r="N483" t="s">
        <v>3557</v>
      </c>
      <c r="O483" t="s">
        <v>3558</v>
      </c>
      <c r="P483" t="s">
        <v>3559</v>
      </c>
      <c r="R483" s="7">
        <v>36826</v>
      </c>
      <c r="W483" s="15">
        <v>6.3055555999999999</v>
      </c>
      <c r="X483" s="15">
        <v>-75.515166699999995</v>
      </c>
      <c r="AF483" t="s">
        <v>50</v>
      </c>
      <c r="AG483" t="s">
        <v>402</v>
      </c>
      <c r="AH483" t="s">
        <v>3560</v>
      </c>
      <c r="AI483" t="s">
        <v>3561</v>
      </c>
      <c r="AJ483">
        <v>516</v>
      </c>
    </row>
    <row r="484" spans="1:36">
      <c r="A484" t="s">
        <v>3318</v>
      </c>
      <c r="B484" t="s">
        <v>3299</v>
      </c>
      <c r="C484" t="s">
        <v>3564</v>
      </c>
      <c r="D484" t="s">
        <v>3565</v>
      </c>
      <c r="E484" t="s">
        <v>3566</v>
      </c>
      <c r="F484">
        <v>2630</v>
      </c>
      <c r="G484">
        <v>2630</v>
      </c>
      <c r="H484">
        <v>2630</v>
      </c>
      <c r="I484" t="s">
        <v>3567</v>
      </c>
      <c r="J484" t="s">
        <v>3568</v>
      </c>
      <c r="K484" t="s">
        <v>3569</v>
      </c>
      <c r="L484" t="s">
        <v>3570</v>
      </c>
      <c r="M484" t="s">
        <v>3571</v>
      </c>
      <c r="N484" t="s">
        <v>910</v>
      </c>
      <c r="O484" t="s">
        <v>911</v>
      </c>
      <c r="P484" t="s">
        <v>912</v>
      </c>
      <c r="R484" s="7">
        <v>37538</v>
      </c>
      <c r="T484" t="s">
        <v>119</v>
      </c>
      <c r="W484" s="15">
        <v>6.6040799999999997</v>
      </c>
      <c r="X484" s="15">
        <v>-75.736109999999996</v>
      </c>
      <c r="Y484">
        <v>2160.6860000000001</v>
      </c>
      <c r="Z484">
        <v>2059</v>
      </c>
      <c r="AB484" t="s">
        <v>916</v>
      </c>
      <c r="AF484" t="s">
        <v>50</v>
      </c>
      <c r="AG484" t="s">
        <v>402</v>
      </c>
      <c r="AH484" t="s">
        <v>917</v>
      </c>
      <c r="AI484" t="s">
        <v>3572</v>
      </c>
      <c r="AJ484">
        <v>517</v>
      </c>
    </row>
    <row r="485" spans="1:36" s="2" customFormat="1">
      <c r="A485" t="s">
        <v>3318</v>
      </c>
      <c r="B485" t="s">
        <v>3299</v>
      </c>
      <c r="C485" t="s">
        <v>3564</v>
      </c>
      <c r="D485" t="s">
        <v>3573</v>
      </c>
      <c r="E485" t="s">
        <v>3566</v>
      </c>
      <c r="F485">
        <v>2630</v>
      </c>
      <c r="G485">
        <v>2630</v>
      </c>
      <c r="H485">
        <v>2630</v>
      </c>
      <c r="I485" t="s">
        <v>3567</v>
      </c>
      <c r="J485" t="s">
        <v>3568</v>
      </c>
      <c r="K485" t="s">
        <v>3569</v>
      </c>
      <c r="L485" t="s">
        <v>3570</v>
      </c>
      <c r="M485" t="s">
        <v>3571</v>
      </c>
      <c r="N485" t="s">
        <v>910</v>
      </c>
      <c r="O485" t="s">
        <v>911</v>
      </c>
      <c r="P485" t="s">
        <v>912</v>
      </c>
      <c r="Q485"/>
      <c r="R485" s="7">
        <v>37538</v>
      </c>
      <c r="S485"/>
      <c r="T485" t="s">
        <v>119</v>
      </c>
      <c r="U485"/>
      <c r="V485"/>
      <c r="W485" s="15">
        <v>6.6040799999999997</v>
      </c>
      <c r="X485" s="15">
        <v>-75.736109999999996</v>
      </c>
      <c r="Y485">
        <v>2160.6860000000001</v>
      </c>
      <c r="Z485">
        <v>2059</v>
      </c>
      <c r="AA485"/>
      <c r="AB485" t="s">
        <v>916</v>
      </c>
      <c r="AC485"/>
      <c r="AD485"/>
      <c r="AE485"/>
      <c r="AF485" t="s">
        <v>50</v>
      </c>
      <c r="AG485" t="s">
        <v>402</v>
      </c>
      <c r="AH485" t="s">
        <v>917</v>
      </c>
      <c r="AI485" t="s">
        <v>3572</v>
      </c>
      <c r="AJ485">
        <v>518</v>
      </c>
    </row>
    <row r="486" spans="1:36" s="2" customFormat="1">
      <c r="A486" t="s">
        <v>3318</v>
      </c>
      <c r="B486" t="s">
        <v>3299</v>
      </c>
      <c r="C486" t="s">
        <v>3564</v>
      </c>
      <c r="D486" t="s">
        <v>3574</v>
      </c>
      <c r="E486" t="s">
        <v>3566</v>
      </c>
      <c r="F486">
        <v>2630</v>
      </c>
      <c r="G486">
        <v>2630</v>
      </c>
      <c r="H486">
        <v>2630</v>
      </c>
      <c r="I486" t="s">
        <v>3567</v>
      </c>
      <c r="J486" t="s">
        <v>3568</v>
      </c>
      <c r="K486" t="s">
        <v>3569</v>
      </c>
      <c r="L486" t="s">
        <v>3570</v>
      </c>
      <c r="M486" t="s">
        <v>3571</v>
      </c>
      <c r="N486" t="s">
        <v>910</v>
      </c>
      <c r="O486" t="s">
        <v>911</v>
      </c>
      <c r="P486" t="s">
        <v>912</v>
      </c>
      <c r="Q486"/>
      <c r="R486" s="7">
        <v>37538</v>
      </c>
      <c r="S486"/>
      <c r="T486"/>
      <c r="U486"/>
      <c r="V486"/>
      <c r="W486" s="15">
        <v>6.6040799999999997</v>
      </c>
      <c r="X486" s="15">
        <v>-75.736109999999996</v>
      </c>
      <c r="Y486">
        <v>2160.6860000000001</v>
      </c>
      <c r="Z486">
        <v>2059</v>
      </c>
      <c r="AA486"/>
      <c r="AB486" t="s">
        <v>916</v>
      </c>
      <c r="AC486"/>
      <c r="AD486"/>
      <c r="AE486"/>
      <c r="AF486" t="s">
        <v>50</v>
      </c>
      <c r="AG486" t="s">
        <v>402</v>
      </c>
      <c r="AH486" t="s">
        <v>917</v>
      </c>
      <c r="AI486" t="s">
        <v>3572</v>
      </c>
      <c r="AJ486">
        <v>519</v>
      </c>
    </row>
    <row r="487" spans="1:36">
      <c r="A487" t="s">
        <v>3318</v>
      </c>
      <c r="B487" t="s">
        <v>3299</v>
      </c>
      <c r="C487" t="s">
        <v>3575</v>
      </c>
      <c r="D487" t="s">
        <v>3576</v>
      </c>
      <c r="E487" t="s">
        <v>3577</v>
      </c>
      <c r="F487">
        <v>1420</v>
      </c>
      <c r="G487">
        <v>1420</v>
      </c>
      <c r="H487">
        <v>1420</v>
      </c>
      <c r="I487" t="s">
        <v>3578</v>
      </c>
      <c r="J487" t="s">
        <v>3579</v>
      </c>
      <c r="K487" t="s">
        <v>3580</v>
      </c>
      <c r="L487" t="s">
        <v>3581</v>
      </c>
      <c r="M487" t="s">
        <v>3582</v>
      </c>
      <c r="N487" t="s">
        <v>3583</v>
      </c>
      <c r="O487" t="s">
        <v>3584</v>
      </c>
      <c r="P487" t="s">
        <v>3585</v>
      </c>
      <c r="R487" s="7">
        <v>37897</v>
      </c>
      <c r="T487" t="s">
        <v>119</v>
      </c>
      <c r="W487" s="15">
        <v>7.133</v>
      </c>
      <c r="X487" s="15">
        <v>-75.159694400000006</v>
      </c>
      <c r="AF487" t="s">
        <v>50</v>
      </c>
      <c r="AG487" t="s">
        <v>402</v>
      </c>
      <c r="AH487" t="s">
        <v>1186</v>
      </c>
      <c r="AI487" t="s">
        <v>3586</v>
      </c>
      <c r="AJ487">
        <v>520</v>
      </c>
    </row>
    <row r="488" spans="1:36">
      <c r="A488" t="s">
        <v>3318</v>
      </c>
      <c r="B488" t="s">
        <v>3299</v>
      </c>
      <c r="C488" t="s">
        <v>3575</v>
      </c>
      <c r="D488" t="s">
        <v>3576</v>
      </c>
      <c r="E488" t="s">
        <v>3577</v>
      </c>
      <c r="F488">
        <v>1420</v>
      </c>
      <c r="G488">
        <v>1420</v>
      </c>
      <c r="H488">
        <v>1420</v>
      </c>
      <c r="I488" t="s">
        <v>3578</v>
      </c>
      <c r="J488" t="s">
        <v>3579</v>
      </c>
      <c r="K488" t="s">
        <v>3580</v>
      </c>
      <c r="L488" t="s">
        <v>3581</v>
      </c>
      <c r="M488" t="s">
        <v>3582</v>
      </c>
      <c r="N488" t="s">
        <v>3583</v>
      </c>
      <c r="O488" t="s">
        <v>3584</v>
      </c>
      <c r="P488" t="s">
        <v>3585</v>
      </c>
      <c r="R488" s="7">
        <v>37897</v>
      </c>
      <c r="T488" t="s">
        <v>119</v>
      </c>
      <c r="W488" s="15">
        <v>7.133</v>
      </c>
      <c r="X488" s="15">
        <v>-75.159694400000006</v>
      </c>
      <c r="AF488" t="s">
        <v>50</v>
      </c>
      <c r="AG488" t="s">
        <v>402</v>
      </c>
      <c r="AH488" t="s">
        <v>1186</v>
      </c>
      <c r="AI488" t="s">
        <v>3586</v>
      </c>
      <c r="AJ488">
        <v>521</v>
      </c>
    </row>
    <row r="489" spans="1:36">
      <c r="A489" t="s">
        <v>3318</v>
      </c>
      <c r="B489" t="s">
        <v>3299</v>
      </c>
      <c r="C489" t="s">
        <v>3587</v>
      </c>
      <c r="D489" t="s">
        <v>3588</v>
      </c>
      <c r="E489" t="s">
        <v>3589</v>
      </c>
      <c r="F489" t="s">
        <v>1025</v>
      </c>
      <c r="G489">
        <v>2150</v>
      </c>
      <c r="H489">
        <v>2250</v>
      </c>
      <c r="I489" t="s">
        <v>3590</v>
      </c>
      <c r="J489" t="s">
        <v>3591</v>
      </c>
      <c r="K489" t="s">
        <v>3592</v>
      </c>
      <c r="L489" t="s">
        <v>3593</v>
      </c>
      <c r="M489" t="s">
        <v>3594</v>
      </c>
      <c r="N489" t="s">
        <v>1030</v>
      </c>
      <c r="O489" t="s">
        <v>1031</v>
      </c>
      <c r="P489" t="s">
        <v>1032</v>
      </c>
      <c r="R489" s="7">
        <v>38341</v>
      </c>
      <c r="T489" t="s">
        <v>119</v>
      </c>
      <c r="W489" s="15">
        <v>5.9836111000000001</v>
      </c>
      <c r="X489" s="15">
        <v>-75.641194400000003</v>
      </c>
      <c r="AF489" t="s">
        <v>50</v>
      </c>
      <c r="AG489" t="s">
        <v>402</v>
      </c>
      <c r="AH489" t="s">
        <v>1034</v>
      </c>
      <c r="AI489" t="s">
        <v>3595</v>
      </c>
      <c r="AJ489">
        <v>522</v>
      </c>
    </row>
    <row r="490" spans="1:36">
      <c r="A490" t="s">
        <v>3318</v>
      </c>
      <c r="B490" t="s">
        <v>3299</v>
      </c>
      <c r="C490" t="s">
        <v>3596</v>
      </c>
      <c r="D490" t="s">
        <v>3597</v>
      </c>
      <c r="E490" t="s">
        <v>3526</v>
      </c>
      <c r="F490">
        <v>1600</v>
      </c>
      <c r="G490">
        <v>1600</v>
      </c>
      <c r="H490">
        <v>1600</v>
      </c>
      <c r="P490" t="s">
        <v>80</v>
      </c>
      <c r="R490" s="7">
        <v>38825</v>
      </c>
      <c r="W490" s="15">
        <v>2.51058</v>
      </c>
      <c r="X490" s="15">
        <v>-76.984210000000004</v>
      </c>
      <c r="Y490">
        <v>1862.7349999999999</v>
      </c>
      <c r="Z490">
        <v>1783</v>
      </c>
      <c r="AB490" t="s">
        <v>282</v>
      </c>
      <c r="AF490" t="s">
        <v>50</v>
      </c>
      <c r="AG490" t="s">
        <v>284</v>
      </c>
      <c r="AH490" t="s">
        <v>285</v>
      </c>
      <c r="AJ490">
        <v>523</v>
      </c>
    </row>
    <row r="491" spans="1:36">
      <c r="A491" t="s">
        <v>3318</v>
      </c>
      <c r="B491" t="s">
        <v>3299</v>
      </c>
      <c r="C491" t="s">
        <v>3564</v>
      </c>
      <c r="D491" t="s">
        <v>3598</v>
      </c>
      <c r="E491" t="s">
        <v>3599</v>
      </c>
      <c r="F491">
        <v>2430</v>
      </c>
      <c r="G491">
        <v>2430</v>
      </c>
      <c r="H491">
        <v>2430</v>
      </c>
      <c r="I491" t="s">
        <v>3600</v>
      </c>
      <c r="J491" t="s">
        <v>3601</v>
      </c>
      <c r="K491" t="s">
        <v>3602</v>
      </c>
      <c r="L491" t="s">
        <v>3603</v>
      </c>
      <c r="M491" t="s">
        <v>3604</v>
      </c>
      <c r="N491" t="s">
        <v>2647</v>
      </c>
      <c r="O491" t="s">
        <v>2648</v>
      </c>
      <c r="P491" t="s">
        <v>2649</v>
      </c>
      <c r="R491" s="7">
        <v>39029</v>
      </c>
      <c r="T491" t="s">
        <v>119</v>
      </c>
      <c r="W491" s="15">
        <v>6.2110278000000001</v>
      </c>
      <c r="X491" s="15">
        <v>-75.655138899999997</v>
      </c>
      <c r="AF491" t="s">
        <v>50</v>
      </c>
      <c r="AG491" t="s">
        <v>402</v>
      </c>
      <c r="AH491" t="s">
        <v>855</v>
      </c>
      <c r="AI491" t="s">
        <v>3605</v>
      </c>
      <c r="AJ491">
        <v>524</v>
      </c>
    </row>
    <row r="492" spans="1:36">
      <c r="A492" t="s">
        <v>3318</v>
      </c>
      <c r="B492" t="s">
        <v>3299</v>
      </c>
      <c r="C492" t="s">
        <v>3606</v>
      </c>
      <c r="D492" t="s">
        <v>3607</v>
      </c>
      <c r="E492" t="s">
        <v>3608</v>
      </c>
      <c r="F492" t="s">
        <v>3609</v>
      </c>
      <c r="G492">
        <v>1000</v>
      </c>
      <c r="H492">
        <v>1280</v>
      </c>
      <c r="I492" t="s">
        <v>3610</v>
      </c>
      <c r="J492" t="s">
        <v>3611</v>
      </c>
      <c r="K492" t="s">
        <v>3612</v>
      </c>
      <c r="L492" t="s">
        <v>3613</v>
      </c>
      <c r="M492" t="s">
        <v>3614</v>
      </c>
      <c r="N492" t="s">
        <v>3615</v>
      </c>
      <c r="O492" t="s">
        <v>3616</v>
      </c>
      <c r="P492" t="s">
        <v>3617</v>
      </c>
      <c r="R492" s="7">
        <v>40746</v>
      </c>
      <c r="T492" t="s">
        <v>318</v>
      </c>
      <c r="W492" s="15">
        <v>6.5125555999999998</v>
      </c>
      <c r="X492" s="15">
        <v>-76.261499999999998</v>
      </c>
      <c r="AF492" t="s">
        <v>50</v>
      </c>
      <c r="AG492" t="s">
        <v>402</v>
      </c>
      <c r="AH492" t="s">
        <v>1685</v>
      </c>
      <c r="AI492" t="s">
        <v>3618</v>
      </c>
      <c r="AJ492">
        <v>525</v>
      </c>
    </row>
    <row r="493" spans="1:36">
      <c r="A493" t="s">
        <v>3318</v>
      </c>
      <c r="B493" t="s">
        <v>3299</v>
      </c>
      <c r="C493" t="s">
        <v>3619</v>
      </c>
      <c r="D493" t="s">
        <v>3607</v>
      </c>
      <c r="E493" t="s">
        <v>3620</v>
      </c>
      <c r="F493" t="s">
        <v>3609</v>
      </c>
      <c r="G493">
        <v>1000</v>
      </c>
      <c r="H493">
        <v>1280</v>
      </c>
      <c r="I493" t="s">
        <v>3610</v>
      </c>
      <c r="J493" t="s">
        <v>3611</v>
      </c>
      <c r="K493" t="s">
        <v>3621</v>
      </c>
      <c r="L493" t="s">
        <v>3622</v>
      </c>
      <c r="M493" t="s">
        <v>3623</v>
      </c>
      <c r="N493" t="s">
        <v>3615</v>
      </c>
      <c r="O493" t="s">
        <v>3616</v>
      </c>
      <c r="P493" t="s">
        <v>3617</v>
      </c>
      <c r="R493" s="7">
        <v>40746</v>
      </c>
      <c r="T493" t="s">
        <v>119</v>
      </c>
      <c r="W493" s="15">
        <v>6.5125555999999998</v>
      </c>
      <c r="X493" s="15">
        <v>-76.261499999999998</v>
      </c>
      <c r="AF493" t="s">
        <v>50</v>
      </c>
      <c r="AG493" t="s">
        <v>402</v>
      </c>
      <c r="AH493" t="s">
        <v>1685</v>
      </c>
      <c r="AI493" t="s">
        <v>3624</v>
      </c>
      <c r="AJ493">
        <v>526</v>
      </c>
    </row>
    <row r="494" spans="1:36">
      <c r="A494" t="s">
        <v>3318</v>
      </c>
      <c r="B494" t="s">
        <v>3299</v>
      </c>
      <c r="C494" t="s">
        <v>3625</v>
      </c>
      <c r="D494" t="s">
        <v>3607</v>
      </c>
      <c r="E494" t="s">
        <v>3626</v>
      </c>
      <c r="F494" t="s">
        <v>3627</v>
      </c>
      <c r="G494">
        <v>1240</v>
      </c>
      <c r="H494">
        <v>1280</v>
      </c>
      <c r="I494" t="s">
        <v>3628</v>
      </c>
      <c r="J494" t="s">
        <v>3629</v>
      </c>
      <c r="K494" t="s">
        <v>3630</v>
      </c>
      <c r="L494" t="s">
        <v>3631</v>
      </c>
      <c r="M494" t="s">
        <v>3632</v>
      </c>
      <c r="N494" t="s">
        <v>3633</v>
      </c>
      <c r="O494" t="s">
        <v>3634</v>
      </c>
      <c r="P494" t="s">
        <v>3635</v>
      </c>
      <c r="R494" s="7">
        <v>40749</v>
      </c>
      <c r="T494" t="s">
        <v>119</v>
      </c>
      <c r="W494" s="15">
        <v>6.5503610999999999</v>
      </c>
      <c r="X494" s="15">
        <v>-76.315083299999998</v>
      </c>
      <c r="AF494" t="s">
        <v>50</v>
      </c>
      <c r="AG494" t="s">
        <v>402</v>
      </c>
      <c r="AH494" t="s">
        <v>1356</v>
      </c>
      <c r="AI494" t="s">
        <v>3636</v>
      </c>
      <c r="AJ494">
        <v>527</v>
      </c>
    </row>
    <row r="495" spans="1:36">
      <c r="A495" t="s">
        <v>3318</v>
      </c>
      <c r="B495" t="s">
        <v>3299</v>
      </c>
      <c r="C495" t="s">
        <v>3637</v>
      </c>
      <c r="D495" t="s">
        <v>3638</v>
      </c>
      <c r="E495" t="s">
        <v>3639</v>
      </c>
      <c r="F495">
        <v>2600</v>
      </c>
      <c r="G495">
        <v>2600</v>
      </c>
      <c r="H495">
        <v>2600</v>
      </c>
      <c r="I495" t="s">
        <v>3640</v>
      </c>
      <c r="J495" t="s">
        <v>3641</v>
      </c>
      <c r="K495" t="s">
        <v>3642</v>
      </c>
      <c r="L495" t="s">
        <v>3643</v>
      </c>
      <c r="M495" t="s">
        <v>3644</v>
      </c>
      <c r="N495" t="s">
        <v>3645</v>
      </c>
      <c r="O495" t="s">
        <v>3646</v>
      </c>
      <c r="P495" t="s">
        <v>3647</v>
      </c>
      <c r="R495" s="7">
        <v>36903</v>
      </c>
      <c r="W495" s="15">
        <v>6.2035</v>
      </c>
      <c r="X495" s="15">
        <v>-75.487250000000003</v>
      </c>
      <c r="AF495" t="s">
        <v>50</v>
      </c>
      <c r="AG495" t="s">
        <v>402</v>
      </c>
      <c r="AH495" t="s">
        <v>3648</v>
      </c>
      <c r="AI495" t="s">
        <v>3649</v>
      </c>
      <c r="AJ495">
        <v>528</v>
      </c>
    </row>
    <row r="496" spans="1:36">
      <c r="A496" t="s">
        <v>3318</v>
      </c>
      <c r="B496" t="s">
        <v>3299</v>
      </c>
      <c r="C496" t="s">
        <v>3650</v>
      </c>
      <c r="D496" t="s">
        <v>3651</v>
      </c>
      <c r="E496" t="s">
        <v>3652</v>
      </c>
      <c r="F496">
        <v>1300</v>
      </c>
      <c r="G496">
        <v>1300</v>
      </c>
      <c r="H496">
        <v>1300</v>
      </c>
      <c r="P496" t="s">
        <v>80</v>
      </c>
      <c r="R496" s="7">
        <v>30331</v>
      </c>
      <c r="T496" t="s">
        <v>119</v>
      </c>
      <c r="W496" s="15">
        <v>4.8782800000000002</v>
      </c>
      <c r="X496" s="15">
        <v>-76.233530000000002</v>
      </c>
      <c r="Y496">
        <v>1520.1759999999999</v>
      </c>
      <c r="Z496">
        <v>1322</v>
      </c>
      <c r="AB496" t="s">
        <v>3653</v>
      </c>
      <c r="AF496" t="s">
        <v>50</v>
      </c>
      <c r="AG496" t="s">
        <v>374</v>
      </c>
      <c r="AH496" t="s">
        <v>1447</v>
      </c>
      <c r="AI496" t="s">
        <v>3654</v>
      </c>
      <c r="AJ496">
        <v>529</v>
      </c>
    </row>
    <row r="497" spans="1:36">
      <c r="A497" t="s">
        <v>3318</v>
      </c>
      <c r="B497" t="s">
        <v>3299</v>
      </c>
      <c r="C497" t="s">
        <v>3655</v>
      </c>
      <c r="D497" t="s">
        <v>299</v>
      </c>
      <c r="E497" t="s">
        <v>3656</v>
      </c>
      <c r="F497">
        <v>800</v>
      </c>
      <c r="G497">
        <v>800</v>
      </c>
      <c r="H497">
        <v>800</v>
      </c>
      <c r="I497" t="s">
        <v>1272</v>
      </c>
      <c r="J497" t="s">
        <v>1273</v>
      </c>
      <c r="K497" t="s">
        <v>3657</v>
      </c>
      <c r="L497" t="s">
        <v>3658</v>
      </c>
      <c r="M497" t="s">
        <v>3659</v>
      </c>
      <c r="N497" t="s">
        <v>1277</v>
      </c>
      <c r="O497" t="s">
        <v>3660</v>
      </c>
      <c r="P497" t="s">
        <v>3661</v>
      </c>
      <c r="R497" s="7">
        <v>39193</v>
      </c>
      <c r="W497" s="15">
        <v>6.2927</v>
      </c>
      <c r="X497" s="15">
        <v>-75.507090000000005</v>
      </c>
      <c r="Y497">
        <v>3749.79</v>
      </c>
      <c r="Z497">
        <v>2379</v>
      </c>
      <c r="AB497" t="s">
        <v>2654</v>
      </c>
      <c r="AF497" t="s">
        <v>50</v>
      </c>
      <c r="AG497" t="s">
        <v>402</v>
      </c>
      <c r="AH497" t="s">
        <v>855</v>
      </c>
      <c r="AI497" t="s">
        <v>3662</v>
      </c>
      <c r="AJ497">
        <v>530</v>
      </c>
    </row>
    <row r="498" spans="1:36">
      <c r="A498" t="s">
        <v>3663</v>
      </c>
      <c r="B498" t="s">
        <v>3299</v>
      </c>
      <c r="C498" t="s">
        <v>3664</v>
      </c>
      <c r="D498" t="s">
        <v>3665</v>
      </c>
      <c r="E498" t="s">
        <v>3666</v>
      </c>
      <c r="F498" t="s">
        <v>3667</v>
      </c>
      <c r="G498">
        <v>2200</v>
      </c>
      <c r="H498">
        <v>2600</v>
      </c>
      <c r="I498" t="s">
        <v>3668</v>
      </c>
      <c r="J498" t="s">
        <v>3668</v>
      </c>
      <c r="K498" t="s">
        <v>3669</v>
      </c>
      <c r="L498" t="s">
        <v>3669</v>
      </c>
      <c r="M498" t="s">
        <v>3670</v>
      </c>
      <c r="N498" t="s">
        <v>811</v>
      </c>
      <c r="O498" t="s">
        <v>422</v>
      </c>
      <c r="P498" t="s">
        <v>3671</v>
      </c>
      <c r="R498" s="7">
        <v>26022</v>
      </c>
      <c r="T498" t="s">
        <v>1863</v>
      </c>
      <c r="W498" s="15">
        <v>6.2833332999999998</v>
      </c>
      <c r="X498" s="15">
        <v>-75.5</v>
      </c>
      <c r="AF498" t="s">
        <v>50</v>
      </c>
      <c r="AG498" t="s">
        <v>402</v>
      </c>
      <c r="AH498" t="s">
        <v>3672</v>
      </c>
      <c r="AI498" t="s">
        <v>3673</v>
      </c>
      <c r="AJ498">
        <v>531</v>
      </c>
    </row>
    <row r="499" spans="1:36">
      <c r="A499" t="s">
        <v>3674</v>
      </c>
      <c r="B499" t="s">
        <v>3299</v>
      </c>
      <c r="C499" t="s">
        <v>3675</v>
      </c>
      <c r="D499" t="s">
        <v>3476</v>
      </c>
      <c r="E499" t="s">
        <v>3676</v>
      </c>
      <c r="F499">
        <v>1850</v>
      </c>
      <c r="G499">
        <v>1850</v>
      </c>
      <c r="H499">
        <v>1850</v>
      </c>
      <c r="I499" t="s">
        <v>2371</v>
      </c>
      <c r="J499" t="s">
        <v>2371</v>
      </c>
      <c r="K499" t="s">
        <v>2384</v>
      </c>
      <c r="L499" t="s">
        <v>2384</v>
      </c>
      <c r="M499" t="s">
        <v>3677</v>
      </c>
      <c r="N499" t="s">
        <v>532</v>
      </c>
      <c r="O499" t="s">
        <v>2365</v>
      </c>
      <c r="P499" t="s">
        <v>2366</v>
      </c>
      <c r="R499" s="7">
        <v>32833</v>
      </c>
      <c r="T499" t="s">
        <v>1863</v>
      </c>
      <c r="W499" s="15">
        <v>6.25</v>
      </c>
      <c r="X499" s="15">
        <v>-75.166666699999993</v>
      </c>
      <c r="AF499" t="s">
        <v>50</v>
      </c>
      <c r="AG499" t="s">
        <v>402</v>
      </c>
      <c r="AH499" t="s">
        <v>2230</v>
      </c>
      <c r="AI499" t="s">
        <v>3482</v>
      </c>
      <c r="AJ499">
        <v>532</v>
      </c>
    </row>
    <row r="500" spans="1:36">
      <c r="A500" t="s">
        <v>3678</v>
      </c>
      <c r="B500" t="s">
        <v>3299</v>
      </c>
      <c r="C500" t="s">
        <v>3679</v>
      </c>
      <c r="D500" t="s">
        <v>3494</v>
      </c>
      <c r="E500" t="s">
        <v>3680</v>
      </c>
      <c r="F500">
        <v>1850</v>
      </c>
      <c r="G500">
        <v>1850</v>
      </c>
      <c r="H500">
        <v>1850</v>
      </c>
      <c r="I500" t="s">
        <v>3681</v>
      </c>
      <c r="J500" t="s">
        <v>3681</v>
      </c>
      <c r="K500" t="s">
        <v>3682</v>
      </c>
      <c r="L500" t="s">
        <v>3682</v>
      </c>
      <c r="M500" t="s">
        <v>3683</v>
      </c>
      <c r="N500" t="s">
        <v>532</v>
      </c>
      <c r="O500" t="s">
        <v>2365</v>
      </c>
      <c r="P500" t="s">
        <v>2366</v>
      </c>
      <c r="R500" s="7">
        <v>33001</v>
      </c>
      <c r="T500" t="s">
        <v>1863</v>
      </c>
      <c r="W500" s="15">
        <v>6.25</v>
      </c>
      <c r="X500" s="15">
        <v>-75.166666699999993</v>
      </c>
      <c r="AF500" t="s">
        <v>50</v>
      </c>
      <c r="AG500" t="s">
        <v>402</v>
      </c>
      <c r="AH500" t="s">
        <v>2230</v>
      </c>
      <c r="AJ500">
        <v>533</v>
      </c>
    </row>
    <row r="501" spans="1:36">
      <c r="A501" t="s">
        <v>3684</v>
      </c>
      <c r="B501" t="s">
        <v>3685</v>
      </c>
      <c r="C501" t="s">
        <v>3686</v>
      </c>
      <c r="D501" t="s">
        <v>3687</v>
      </c>
      <c r="E501" t="s">
        <v>3688</v>
      </c>
      <c r="F501">
        <v>2480</v>
      </c>
      <c r="G501">
        <v>2480</v>
      </c>
      <c r="H501">
        <v>2480</v>
      </c>
      <c r="I501" t="s">
        <v>3689</v>
      </c>
      <c r="J501" t="s">
        <v>3690</v>
      </c>
      <c r="K501" t="s">
        <v>3691</v>
      </c>
      <c r="L501" t="s">
        <v>3692</v>
      </c>
      <c r="M501" t="s">
        <v>3693</v>
      </c>
      <c r="N501" t="s">
        <v>3694</v>
      </c>
      <c r="O501" t="s">
        <v>3695</v>
      </c>
      <c r="P501" t="s">
        <v>3696</v>
      </c>
      <c r="R501" s="7">
        <v>37071</v>
      </c>
      <c r="T501" t="s">
        <v>119</v>
      </c>
      <c r="W501" s="15">
        <v>6.2007778</v>
      </c>
      <c r="X501" s="15">
        <v>-75.466222200000004</v>
      </c>
      <c r="AF501" t="s">
        <v>50</v>
      </c>
      <c r="AG501" t="s">
        <v>402</v>
      </c>
      <c r="AH501" t="s">
        <v>550</v>
      </c>
      <c r="AI501" t="s">
        <v>3697</v>
      </c>
      <c r="AJ501">
        <v>534</v>
      </c>
    </row>
    <row r="502" spans="1:36">
      <c r="A502" t="s">
        <v>3684</v>
      </c>
      <c r="B502" t="s">
        <v>3685</v>
      </c>
      <c r="C502" t="s">
        <v>3686</v>
      </c>
      <c r="D502" t="s">
        <v>3698</v>
      </c>
      <c r="E502" t="s">
        <v>3688</v>
      </c>
      <c r="F502">
        <v>2480</v>
      </c>
      <c r="G502">
        <v>2480</v>
      </c>
      <c r="H502">
        <v>2480</v>
      </c>
      <c r="I502" t="s">
        <v>3689</v>
      </c>
      <c r="J502" t="s">
        <v>3690</v>
      </c>
      <c r="K502" t="s">
        <v>3691</v>
      </c>
      <c r="L502" t="s">
        <v>3692</v>
      </c>
      <c r="M502" t="s">
        <v>3693</v>
      </c>
      <c r="N502" t="s">
        <v>3694</v>
      </c>
      <c r="O502" t="s">
        <v>3695</v>
      </c>
      <c r="P502" t="s">
        <v>3696</v>
      </c>
      <c r="R502" s="7">
        <v>37071</v>
      </c>
      <c r="W502" s="15">
        <v>6.2007778</v>
      </c>
      <c r="X502" s="15">
        <v>-75.466222200000004</v>
      </c>
      <c r="AF502" t="s">
        <v>50</v>
      </c>
      <c r="AG502" t="s">
        <v>402</v>
      </c>
      <c r="AH502" t="s">
        <v>550</v>
      </c>
      <c r="AI502" t="s">
        <v>3697</v>
      </c>
      <c r="AJ502">
        <v>535</v>
      </c>
    </row>
    <row r="503" spans="1:36">
      <c r="A503" t="s">
        <v>3684</v>
      </c>
      <c r="B503" t="s">
        <v>3685</v>
      </c>
      <c r="C503" t="s">
        <v>3686</v>
      </c>
      <c r="D503" t="s">
        <v>3699</v>
      </c>
      <c r="E503" t="s">
        <v>3688</v>
      </c>
      <c r="F503">
        <v>2480</v>
      </c>
      <c r="G503">
        <v>2480</v>
      </c>
      <c r="H503">
        <v>2480</v>
      </c>
      <c r="I503" t="s">
        <v>3689</v>
      </c>
      <c r="J503" t="s">
        <v>3690</v>
      </c>
      <c r="K503" t="s">
        <v>3691</v>
      </c>
      <c r="L503" t="s">
        <v>3692</v>
      </c>
      <c r="M503" t="s">
        <v>3693</v>
      </c>
      <c r="N503" t="s">
        <v>3694</v>
      </c>
      <c r="O503" t="s">
        <v>3695</v>
      </c>
      <c r="P503" t="s">
        <v>3696</v>
      </c>
      <c r="R503" s="7">
        <v>37071</v>
      </c>
      <c r="W503" s="15">
        <v>6.2007778</v>
      </c>
      <c r="X503" s="15">
        <v>-75.466222200000004</v>
      </c>
      <c r="AF503" t="s">
        <v>50</v>
      </c>
      <c r="AG503" t="s">
        <v>402</v>
      </c>
      <c r="AH503" t="s">
        <v>550</v>
      </c>
      <c r="AI503" t="s">
        <v>3697</v>
      </c>
      <c r="AJ503">
        <v>536</v>
      </c>
    </row>
    <row r="504" spans="1:36">
      <c r="A504" t="s">
        <v>3684</v>
      </c>
      <c r="B504" t="s">
        <v>3685</v>
      </c>
      <c r="C504" t="s">
        <v>3700</v>
      </c>
      <c r="D504" t="s">
        <v>3701</v>
      </c>
      <c r="E504" t="s">
        <v>3702</v>
      </c>
      <c r="F504">
        <v>1800</v>
      </c>
      <c r="G504">
        <v>1800</v>
      </c>
      <c r="H504">
        <v>1800</v>
      </c>
      <c r="I504" t="s">
        <v>3703</v>
      </c>
      <c r="J504" t="s">
        <v>3704</v>
      </c>
      <c r="K504" t="s">
        <v>59</v>
      </c>
      <c r="L504" t="s">
        <v>60</v>
      </c>
      <c r="M504" t="s">
        <v>3705</v>
      </c>
      <c r="N504" t="s">
        <v>3706</v>
      </c>
      <c r="O504" t="s">
        <v>63</v>
      </c>
      <c r="P504" t="s">
        <v>3707</v>
      </c>
      <c r="R504" s="7">
        <v>37378</v>
      </c>
      <c r="T504" t="s">
        <v>119</v>
      </c>
      <c r="W504" s="15">
        <v>2.5747399999999998</v>
      </c>
      <c r="X504" s="15">
        <v>-76.548209999999997</v>
      </c>
      <c r="Y504" t="s">
        <v>3708</v>
      </c>
      <c r="Z504">
        <v>1795</v>
      </c>
      <c r="AB504" t="s">
        <v>3709</v>
      </c>
      <c r="AF504" t="s">
        <v>50</v>
      </c>
      <c r="AG504" t="s">
        <v>3710</v>
      </c>
      <c r="AH504" t="s">
        <v>3711</v>
      </c>
      <c r="AI504" t="s">
        <v>3712</v>
      </c>
      <c r="AJ504">
        <v>537</v>
      </c>
    </row>
    <row r="505" spans="1:36">
      <c r="A505" t="s">
        <v>3684</v>
      </c>
      <c r="B505" t="s">
        <v>3685</v>
      </c>
      <c r="C505" t="s">
        <v>3713</v>
      </c>
      <c r="D505" t="s">
        <v>3714</v>
      </c>
      <c r="E505" t="s">
        <v>3715</v>
      </c>
      <c r="F505">
        <v>1100</v>
      </c>
      <c r="G505">
        <v>1100</v>
      </c>
      <c r="H505">
        <v>1100</v>
      </c>
      <c r="I505" t="s">
        <v>3716</v>
      </c>
      <c r="J505" t="s">
        <v>3717</v>
      </c>
      <c r="K505" t="s">
        <v>3718</v>
      </c>
      <c r="L505" t="s">
        <v>3719</v>
      </c>
      <c r="M505" t="s">
        <v>3720</v>
      </c>
      <c r="N505" t="s">
        <v>3721</v>
      </c>
      <c r="O505" t="s">
        <v>3722</v>
      </c>
      <c r="P505" t="s">
        <v>3723</v>
      </c>
      <c r="R505" s="7">
        <v>25344</v>
      </c>
      <c r="W505" s="15">
        <v>2.5</v>
      </c>
      <c r="X505" s="15">
        <v>-76.583333300000007</v>
      </c>
      <c r="AF505" t="s">
        <v>50</v>
      </c>
      <c r="AG505" t="s">
        <v>283</v>
      </c>
      <c r="AH505" t="s">
        <v>3724</v>
      </c>
      <c r="AJ505">
        <v>538</v>
      </c>
    </row>
    <row r="506" spans="1:36">
      <c r="A506" t="s">
        <v>3684</v>
      </c>
      <c r="B506" t="s">
        <v>3685</v>
      </c>
      <c r="C506" t="s">
        <v>3713</v>
      </c>
      <c r="D506" t="s">
        <v>3725</v>
      </c>
      <c r="E506" t="s">
        <v>3715</v>
      </c>
      <c r="F506">
        <v>1100</v>
      </c>
      <c r="G506">
        <v>1100</v>
      </c>
      <c r="H506">
        <v>1100</v>
      </c>
      <c r="I506" t="s">
        <v>3716</v>
      </c>
      <c r="J506" t="s">
        <v>3717</v>
      </c>
      <c r="K506" t="s">
        <v>3718</v>
      </c>
      <c r="L506" t="s">
        <v>3719</v>
      </c>
      <c r="M506" t="s">
        <v>3720</v>
      </c>
      <c r="N506" t="s">
        <v>3721</v>
      </c>
      <c r="O506" t="s">
        <v>3722</v>
      </c>
      <c r="P506" t="s">
        <v>3723</v>
      </c>
      <c r="R506" s="7">
        <v>32649</v>
      </c>
      <c r="W506" s="15">
        <v>2.5</v>
      </c>
      <c r="X506" s="15">
        <v>-76.583333300000007</v>
      </c>
      <c r="AF506" t="s">
        <v>50</v>
      </c>
      <c r="AG506" t="s">
        <v>283</v>
      </c>
      <c r="AH506" t="s">
        <v>3724</v>
      </c>
      <c r="AJ506">
        <v>539</v>
      </c>
    </row>
    <row r="507" spans="1:36">
      <c r="A507" t="s">
        <v>3684</v>
      </c>
      <c r="B507" t="s">
        <v>3685</v>
      </c>
      <c r="C507" t="s">
        <v>3713</v>
      </c>
      <c r="D507" t="s">
        <v>3726</v>
      </c>
      <c r="E507" t="s">
        <v>3715</v>
      </c>
      <c r="F507">
        <v>1100</v>
      </c>
      <c r="G507">
        <v>1100</v>
      </c>
      <c r="H507">
        <v>1100</v>
      </c>
      <c r="I507" t="s">
        <v>3716</v>
      </c>
      <c r="J507" t="s">
        <v>3717</v>
      </c>
      <c r="K507" t="s">
        <v>3718</v>
      </c>
      <c r="L507" t="s">
        <v>3719</v>
      </c>
      <c r="M507" t="s">
        <v>3720</v>
      </c>
      <c r="N507" t="s">
        <v>3721</v>
      </c>
      <c r="O507" t="s">
        <v>3722</v>
      </c>
      <c r="P507" t="s">
        <v>3723</v>
      </c>
      <c r="R507" s="7">
        <v>32649</v>
      </c>
      <c r="W507" s="15">
        <v>2.5</v>
      </c>
      <c r="X507" s="15">
        <v>-76.583333300000007</v>
      </c>
      <c r="AF507" t="s">
        <v>50</v>
      </c>
      <c r="AG507" t="s">
        <v>283</v>
      </c>
      <c r="AH507" t="s">
        <v>3724</v>
      </c>
      <c r="AJ507">
        <v>540</v>
      </c>
    </row>
    <row r="508" spans="1:36">
      <c r="A508" t="s">
        <v>3684</v>
      </c>
      <c r="B508" t="s">
        <v>3685</v>
      </c>
      <c r="C508" t="s">
        <v>3713</v>
      </c>
      <c r="D508" t="s">
        <v>3727</v>
      </c>
      <c r="E508" t="s">
        <v>3715</v>
      </c>
      <c r="F508">
        <v>1100</v>
      </c>
      <c r="G508">
        <v>1100</v>
      </c>
      <c r="H508">
        <v>1100</v>
      </c>
      <c r="I508" t="s">
        <v>3716</v>
      </c>
      <c r="J508" t="s">
        <v>3717</v>
      </c>
      <c r="K508" t="s">
        <v>3718</v>
      </c>
      <c r="L508" t="s">
        <v>3719</v>
      </c>
      <c r="M508" t="s">
        <v>3720</v>
      </c>
      <c r="N508" t="s">
        <v>3721</v>
      </c>
      <c r="O508" t="s">
        <v>3722</v>
      </c>
      <c r="P508" t="s">
        <v>3723</v>
      </c>
      <c r="R508" s="7">
        <v>32649</v>
      </c>
      <c r="W508" s="15">
        <v>2.5</v>
      </c>
      <c r="X508" s="15">
        <v>-76.583333300000007</v>
      </c>
      <c r="AF508" t="s">
        <v>50</v>
      </c>
      <c r="AG508" t="s">
        <v>283</v>
      </c>
      <c r="AH508" t="s">
        <v>3724</v>
      </c>
      <c r="AJ508">
        <v>541</v>
      </c>
    </row>
    <row r="509" spans="1:36">
      <c r="A509" t="s">
        <v>3684</v>
      </c>
      <c r="B509" t="s">
        <v>3685</v>
      </c>
      <c r="C509" t="s">
        <v>3728</v>
      </c>
      <c r="D509" t="s">
        <v>3729</v>
      </c>
      <c r="E509" t="s">
        <v>3730</v>
      </c>
      <c r="F509">
        <v>1830</v>
      </c>
      <c r="G509">
        <v>1830</v>
      </c>
      <c r="H509">
        <v>1830</v>
      </c>
      <c r="I509" t="s">
        <v>768</v>
      </c>
      <c r="J509" t="s">
        <v>769</v>
      </c>
      <c r="K509" t="s">
        <v>3731</v>
      </c>
      <c r="L509" t="s">
        <v>3732</v>
      </c>
      <c r="M509" t="s">
        <v>3733</v>
      </c>
      <c r="N509" t="s">
        <v>773</v>
      </c>
      <c r="O509" t="s">
        <v>3734</v>
      </c>
      <c r="P509" t="s">
        <v>3735</v>
      </c>
      <c r="R509" s="7">
        <v>36561</v>
      </c>
      <c r="T509" t="s">
        <v>119</v>
      </c>
      <c r="W509" s="15">
        <v>2.4500000000000002</v>
      </c>
      <c r="X509" s="15">
        <v>-76.483333299999998</v>
      </c>
      <c r="AF509" t="s">
        <v>50</v>
      </c>
      <c r="AG509" t="s">
        <v>283</v>
      </c>
      <c r="AH509" t="s">
        <v>703</v>
      </c>
      <c r="AI509" t="s">
        <v>3736</v>
      </c>
      <c r="AJ509">
        <v>542</v>
      </c>
    </row>
    <row r="510" spans="1:36">
      <c r="A510" t="s">
        <v>3684</v>
      </c>
      <c r="B510" t="s">
        <v>3685</v>
      </c>
      <c r="C510" t="s">
        <v>3737</v>
      </c>
      <c r="D510" t="s">
        <v>3738</v>
      </c>
      <c r="E510" t="s">
        <v>3739</v>
      </c>
      <c r="F510">
        <v>1920</v>
      </c>
      <c r="G510">
        <v>1920</v>
      </c>
      <c r="H510">
        <v>1920</v>
      </c>
      <c r="I510" t="s">
        <v>3740</v>
      </c>
      <c r="J510" t="s">
        <v>3741</v>
      </c>
      <c r="K510" t="s">
        <v>3742</v>
      </c>
      <c r="L510" t="s">
        <v>3743</v>
      </c>
      <c r="M510" t="s">
        <v>3744</v>
      </c>
      <c r="N510" t="s">
        <v>3745</v>
      </c>
      <c r="O510" t="s">
        <v>3746</v>
      </c>
      <c r="P510" t="s">
        <v>3747</v>
      </c>
      <c r="R510" s="7">
        <v>36840</v>
      </c>
      <c r="T510" t="s">
        <v>111</v>
      </c>
      <c r="W510" s="15">
        <v>2.4441666999999998</v>
      </c>
      <c r="X510" s="15">
        <v>-76.590277799999996</v>
      </c>
      <c r="AF510" t="s">
        <v>50</v>
      </c>
      <c r="AG510" t="s">
        <v>283</v>
      </c>
      <c r="AH510" t="s">
        <v>703</v>
      </c>
      <c r="AI510" t="s">
        <v>3748</v>
      </c>
      <c r="AJ510">
        <v>543</v>
      </c>
    </row>
    <row r="511" spans="1:36">
      <c r="A511" t="s">
        <v>3684</v>
      </c>
      <c r="B511" t="s">
        <v>3685</v>
      </c>
      <c r="C511" t="s">
        <v>3749</v>
      </c>
      <c r="D511" t="s">
        <v>3750</v>
      </c>
      <c r="E511" t="s">
        <v>3751</v>
      </c>
      <c r="F511">
        <v>1850</v>
      </c>
      <c r="G511">
        <v>1850</v>
      </c>
      <c r="H511">
        <v>1850</v>
      </c>
      <c r="I511" t="s">
        <v>3716</v>
      </c>
      <c r="J511" t="s">
        <v>3717</v>
      </c>
      <c r="K511" t="s">
        <v>3718</v>
      </c>
      <c r="L511" t="s">
        <v>3719</v>
      </c>
      <c r="M511" t="s">
        <v>3720</v>
      </c>
      <c r="N511" t="s">
        <v>3721</v>
      </c>
      <c r="O511" t="s">
        <v>3722</v>
      </c>
      <c r="P511" t="s">
        <v>3723</v>
      </c>
      <c r="R511" s="7">
        <v>36861</v>
      </c>
      <c r="T511" t="s">
        <v>119</v>
      </c>
      <c r="W511" s="15">
        <v>2.5</v>
      </c>
      <c r="X511" s="15">
        <v>-76.583333300000007</v>
      </c>
      <c r="AF511" t="s">
        <v>50</v>
      </c>
      <c r="AG511" t="s">
        <v>283</v>
      </c>
      <c r="AH511" t="s">
        <v>703</v>
      </c>
      <c r="AI511" t="s">
        <v>3752</v>
      </c>
      <c r="AJ511">
        <v>544</v>
      </c>
    </row>
    <row r="512" spans="1:36">
      <c r="A512" t="s">
        <v>3684</v>
      </c>
      <c r="B512" t="s">
        <v>3685</v>
      </c>
      <c r="C512" t="s">
        <v>3753</v>
      </c>
      <c r="D512" t="s">
        <v>3754</v>
      </c>
      <c r="E512" t="s">
        <v>3755</v>
      </c>
      <c r="F512">
        <v>1740</v>
      </c>
      <c r="G512">
        <v>1740</v>
      </c>
      <c r="H512">
        <v>1740</v>
      </c>
      <c r="I512" t="s">
        <v>768</v>
      </c>
      <c r="J512" t="s">
        <v>769</v>
      </c>
      <c r="K512" t="s">
        <v>770</v>
      </c>
      <c r="L512" t="s">
        <v>771</v>
      </c>
      <c r="M512" t="s">
        <v>772</v>
      </c>
      <c r="N512" t="s">
        <v>773</v>
      </c>
      <c r="O512" t="s">
        <v>774</v>
      </c>
      <c r="P512" t="s">
        <v>775</v>
      </c>
      <c r="R512" s="7">
        <v>36958</v>
      </c>
      <c r="W512" s="15">
        <v>2.45228</v>
      </c>
      <c r="X512" s="15">
        <v>-76.522459999999995</v>
      </c>
      <c r="Y512" t="s">
        <v>3756</v>
      </c>
      <c r="Z512">
        <v>2006</v>
      </c>
      <c r="AF512" t="s">
        <v>50</v>
      </c>
      <c r="AG512" t="s">
        <v>283</v>
      </c>
      <c r="AH512" t="s">
        <v>703</v>
      </c>
      <c r="AI512" t="s">
        <v>3757</v>
      </c>
      <c r="AJ512">
        <v>545</v>
      </c>
    </row>
    <row r="513" spans="1:36">
      <c r="A513" t="s">
        <v>3684</v>
      </c>
      <c r="B513" t="s">
        <v>3685</v>
      </c>
      <c r="C513" t="s">
        <v>3758</v>
      </c>
      <c r="D513" t="s">
        <v>3759</v>
      </c>
      <c r="E513" t="s">
        <v>3760</v>
      </c>
      <c r="F513">
        <v>1700</v>
      </c>
      <c r="G513">
        <v>1700</v>
      </c>
      <c r="H513">
        <v>1700</v>
      </c>
      <c r="I513" t="s">
        <v>3703</v>
      </c>
      <c r="J513" t="s">
        <v>3704</v>
      </c>
      <c r="K513" t="s">
        <v>59</v>
      </c>
      <c r="L513" t="s">
        <v>60</v>
      </c>
      <c r="M513" t="s">
        <v>3705</v>
      </c>
      <c r="N513" t="s">
        <v>3706</v>
      </c>
      <c r="O513" t="s">
        <v>63</v>
      </c>
      <c r="P513" t="s">
        <v>3707</v>
      </c>
      <c r="R513" s="7">
        <v>38675</v>
      </c>
      <c r="W513" s="15">
        <v>2.5747399999999998</v>
      </c>
      <c r="X513" s="15">
        <v>-76.548209999999997</v>
      </c>
      <c r="AF513" t="s">
        <v>50</v>
      </c>
      <c r="AG513" t="s">
        <v>283</v>
      </c>
      <c r="AH513" t="s">
        <v>3761</v>
      </c>
      <c r="AI513" t="s">
        <v>3762</v>
      </c>
      <c r="AJ513">
        <v>546</v>
      </c>
    </row>
    <row r="514" spans="1:36">
      <c r="A514" t="s">
        <v>3684</v>
      </c>
      <c r="B514" t="s">
        <v>3685</v>
      </c>
      <c r="C514" t="s">
        <v>3763</v>
      </c>
      <c r="D514" t="s">
        <v>3764</v>
      </c>
      <c r="E514" t="s">
        <v>3765</v>
      </c>
      <c r="F514" t="s">
        <v>3766</v>
      </c>
      <c r="G514" t="s">
        <v>3766</v>
      </c>
      <c r="H514" t="s">
        <v>3766</v>
      </c>
      <c r="P514" t="s">
        <v>80</v>
      </c>
      <c r="R514" s="7">
        <v>17084</v>
      </c>
      <c r="T514" t="s">
        <v>65</v>
      </c>
      <c r="W514" s="15">
        <v>5.1131000000000002</v>
      </c>
      <c r="X514" s="15">
        <v>-73.844949999999997</v>
      </c>
      <c r="Y514" t="s">
        <v>3767</v>
      </c>
      <c r="Z514">
        <v>2600</v>
      </c>
      <c r="AB514" t="s">
        <v>3768</v>
      </c>
      <c r="AF514" t="s">
        <v>50</v>
      </c>
      <c r="AG514" t="s">
        <v>98</v>
      </c>
      <c r="AH514" t="s">
        <v>3769</v>
      </c>
      <c r="AI514" t="s">
        <v>3770</v>
      </c>
      <c r="AJ514">
        <v>547</v>
      </c>
    </row>
    <row r="515" spans="1:36">
      <c r="A515" t="s">
        <v>3684</v>
      </c>
      <c r="B515" t="s">
        <v>3685</v>
      </c>
      <c r="C515" t="s">
        <v>3771</v>
      </c>
      <c r="D515" t="s">
        <v>3772</v>
      </c>
      <c r="E515" t="s">
        <v>3773</v>
      </c>
      <c r="F515">
        <v>1750</v>
      </c>
      <c r="G515">
        <v>1750</v>
      </c>
      <c r="H515">
        <v>1750</v>
      </c>
      <c r="P515" t="s">
        <v>80</v>
      </c>
      <c r="R515" s="7">
        <v>27167</v>
      </c>
      <c r="W515" s="15">
        <v>4.8207700000000004</v>
      </c>
      <c r="X515" s="15">
        <v>-73.639340000000004</v>
      </c>
      <c r="Y515">
        <v>82.418999999999997</v>
      </c>
      <c r="Z515">
        <v>1783</v>
      </c>
      <c r="AB515" t="s">
        <v>3774</v>
      </c>
      <c r="AF515" t="s">
        <v>50</v>
      </c>
      <c r="AG515" t="s">
        <v>98</v>
      </c>
      <c r="AH515" t="s">
        <v>3775</v>
      </c>
      <c r="AI515" t="s">
        <v>3776</v>
      </c>
      <c r="AJ515">
        <v>548</v>
      </c>
    </row>
    <row r="516" spans="1:36">
      <c r="A516" t="s">
        <v>3684</v>
      </c>
      <c r="B516" t="s">
        <v>3685</v>
      </c>
      <c r="C516" t="s">
        <v>3777</v>
      </c>
      <c r="D516" t="s">
        <v>3778</v>
      </c>
      <c r="E516" t="s">
        <v>3779</v>
      </c>
      <c r="F516">
        <v>2600</v>
      </c>
      <c r="G516">
        <v>2600</v>
      </c>
      <c r="H516">
        <v>2600</v>
      </c>
      <c r="P516" t="s">
        <v>80</v>
      </c>
      <c r="R516" s="7">
        <v>27182</v>
      </c>
      <c r="T516" t="s">
        <v>65</v>
      </c>
      <c r="W516" s="15">
        <v>5.1205499999999997</v>
      </c>
      <c r="X516" s="15">
        <v>-73.836889999999997</v>
      </c>
      <c r="Y516">
        <v>2009.5709999999999</v>
      </c>
      <c r="Z516">
        <v>2761</v>
      </c>
      <c r="AB516" t="s">
        <v>3780</v>
      </c>
      <c r="AF516" t="s">
        <v>50</v>
      </c>
      <c r="AG516" t="s">
        <v>98</v>
      </c>
      <c r="AH516" t="s">
        <v>3769</v>
      </c>
      <c r="AI516" t="s">
        <v>3781</v>
      </c>
      <c r="AJ516">
        <v>549</v>
      </c>
    </row>
    <row r="517" spans="1:36">
      <c r="A517" t="s">
        <v>3684</v>
      </c>
      <c r="B517" t="s">
        <v>3685</v>
      </c>
      <c r="C517" t="s">
        <v>3782</v>
      </c>
      <c r="D517" t="s">
        <v>3783</v>
      </c>
      <c r="E517" t="s">
        <v>3784</v>
      </c>
      <c r="F517">
        <v>2000</v>
      </c>
      <c r="G517">
        <v>2000</v>
      </c>
      <c r="H517">
        <v>2000</v>
      </c>
      <c r="P517" t="s">
        <v>80</v>
      </c>
      <c r="R517" s="7">
        <v>27221</v>
      </c>
      <c r="W517" s="15">
        <v>4.4999099999999999</v>
      </c>
      <c r="X517" s="15">
        <v>-73.936779999999999</v>
      </c>
      <c r="Y517">
        <v>158.52500000000001</v>
      </c>
      <c r="Z517">
        <v>2083</v>
      </c>
      <c r="AB517" t="s">
        <v>3785</v>
      </c>
      <c r="AF517" t="s">
        <v>50</v>
      </c>
      <c r="AG517" t="s">
        <v>98</v>
      </c>
      <c r="AH517" t="s">
        <v>3786</v>
      </c>
      <c r="AJ517">
        <v>550</v>
      </c>
    </row>
    <row r="518" spans="1:36">
      <c r="A518" t="s">
        <v>3684</v>
      </c>
      <c r="B518" t="s">
        <v>3685</v>
      </c>
      <c r="C518" t="s">
        <v>3787</v>
      </c>
      <c r="D518" t="s">
        <v>3788</v>
      </c>
      <c r="E518" t="s">
        <v>3789</v>
      </c>
      <c r="F518">
        <v>2130</v>
      </c>
      <c r="G518">
        <v>2130</v>
      </c>
      <c r="H518">
        <v>2130</v>
      </c>
      <c r="P518" t="s">
        <v>80</v>
      </c>
      <c r="R518" s="7">
        <v>34128</v>
      </c>
      <c r="T518" t="s">
        <v>119</v>
      </c>
      <c r="W518" s="15">
        <v>5.3037799999999997</v>
      </c>
      <c r="X518" s="15">
        <v>-74.086870000000005</v>
      </c>
      <c r="Y518" t="s">
        <v>3790</v>
      </c>
      <c r="Z518">
        <v>1908</v>
      </c>
      <c r="AB518" t="s">
        <v>3791</v>
      </c>
      <c r="AF518" t="s">
        <v>50</v>
      </c>
      <c r="AG518" t="s">
        <v>98</v>
      </c>
      <c r="AH518" t="s">
        <v>3792</v>
      </c>
      <c r="AI518" t="s">
        <v>3793</v>
      </c>
      <c r="AJ518">
        <v>551</v>
      </c>
    </row>
    <row r="519" spans="1:36">
      <c r="A519" t="s">
        <v>3684</v>
      </c>
      <c r="B519" t="s">
        <v>3685</v>
      </c>
      <c r="C519" t="s">
        <v>3794</v>
      </c>
      <c r="D519" t="s">
        <v>3795</v>
      </c>
      <c r="E519" t="s">
        <v>3765</v>
      </c>
      <c r="F519">
        <v>2580</v>
      </c>
      <c r="G519">
        <v>2580</v>
      </c>
      <c r="H519">
        <v>2580</v>
      </c>
      <c r="P519" t="s">
        <v>80</v>
      </c>
      <c r="R519" s="7">
        <v>36472</v>
      </c>
      <c r="W519" s="15">
        <v>5.1131000000000002</v>
      </c>
      <c r="X519" s="15">
        <v>-73.844949999999997</v>
      </c>
      <c r="Y519">
        <v>270.79899999999998</v>
      </c>
      <c r="Z519">
        <v>2600</v>
      </c>
      <c r="AB519" t="s">
        <v>3768</v>
      </c>
      <c r="AF519" t="s">
        <v>50</v>
      </c>
      <c r="AG519" t="s">
        <v>98</v>
      </c>
      <c r="AH519" t="s">
        <v>3769</v>
      </c>
      <c r="AI519" t="s">
        <v>3770</v>
      </c>
      <c r="AJ519">
        <v>552</v>
      </c>
    </row>
    <row r="520" spans="1:36">
      <c r="A520" t="s">
        <v>3684</v>
      </c>
      <c r="B520" t="s">
        <v>3685</v>
      </c>
      <c r="C520" t="s">
        <v>3796</v>
      </c>
      <c r="D520" t="s">
        <v>3797</v>
      </c>
      <c r="E520" t="s">
        <v>3798</v>
      </c>
      <c r="F520">
        <v>2680</v>
      </c>
      <c r="G520">
        <v>2680</v>
      </c>
      <c r="H520">
        <v>2680</v>
      </c>
      <c r="P520" t="s">
        <v>80</v>
      </c>
      <c r="R520" s="7">
        <v>16054</v>
      </c>
      <c r="W520" s="15">
        <v>4.6896800000000001</v>
      </c>
      <c r="X520" s="15">
        <v>-74.279679999999999</v>
      </c>
      <c r="Y520">
        <v>302.209</v>
      </c>
      <c r="Z520">
        <v>2551</v>
      </c>
      <c r="AB520" t="s">
        <v>3799</v>
      </c>
      <c r="AF520" t="s">
        <v>50</v>
      </c>
      <c r="AG520" t="s">
        <v>98</v>
      </c>
      <c r="AH520" t="s">
        <v>3800</v>
      </c>
      <c r="AI520" t="s">
        <v>3801</v>
      </c>
      <c r="AJ520">
        <v>553</v>
      </c>
    </row>
    <row r="521" spans="1:36">
      <c r="A521" t="s">
        <v>3684</v>
      </c>
      <c r="B521" t="s">
        <v>3685</v>
      </c>
      <c r="C521" t="s">
        <v>3802</v>
      </c>
      <c r="D521" t="s">
        <v>3803</v>
      </c>
      <c r="E521" t="s">
        <v>3804</v>
      </c>
      <c r="F521">
        <v>2000</v>
      </c>
      <c r="G521">
        <v>2000</v>
      </c>
      <c r="H521">
        <v>2000</v>
      </c>
      <c r="P521" t="s">
        <v>80</v>
      </c>
      <c r="R521" s="7">
        <v>32856</v>
      </c>
      <c r="T521" t="s">
        <v>119</v>
      </c>
      <c r="W521" s="15">
        <v>4.6831199999999997</v>
      </c>
      <c r="X521" s="15">
        <v>-74.389629999999997</v>
      </c>
      <c r="Y521">
        <v>286.28899999999999</v>
      </c>
      <c r="Z521">
        <v>2029</v>
      </c>
      <c r="AB521" t="s">
        <v>381</v>
      </c>
      <c r="AF521" t="s">
        <v>50</v>
      </c>
      <c r="AG521" t="s">
        <v>98</v>
      </c>
      <c r="AH521" t="s">
        <v>2882</v>
      </c>
      <c r="AI521" t="s">
        <v>3805</v>
      </c>
      <c r="AJ521">
        <v>554</v>
      </c>
    </row>
    <row r="522" spans="1:36">
      <c r="A522" t="s">
        <v>3806</v>
      </c>
      <c r="B522" t="s">
        <v>3807</v>
      </c>
      <c r="C522" t="s">
        <v>3808</v>
      </c>
      <c r="D522" t="s">
        <v>3809</v>
      </c>
      <c r="E522" t="s">
        <v>3810</v>
      </c>
      <c r="P522" t="s">
        <v>80</v>
      </c>
      <c r="R522" s="7">
        <v>19132</v>
      </c>
      <c r="W522" s="15">
        <v>-0.99199999999999999</v>
      </c>
      <c r="X522" s="15">
        <v>-70.443610000000007</v>
      </c>
      <c r="Y522">
        <v>8868</v>
      </c>
      <c r="Z522">
        <v>105</v>
      </c>
      <c r="AB522" t="s">
        <v>3811</v>
      </c>
      <c r="AF522" t="s">
        <v>50</v>
      </c>
      <c r="AG522" t="s">
        <v>3812</v>
      </c>
      <c r="AH522" t="s">
        <v>3813</v>
      </c>
      <c r="AI522" t="s">
        <v>3814</v>
      </c>
      <c r="AJ522">
        <v>557</v>
      </c>
    </row>
    <row r="523" spans="1:36">
      <c r="A523" t="s">
        <v>3806</v>
      </c>
      <c r="B523" t="s">
        <v>3807</v>
      </c>
      <c r="C523" t="s">
        <v>3815</v>
      </c>
      <c r="D523" t="s">
        <v>3816</v>
      </c>
      <c r="E523" t="s">
        <v>3817</v>
      </c>
      <c r="F523">
        <v>500</v>
      </c>
      <c r="G523">
        <v>500</v>
      </c>
      <c r="H523">
        <v>500</v>
      </c>
      <c r="I523" t="s">
        <v>3818</v>
      </c>
      <c r="J523" t="s">
        <v>3819</v>
      </c>
      <c r="K523" t="s">
        <v>3820</v>
      </c>
      <c r="L523" t="s">
        <v>3821</v>
      </c>
      <c r="M523" t="s">
        <v>3822</v>
      </c>
      <c r="N523" t="s">
        <v>3823</v>
      </c>
      <c r="O523" t="s">
        <v>3824</v>
      </c>
      <c r="P523" t="s">
        <v>3825</v>
      </c>
      <c r="R523" s="7">
        <v>25972</v>
      </c>
      <c r="T523" t="s">
        <v>119</v>
      </c>
      <c r="W523" s="15">
        <v>7.3167600000000004</v>
      </c>
      <c r="X523" s="15">
        <v>-75.056430000000006</v>
      </c>
      <c r="Y523">
        <v>3115.4110000000001</v>
      </c>
      <c r="Z523">
        <v>474</v>
      </c>
      <c r="AA523" t="s">
        <v>3826</v>
      </c>
      <c r="AB523" t="s">
        <v>3827</v>
      </c>
      <c r="AF523" t="s">
        <v>50</v>
      </c>
      <c r="AG523" t="s">
        <v>402</v>
      </c>
      <c r="AH523" t="s">
        <v>3828</v>
      </c>
      <c r="AI523" t="s">
        <v>3829</v>
      </c>
      <c r="AJ523">
        <v>558</v>
      </c>
    </row>
    <row r="524" spans="1:36">
      <c r="A524" t="s">
        <v>3806</v>
      </c>
      <c r="B524" t="s">
        <v>3807</v>
      </c>
      <c r="C524" t="s">
        <v>3815</v>
      </c>
      <c r="D524" t="s">
        <v>3830</v>
      </c>
      <c r="E524" t="s">
        <v>3817</v>
      </c>
      <c r="F524">
        <v>500</v>
      </c>
      <c r="G524">
        <v>500</v>
      </c>
      <c r="H524">
        <v>500</v>
      </c>
      <c r="I524" t="s">
        <v>3818</v>
      </c>
      <c r="J524" t="s">
        <v>3819</v>
      </c>
      <c r="K524" t="s">
        <v>3820</v>
      </c>
      <c r="L524" t="s">
        <v>3821</v>
      </c>
      <c r="M524" t="s">
        <v>3822</v>
      </c>
      <c r="N524" t="s">
        <v>3823</v>
      </c>
      <c r="O524" t="s">
        <v>3824</v>
      </c>
      <c r="P524" t="s">
        <v>3825</v>
      </c>
      <c r="R524" s="7">
        <v>25972</v>
      </c>
      <c r="T524" t="s">
        <v>119</v>
      </c>
      <c r="W524" s="15">
        <v>7.3167600000000004</v>
      </c>
      <c r="X524" s="15">
        <v>-75.056430000000006</v>
      </c>
      <c r="Y524">
        <v>3115.4110000000001</v>
      </c>
      <c r="Z524">
        <v>474</v>
      </c>
      <c r="AB524" t="s">
        <v>3827</v>
      </c>
      <c r="AF524" t="s">
        <v>50</v>
      </c>
      <c r="AG524" t="s">
        <v>402</v>
      </c>
      <c r="AH524" t="s">
        <v>3828</v>
      </c>
      <c r="AI524" t="s">
        <v>3829</v>
      </c>
      <c r="AJ524">
        <v>559</v>
      </c>
    </row>
    <row r="525" spans="1:36">
      <c r="A525" t="s">
        <v>3806</v>
      </c>
      <c r="B525" t="s">
        <v>3807</v>
      </c>
      <c r="C525" t="s">
        <v>3831</v>
      </c>
      <c r="D525" t="s">
        <v>3832</v>
      </c>
      <c r="E525" t="s">
        <v>3833</v>
      </c>
      <c r="F525" t="s">
        <v>3834</v>
      </c>
      <c r="G525">
        <v>400</v>
      </c>
      <c r="H525">
        <v>700</v>
      </c>
      <c r="I525" t="s">
        <v>1176</v>
      </c>
      <c r="J525" t="s">
        <v>1177</v>
      </c>
      <c r="K525" t="s">
        <v>1178</v>
      </c>
      <c r="L525" t="s">
        <v>1179</v>
      </c>
      <c r="M525" t="s">
        <v>1180</v>
      </c>
      <c r="N525" t="s">
        <v>1181</v>
      </c>
      <c r="O525" t="s">
        <v>1182</v>
      </c>
      <c r="P525" t="s">
        <v>1183</v>
      </c>
      <c r="R525" s="7">
        <v>26089</v>
      </c>
      <c r="T525" t="s">
        <v>119</v>
      </c>
      <c r="W525" s="15">
        <v>7.0764389000000003</v>
      </c>
      <c r="X525" s="15">
        <v>-75.156538900000001</v>
      </c>
      <c r="AF525" t="s">
        <v>50</v>
      </c>
      <c r="AG525" t="s">
        <v>402</v>
      </c>
      <c r="AH525" t="s">
        <v>1186</v>
      </c>
      <c r="AI525" t="s">
        <v>3835</v>
      </c>
      <c r="AJ525">
        <v>560</v>
      </c>
    </row>
    <row r="526" spans="1:36">
      <c r="A526" t="s">
        <v>3806</v>
      </c>
      <c r="B526" t="s">
        <v>3807</v>
      </c>
      <c r="C526" t="s">
        <v>3831</v>
      </c>
      <c r="D526" t="s">
        <v>3836</v>
      </c>
      <c r="E526" t="s">
        <v>3833</v>
      </c>
      <c r="F526" t="s">
        <v>3834</v>
      </c>
      <c r="G526">
        <v>400</v>
      </c>
      <c r="H526">
        <v>700</v>
      </c>
      <c r="I526" t="s">
        <v>1176</v>
      </c>
      <c r="J526" t="s">
        <v>1177</v>
      </c>
      <c r="K526" t="s">
        <v>1178</v>
      </c>
      <c r="L526" t="s">
        <v>1179</v>
      </c>
      <c r="M526" t="s">
        <v>1180</v>
      </c>
      <c r="N526" t="s">
        <v>1181</v>
      </c>
      <c r="O526" t="s">
        <v>1182</v>
      </c>
      <c r="P526" t="s">
        <v>1183</v>
      </c>
      <c r="R526" s="7">
        <v>26089</v>
      </c>
      <c r="T526" t="s">
        <v>119</v>
      </c>
      <c r="W526" s="15">
        <v>7.0764389000000003</v>
      </c>
      <c r="X526" s="15">
        <v>-75.156538900000001</v>
      </c>
      <c r="AF526" t="s">
        <v>50</v>
      </c>
      <c r="AG526" t="s">
        <v>402</v>
      </c>
      <c r="AH526" t="s">
        <v>1186</v>
      </c>
      <c r="AI526" t="s">
        <v>3835</v>
      </c>
      <c r="AJ526">
        <v>561</v>
      </c>
    </row>
    <row r="527" spans="1:36">
      <c r="A527" t="s">
        <v>3806</v>
      </c>
      <c r="B527" t="s">
        <v>3807</v>
      </c>
      <c r="C527" t="s">
        <v>3837</v>
      </c>
      <c r="D527" t="s">
        <v>3838</v>
      </c>
      <c r="E527" t="s">
        <v>3839</v>
      </c>
      <c r="F527" t="s">
        <v>1175</v>
      </c>
      <c r="G527">
        <v>400</v>
      </c>
      <c r="H527">
        <v>900</v>
      </c>
      <c r="I527" t="s">
        <v>1176</v>
      </c>
      <c r="J527" t="s">
        <v>1177</v>
      </c>
      <c r="K527" t="s">
        <v>1178</v>
      </c>
      <c r="L527" t="s">
        <v>1179</v>
      </c>
      <c r="M527" t="s">
        <v>1180</v>
      </c>
      <c r="N527" t="s">
        <v>1181</v>
      </c>
      <c r="O527" t="s">
        <v>1182</v>
      </c>
      <c r="P527" t="s">
        <v>1183</v>
      </c>
      <c r="R527" s="7">
        <v>27588</v>
      </c>
      <c r="T527" t="s">
        <v>119</v>
      </c>
      <c r="W527" s="15">
        <v>7.0764389000000003</v>
      </c>
      <c r="X527" s="15">
        <v>-75.156538900000001</v>
      </c>
      <c r="AF527" t="s">
        <v>50</v>
      </c>
      <c r="AG527" t="s">
        <v>402</v>
      </c>
      <c r="AH527" t="s">
        <v>1186</v>
      </c>
      <c r="AI527" t="s">
        <v>3840</v>
      </c>
      <c r="AJ527">
        <v>562</v>
      </c>
    </row>
    <row r="528" spans="1:36">
      <c r="A528" t="s">
        <v>3806</v>
      </c>
      <c r="B528" t="s">
        <v>3807</v>
      </c>
      <c r="C528" t="s">
        <v>3837</v>
      </c>
      <c r="D528" t="s">
        <v>3841</v>
      </c>
      <c r="E528" t="s">
        <v>3839</v>
      </c>
      <c r="F528" t="s">
        <v>1175</v>
      </c>
      <c r="G528">
        <v>400</v>
      </c>
      <c r="H528">
        <v>900</v>
      </c>
      <c r="I528" t="s">
        <v>1176</v>
      </c>
      <c r="J528" t="s">
        <v>1177</v>
      </c>
      <c r="K528" t="s">
        <v>1178</v>
      </c>
      <c r="L528" t="s">
        <v>1179</v>
      </c>
      <c r="M528" t="s">
        <v>1180</v>
      </c>
      <c r="N528" t="s">
        <v>1181</v>
      </c>
      <c r="O528" t="s">
        <v>1182</v>
      </c>
      <c r="P528" t="s">
        <v>1183</v>
      </c>
      <c r="R528" s="7">
        <v>27588</v>
      </c>
      <c r="W528" s="15">
        <v>7.0764389000000003</v>
      </c>
      <c r="X528" s="15">
        <v>-75.156538900000001</v>
      </c>
      <c r="AF528" t="s">
        <v>50</v>
      </c>
      <c r="AG528" t="s">
        <v>402</v>
      </c>
      <c r="AH528" t="s">
        <v>1186</v>
      </c>
      <c r="AI528" t="s">
        <v>3840</v>
      </c>
      <c r="AJ528">
        <v>563</v>
      </c>
    </row>
    <row r="529" spans="1:36">
      <c r="A529" t="s">
        <v>3806</v>
      </c>
      <c r="B529" t="s">
        <v>3807</v>
      </c>
      <c r="C529" t="s">
        <v>3842</v>
      </c>
      <c r="D529" t="s">
        <v>3843</v>
      </c>
      <c r="E529" t="s">
        <v>3839</v>
      </c>
      <c r="F529" t="s">
        <v>3834</v>
      </c>
      <c r="G529">
        <v>400</v>
      </c>
      <c r="H529">
        <v>700</v>
      </c>
      <c r="I529" t="s">
        <v>3844</v>
      </c>
      <c r="J529" t="s">
        <v>3845</v>
      </c>
      <c r="K529" t="s">
        <v>1262</v>
      </c>
      <c r="L529" t="s">
        <v>1263</v>
      </c>
      <c r="M529" t="s">
        <v>3846</v>
      </c>
      <c r="N529" t="s">
        <v>3847</v>
      </c>
      <c r="O529" t="s">
        <v>1266</v>
      </c>
      <c r="P529" t="s">
        <v>3848</v>
      </c>
      <c r="R529" s="7">
        <v>27911</v>
      </c>
      <c r="T529" t="s">
        <v>119</v>
      </c>
      <c r="W529" s="15">
        <v>7.2166667000000002</v>
      </c>
      <c r="X529" s="15">
        <v>-75.05</v>
      </c>
      <c r="AF529" t="s">
        <v>50</v>
      </c>
      <c r="AG529" t="s">
        <v>402</v>
      </c>
      <c r="AH529" t="s">
        <v>1186</v>
      </c>
      <c r="AI529" t="s">
        <v>3840</v>
      </c>
      <c r="AJ529">
        <v>564</v>
      </c>
    </row>
    <row r="530" spans="1:36">
      <c r="A530" t="s">
        <v>3806</v>
      </c>
      <c r="B530" t="s">
        <v>3807</v>
      </c>
      <c r="C530" t="s">
        <v>3842</v>
      </c>
      <c r="D530" t="s">
        <v>3849</v>
      </c>
      <c r="E530" t="s">
        <v>3839</v>
      </c>
      <c r="F530" t="s">
        <v>3834</v>
      </c>
      <c r="G530">
        <v>400</v>
      </c>
      <c r="H530">
        <v>700</v>
      </c>
      <c r="I530" t="s">
        <v>3844</v>
      </c>
      <c r="J530" t="s">
        <v>3845</v>
      </c>
      <c r="K530" t="s">
        <v>1262</v>
      </c>
      <c r="L530" t="s">
        <v>1263</v>
      </c>
      <c r="M530" t="s">
        <v>3846</v>
      </c>
      <c r="N530" t="s">
        <v>3847</v>
      </c>
      <c r="O530" t="s">
        <v>1266</v>
      </c>
      <c r="P530" t="s">
        <v>3848</v>
      </c>
      <c r="R530" s="7">
        <v>27911</v>
      </c>
      <c r="T530" t="s">
        <v>119</v>
      </c>
      <c r="W530" s="15">
        <v>7.2166667000000002</v>
      </c>
      <c r="X530" s="15">
        <v>-75.05</v>
      </c>
      <c r="AF530" t="s">
        <v>50</v>
      </c>
      <c r="AG530" t="s">
        <v>402</v>
      </c>
      <c r="AH530" t="s">
        <v>1186</v>
      </c>
      <c r="AI530" t="s">
        <v>3840</v>
      </c>
      <c r="AJ530">
        <v>565</v>
      </c>
    </row>
    <row r="531" spans="1:36">
      <c r="A531" t="s">
        <v>3806</v>
      </c>
      <c r="B531" t="s">
        <v>3807</v>
      </c>
      <c r="C531" t="s">
        <v>3850</v>
      </c>
      <c r="D531" t="s">
        <v>3851</v>
      </c>
      <c r="E531" t="s">
        <v>3852</v>
      </c>
      <c r="F531" t="s">
        <v>3853</v>
      </c>
      <c r="G531">
        <v>200</v>
      </c>
      <c r="H531">
        <v>400</v>
      </c>
      <c r="I531" t="s">
        <v>3854</v>
      </c>
      <c r="J531" t="s">
        <v>3855</v>
      </c>
      <c r="K531" t="s">
        <v>3856</v>
      </c>
      <c r="L531" t="s">
        <v>3857</v>
      </c>
      <c r="M531" t="s">
        <v>3858</v>
      </c>
      <c r="N531" t="s">
        <v>3859</v>
      </c>
      <c r="O531" t="s">
        <v>3860</v>
      </c>
      <c r="P531" t="s">
        <v>3861</v>
      </c>
      <c r="R531" s="7">
        <v>28286</v>
      </c>
      <c r="T531" t="s">
        <v>119</v>
      </c>
      <c r="W531" s="15">
        <v>7.5783889000000002</v>
      </c>
      <c r="X531" s="15">
        <v>-75.348505599999996</v>
      </c>
      <c r="AF531" t="s">
        <v>50</v>
      </c>
      <c r="AG531" t="s">
        <v>402</v>
      </c>
      <c r="AH531" t="s">
        <v>3862</v>
      </c>
      <c r="AI531" t="s">
        <v>3863</v>
      </c>
      <c r="AJ531">
        <v>566</v>
      </c>
    </row>
    <row r="532" spans="1:36">
      <c r="A532" t="s">
        <v>3806</v>
      </c>
      <c r="B532" t="s">
        <v>3807</v>
      </c>
      <c r="C532" t="s">
        <v>3864</v>
      </c>
      <c r="D532" t="s">
        <v>3865</v>
      </c>
      <c r="E532" t="s">
        <v>3866</v>
      </c>
      <c r="F532">
        <v>1500</v>
      </c>
      <c r="G532">
        <v>1500</v>
      </c>
      <c r="H532">
        <v>1500</v>
      </c>
      <c r="I532" t="s">
        <v>3867</v>
      </c>
      <c r="J532" t="s">
        <v>3868</v>
      </c>
      <c r="K532" t="s">
        <v>3869</v>
      </c>
      <c r="L532" t="s">
        <v>3870</v>
      </c>
      <c r="M532" t="s">
        <v>3871</v>
      </c>
      <c r="N532" t="s">
        <v>3872</v>
      </c>
      <c r="O532" t="s">
        <v>3873</v>
      </c>
      <c r="P532" t="s">
        <v>3874</v>
      </c>
      <c r="R532" s="7">
        <v>31674</v>
      </c>
      <c r="T532" t="s">
        <v>119</v>
      </c>
      <c r="W532" s="15">
        <v>5.5998333000000002</v>
      </c>
      <c r="X532" s="15">
        <v>-75.819833299999999</v>
      </c>
      <c r="AF532" t="s">
        <v>50</v>
      </c>
      <c r="AG532" t="s">
        <v>402</v>
      </c>
      <c r="AH532" t="s">
        <v>627</v>
      </c>
      <c r="AI532" t="s">
        <v>3875</v>
      </c>
      <c r="AJ532">
        <v>567</v>
      </c>
    </row>
    <row r="533" spans="1:36">
      <c r="A533" t="s">
        <v>3806</v>
      </c>
      <c r="B533" t="s">
        <v>3807</v>
      </c>
      <c r="C533" t="s">
        <v>3876</v>
      </c>
      <c r="D533" t="s">
        <v>3877</v>
      </c>
      <c r="E533" t="s">
        <v>3878</v>
      </c>
      <c r="F533" t="s">
        <v>3879</v>
      </c>
      <c r="G533">
        <v>110</v>
      </c>
      <c r="H533">
        <v>130</v>
      </c>
      <c r="I533" t="s">
        <v>3854</v>
      </c>
      <c r="J533" t="s">
        <v>3855</v>
      </c>
      <c r="K533" t="s">
        <v>3856</v>
      </c>
      <c r="L533" t="s">
        <v>3857</v>
      </c>
      <c r="M533" t="s">
        <v>3858</v>
      </c>
      <c r="N533" t="s">
        <v>3859</v>
      </c>
      <c r="O533" t="s">
        <v>3860</v>
      </c>
      <c r="P533" t="s">
        <v>3861</v>
      </c>
      <c r="R533" s="7">
        <v>32086</v>
      </c>
      <c r="W533" s="15">
        <v>7.5783889000000002</v>
      </c>
      <c r="X533" s="15">
        <v>-75.348505599999996</v>
      </c>
      <c r="AF533" t="s">
        <v>50</v>
      </c>
      <c r="AG533" t="s">
        <v>402</v>
      </c>
      <c r="AH533" t="s">
        <v>3862</v>
      </c>
      <c r="AI533" t="s">
        <v>3880</v>
      </c>
      <c r="AJ533">
        <v>568</v>
      </c>
    </row>
    <row r="534" spans="1:36">
      <c r="A534" t="s">
        <v>3806</v>
      </c>
      <c r="B534" t="s">
        <v>3807</v>
      </c>
      <c r="C534" t="s">
        <v>3876</v>
      </c>
      <c r="D534" t="s">
        <v>3832</v>
      </c>
      <c r="E534" t="s">
        <v>3878</v>
      </c>
      <c r="F534" t="s">
        <v>3879</v>
      </c>
      <c r="G534">
        <v>110</v>
      </c>
      <c r="H534">
        <v>130</v>
      </c>
      <c r="I534" t="s">
        <v>3854</v>
      </c>
      <c r="J534" t="s">
        <v>3855</v>
      </c>
      <c r="K534" t="s">
        <v>3856</v>
      </c>
      <c r="L534" t="s">
        <v>3857</v>
      </c>
      <c r="M534" t="s">
        <v>3858</v>
      </c>
      <c r="N534" t="s">
        <v>3859</v>
      </c>
      <c r="O534" t="s">
        <v>3860</v>
      </c>
      <c r="P534" t="s">
        <v>3861</v>
      </c>
      <c r="R534" s="7">
        <v>32086</v>
      </c>
      <c r="W534" s="15">
        <v>7.5783889000000002</v>
      </c>
      <c r="X534" s="15">
        <v>-75.348505599999996</v>
      </c>
      <c r="AF534" t="s">
        <v>50</v>
      </c>
      <c r="AG534" t="s">
        <v>402</v>
      </c>
      <c r="AH534" t="s">
        <v>3862</v>
      </c>
      <c r="AI534" t="s">
        <v>3880</v>
      </c>
      <c r="AJ534">
        <v>569</v>
      </c>
    </row>
    <row r="535" spans="1:36">
      <c r="A535" t="s">
        <v>3806</v>
      </c>
      <c r="B535" t="s">
        <v>3807</v>
      </c>
      <c r="C535" t="s">
        <v>3881</v>
      </c>
      <c r="D535" t="s">
        <v>3882</v>
      </c>
      <c r="E535" t="s">
        <v>3883</v>
      </c>
      <c r="F535">
        <v>1500</v>
      </c>
      <c r="G535">
        <v>1500</v>
      </c>
      <c r="H535">
        <v>1500</v>
      </c>
      <c r="I535" t="s">
        <v>3867</v>
      </c>
      <c r="J535" t="s">
        <v>3868</v>
      </c>
      <c r="K535" t="s">
        <v>3869</v>
      </c>
      <c r="L535" t="s">
        <v>3870</v>
      </c>
      <c r="M535" t="s">
        <v>3871</v>
      </c>
      <c r="N535" t="s">
        <v>3872</v>
      </c>
      <c r="O535" t="s">
        <v>3873</v>
      </c>
      <c r="P535" t="s">
        <v>3874</v>
      </c>
      <c r="R535" s="7">
        <v>32168</v>
      </c>
      <c r="T535" t="s">
        <v>119</v>
      </c>
      <c r="W535" s="15">
        <v>5.5998333000000002</v>
      </c>
      <c r="X535" s="15">
        <v>-75.819833299999999</v>
      </c>
      <c r="AF535" t="s">
        <v>50</v>
      </c>
      <c r="AG535" t="s">
        <v>402</v>
      </c>
      <c r="AH535" t="s">
        <v>627</v>
      </c>
      <c r="AI535" t="s">
        <v>3884</v>
      </c>
      <c r="AJ535">
        <v>570</v>
      </c>
    </row>
    <row r="536" spans="1:36">
      <c r="A536" t="s">
        <v>3806</v>
      </c>
      <c r="B536" t="s">
        <v>3807</v>
      </c>
      <c r="C536" t="s">
        <v>3885</v>
      </c>
      <c r="D536" t="s">
        <v>3886</v>
      </c>
      <c r="E536" t="s">
        <v>3887</v>
      </c>
      <c r="F536" t="s">
        <v>3888</v>
      </c>
      <c r="G536">
        <v>820</v>
      </c>
      <c r="H536">
        <v>900</v>
      </c>
      <c r="I536" t="s">
        <v>3889</v>
      </c>
      <c r="J536" t="s">
        <v>3890</v>
      </c>
      <c r="K536" t="s">
        <v>3891</v>
      </c>
      <c r="L536" t="s">
        <v>3892</v>
      </c>
      <c r="M536" t="s">
        <v>3893</v>
      </c>
      <c r="N536" t="s">
        <v>3894</v>
      </c>
      <c r="O536" t="s">
        <v>3895</v>
      </c>
      <c r="P536" t="s">
        <v>3896</v>
      </c>
      <c r="R536" s="7">
        <v>32673</v>
      </c>
      <c r="T536" t="s">
        <v>119</v>
      </c>
      <c r="W536" s="15">
        <v>6.1067138999999999</v>
      </c>
      <c r="X536" s="15">
        <v>-74.960852799999998</v>
      </c>
      <c r="AF536" t="s">
        <v>50</v>
      </c>
      <c r="AG536" t="s">
        <v>402</v>
      </c>
      <c r="AH536" t="s">
        <v>3897</v>
      </c>
      <c r="AI536" t="s">
        <v>3898</v>
      </c>
      <c r="AJ536">
        <v>571</v>
      </c>
    </row>
    <row r="537" spans="1:36">
      <c r="A537" t="s">
        <v>3806</v>
      </c>
      <c r="B537" t="s">
        <v>3807</v>
      </c>
      <c r="C537" t="s">
        <v>3899</v>
      </c>
      <c r="D537" t="s">
        <v>3900</v>
      </c>
      <c r="E537" t="s">
        <v>3901</v>
      </c>
      <c r="F537" t="s">
        <v>3902</v>
      </c>
      <c r="G537">
        <v>820</v>
      </c>
      <c r="H537">
        <v>910</v>
      </c>
      <c r="I537" t="s">
        <v>3903</v>
      </c>
      <c r="J537" t="s">
        <v>3904</v>
      </c>
      <c r="K537" t="s">
        <v>3905</v>
      </c>
      <c r="L537" t="s">
        <v>3906</v>
      </c>
      <c r="M537" t="s">
        <v>3907</v>
      </c>
      <c r="N537" t="s">
        <v>3908</v>
      </c>
      <c r="O537" t="s">
        <v>3909</v>
      </c>
      <c r="P537" t="s">
        <v>3910</v>
      </c>
      <c r="R537" s="7">
        <v>32831</v>
      </c>
      <c r="T537" t="s">
        <v>119</v>
      </c>
      <c r="W537" s="15">
        <v>7.25</v>
      </c>
      <c r="X537" s="15">
        <v>-75.2</v>
      </c>
      <c r="AF537" t="s">
        <v>50</v>
      </c>
      <c r="AG537" t="s">
        <v>402</v>
      </c>
      <c r="AH537" t="s">
        <v>1186</v>
      </c>
      <c r="AI537" t="s">
        <v>3911</v>
      </c>
      <c r="AJ537">
        <v>572</v>
      </c>
    </row>
    <row r="538" spans="1:36">
      <c r="A538" t="s">
        <v>3806</v>
      </c>
      <c r="B538" t="s">
        <v>3807</v>
      </c>
      <c r="C538" t="s">
        <v>3912</v>
      </c>
      <c r="D538" t="s">
        <v>3913</v>
      </c>
      <c r="E538" t="s">
        <v>3914</v>
      </c>
      <c r="F538">
        <v>725</v>
      </c>
      <c r="G538">
        <v>725</v>
      </c>
      <c r="H538">
        <v>725</v>
      </c>
      <c r="I538" t="s">
        <v>3915</v>
      </c>
      <c r="J538" t="s">
        <v>3916</v>
      </c>
      <c r="K538" t="s">
        <v>3917</v>
      </c>
      <c r="L538" t="s">
        <v>3918</v>
      </c>
      <c r="M538" t="s">
        <v>3919</v>
      </c>
      <c r="N538" t="s">
        <v>3920</v>
      </c>
      <c r="O538" t="s">
        <v>3921</v>
      </c>
      <c r="P538" t="s">
        <v>3922</v>
      </c>
      <c r="R538" s="7">
        <v>37934</v>
      </c>
      <c r="W538" s="15">
        <v>7.2668055999999996</v>
      </c>
      <c r="X538" s="15">
        <v>-75.064416699999995</v>
      </c>
      <c r="AF538" t="s">
        <v>50</v>
      </c>
      <c r="AG538" t="s">
        <v>402</v>
      </c>
      <c r="AH538" t="s">
        <v>1186</v>
      </c>
      <c r="AI538" t="s">
        <v>3923</v>
      </c>
      <c r="AJ538">
        <v>573</v>
      </c>
    </row>
    <row r="539" spans="1:36">
      <c r="A539" t="s">
        <v>3806</v>
      </c>
      <c r="B539" t="s">
        <v>3807</v>
      </c>
      <c r="C539" t="s">
        <v>3912</v>
      </c>
      <c r="D539" t="s">
        <v>3924</v>
      </c>
      <c r="E539" t="s">
        <v>3914</v>
      </c>
      <c r="F539">
        <v>725</v>
      </c>
      <c r="G539">
        <v>725</v>
      </c>
      <c r="H539">
        <v>725</v>
      </c>
      <c r="I539" t="s">
        <v>3915</v>
      </c>
      <c r="J539" t="s">
        <v>3916</v>
      </c>
      <c r="K539" t="s">
        <v>3917</v>
      </c>
      <c r="L539" t="s">
        <v>3918</v>
      </c>
      <c r="M539" t="s">
        <v>3919</v>
      </c>
      <c r="N539" t="s">
        <v>3920</v>
      </c>
      <c r="O539" t="s">
        <v>3921</v>
      </c>
      <c r="P539" t="s">
        <v>3922</v>
      </c>
      <c r="R539" s="7">
        <v>37934</v>
      </c>
      <c r="T539" t="s">
        <v>119</v>
      </c>
      <c r="W539" s="15">
        <v>7.2668055999999996</v>
      </c>
      <c r="X539" s="15">
        <v>-75.064416699999995</v>
      </c>
      <c r="AF539" t="s">
        <v>50</v>
      </c>
      <c r="AG539" t="s">
        <v>402</v>
      </c>
      <c r="AH539" t="s">
        <v>1186</v>
      </c>
      <c r="AI539" t="s">
        <v>3923</v>
      </c>
      <c r="AJ539">
        <v>574</v>
      </c>
    </row>
    <row r="540" spans="1:36">
      <c r="A540" t="s">
        <v>3806</v>
      </c>
      <c r="B540" t="s">
        <v>3807</v>
      </c>
      <c r="C540" t="s">
        <v>3912</v>
      </c>
      <c r="D540" t="s">
        <v>3925</v>
      </c>
      <c r="E540" t="s">
        <v>3914</v>
      </c>
      <c r="F540">
        <v>725</v>
      </c>
      <c r="G540">
        <v>725</v>
      </c>
      <c r="H540">
        <v>725</v>
      </c>
      <c r="I540" t="s">
        <v>3915</v>
      </c>
      <c r="J540" t="s">
        <v>3916</v>
      </c>
      <c r="K540" t="s">
        <v>3917</v>
      </c>
      <c r="L540" t="s">
        <v>3918</v>
      </c>
      <c r="M540" t="s">
        <v>3919</v>
      </c>
      <c r="N540" t="s">
        <v>3920</v>
      </c>
      <c r="O540" t="s">
        <v>3921</v>
      </c>
      <c r="P540" t="s">
        <v>3922</v>
      </c>
      <c r="R540" s="7">
        <v>37934</v>
      </c>
      <c r="T540" t="s">
        <v>119</v>
      </c>
      <c r="W540" s="15">
        <v>7.2668055999999996</v>
      </c>
      <c r="X540" s="15">
        <v>-75.064416699999995</v>
      </c>
      <c r="AF540" t="s">
        <v>50</v>
      </c>
      <c r="AG540" t="s">
        <v>402</v>
      </c>
      <c r="AH540" t="s">
        <v>1186</v>
      </c>
      <c r="AI540" t="s">
        <v>3923</v>
      </c>
      <c r="AJ540">
        <v>575</v>
      </c>
    </row>
    <row r="541" spans="1:36">
      <c r="A541" t="s">
        <v>3806</v>
      </c>
      <c r="B541" t="s">
        <v>3807</v>
      </c>
      <c r="C541" t="s">
        <v>3926</v>
      </c>
      <c r="D541" t="s">
        <v>3927</v>
      </c>
      <c r="E541" t="s">
        <v>1220</v>
      </c>
      <c r="F541">
        <v>740</v>
      </c>
      <c r="G541">
        <v>740</v>
      </c>
      <c r="H541">
        <v>740</v>
      </c>
      <c r="I541" t="s">
        <v>1221</v>
      </c>
      <c r="J541" t="s">
        <v>1222</v>
      </c>
      <c r="K541" t="s">
        <v>1223</v>
      </c>
      <c r="L541" t="s">
        <v>1224</v>
      </c>
      <c r="M541" t="s">
        <v>1225</v>
      </c>
      <c r="N541" t="s">
        <v>1226</v>
      </c>
      <c r="O541" t="s">
        <v>1227</v>
      </c>
      <c r="P541" t="s">
        <v>1228</v>
      </c>
      <c r="R541" s="7">
        <v>37938</v>
      </c>
      <c r="T541" t="s">
        <v>119</v>
      </c>
      <c r="W541" s="15">
        <v>7.2662778000000001</v>
      </c>
      <c r="X541" s="15">
        <v>-75.074166700000006</v>
      </c>
      <c r="AF541" t="s">
        <v>50</v>
      </c>
      <c r="AG541" t="s">
        <v>402</v>
      </c>
      <c r="AH541" t="s">
        <v>1186</v>
      </c>
      <c r="AI541" t="s">
        <v>1229</v>
      </c>
      <c r="AJ541">
        <v>576</v>
      </c>
    </row>
    <row r="542" spans="1:36">
      <c r="A542" t="s">
        <v>3806</v>
      </c>
      <c r="B542" t="s">
        <v>3807</v>
      </c>
      <c r="C542" t="s">
        <v>3926</v>
      </c>
      <c r="D542" t="s">
        <v>3928</v>
      </c>
      <c r="E542" t="s">
        <v>1220</v>
      </c>
      <c r="F542">
        <v>740</v>
      </c>
      <c r="G542">
        <v>740</v>
      </c>
      <c r="H542">
        <v>740</v>
      </c>
      <c r="I542" t="s">
        <v>1221</v>
      </c>
      <c r="J542" t="s">
        <v>1222</v>
      </c>
      <c r="K542" t="s">
        <v>1223</v>
      </c>
      <c r="L542" t="s">
        <v>1224</v>
      </c>
      <c r="M542" t="s">
        <v>1225</v>
      </c>
      <c r="N542" t="s">
        <v>1226</v>
      </c>
      <c r="O542" t="s">
        <v>1227</v>
      </c>
      <c r="P542" t="s">
        <v>1228</v>
      </c>
      <c r="R542" s="7">
        <v>37938</v>
      </c>
      <c r="T542" t="s">
        <v>119</v>
      </c>
      <c r="W542" s="15">
        <v>7.2662778000000001</v>
      </c>
      <c r="X542" s="15">
        <v>-75.074166700000006</v>
      </c>
      <c r="AF542" t="s">
        <v>50</v>
      </c>
      <c r="AG542" t="s">
        <v>402</v>
      </c>
      <c r="AH542" t="s">
        <v>1186</v>
      </c>
      <c r="AI542" t="s">
        <v>1229</v>
      </c>
      <c r="AJ542">
        <v>577</v>
      </c>
    </row>
    <row r="543" spans="1:36">
      <c r="A543" t="s">
        <v>3806</v>
      </c>
      <c r="B543" t="s">
        <v>3807</v>
      </c>
      <c r="C543" t="s">
        <v>3929</v>
      </c>
      <c r="D543" t="s">
        <v>3930</v>
      </c>
      <c r="E543" t="s">
        <v>3931</v>
      </c>
      <c r="F543">
        <v>720</v>
      </c>
      <c r="G543">
        <v>720</v>
      </c>
      <c r="H543">
        <v>720</v>
      </c>
      <c r="I543" t="s">
        <v>3932</v>
      </c>
      <c r="J543" t="s">
        <v>3933</v>
      </c>
      <c r="K543" t="s">
        <v>3934</v>
      </c>
      <c r="L543" t="s">
        <v>3935</v>
      </c>
      <c r="M543" t="s">
        <v>3936</v>
      </c>
      <c r="N543" t="s">
        <v>3937</v>
      </c>
      <c r="O543" t="s">
        <v>3938</v>
      </c>
      <c r="P543" t="s">
        <v>3939</v>
      </c>
      <c r="R543" s="7">
        <v>38002</v>
      </c>
      <c r="T543" t="s">
        <v>119</v>
      </c>
      <c r="W543" s="15">
        <v>7.2836667000000004</v>
      </c>
      <c r="X543" s="15">
        <v>-75.088083299999994</v>
      </c>
      <c r="AF543" t="s">
        <v>50</v>
      </c>
      <c r="AG543" t="s">
        <v>402</v>
      </c>
      <c r="AH543" t="s">
        <v>1186</v>
      </c>
      <c r="AI543" t="s">
        <v>3940</v>
      </c>
      <c r="AJ543">
        <v>578</v>
      </c>
    </row>
    <row r="544" spans="1:36">
      <c r="A544" t="s">
        <v>3806</v>
      </c>
      <c r="B544" t="s">
        <v>3807</v>
      </c>
      <c r="C544" t="s">
        <v>3929</v>
      </c>
      <c r="D544" t="s">
        <v>3941</v>
      </c>
      <c r="E544" t="s">
        <v>3931</v>
      </c>
      <c r="F544">
        <v>720</v>
      </c>
      <c r="G544">
        <v>720</v>
      </c>
      <c r="H544">
        <v>720</v>
      </c>
      <c r="I544" t="s">
        <v>3932</v>
      </c>
      <c r="J544" t="s">
        <v>3933</v>
      </c>
      <c r="K544" t="s">
        <v>3934</v>
      </c>
      <c r="L544" t="s">
        <v>3935</v>
      </c>
      <c r="M544" t="s">
        <v>3936</v>
      </c>
      <c r="N544" t="s">
        <v>3937</v>
      </c>
      <c r="O544" t="s">
        <v>3938</v>
      </c>
      <c r="P544" t="s">
        <v>3939</v>
      </c>
      <c r="R544" s="7">
        <v>38002</v>
      </c>
      <c r="T544" t="s">
        <v>119</v>
      </c>
      <c r="W544" s="15">
        <v>7.2836667000000004</v>
      </c>
      <c r="X544" s="15">
        <v>-75.088083299999994</v>
      </c>
      <c r="AF544" t="s">
        <v>50</v>
      </c>
      <c r="AG544" t="s">
        <v>402</v>
      </c>
      <c r="AH544" t="s">
        <v>1186</v>
      </c>
      <c r="AI544" t="s">
        <v>3940</v>
      </c>
      <c r="AJ544">
        <v>579</v>
      </c>
    </row>
    <row r="545" spans="1:36">
      <c r="A545" t="s">
        <v>3806</v>
      </c>
      <c r="B545" t="s">
        <v>3807</v>
      </c>
      <c r="C545" t="s">
        <v>3942</v>
      </c>
      <c r="D545" t="s">
        <v>3943</v>
      </c>
      <c r="E545" t="s">
        <v>3944</v>
      </c>
      <c r="F545">
        <v>700</v>
      </c>
      <c r="G545">
        <v>700</v>
      </c>
      <c r="H545">
        <v>700</v>
      </c>
      <c r="I545" t="s">
        <v>1246</v>
      </c>
      <c r="J545" t="s">
        <v>1247</v>
      </c>
      <c r="K545" t="s">
        <v>1248</v>
      </c>
      <c r="L545" t="s">
        <v>1249</v>
      </c>
      <c r="M545" t="s">
        <v>1250</v>
      </c>
      <c r="N545" t="s">
        <v>1251</v>
      </c>
      <c r="O545" t="s">
        <v>1252</v>
      </c>
      <c r="P545" t="s">
        <v>1253</v>
      </c>
      <c r="R545" s="7">
        <v>38006</v>
      </c>
      <c r="T545" t="s">
        <v>119</v>
      </c>
      <c r="W545" s="15">
        <v>7.2534999999999998</v>
      </c>
      <c r="X545" s="15">
        <v>-75.043277799999998</v>
      </c>
      <c r="AF545" t="s">
        <v>50</v>
      </c>
      <c r="AG545" t="s">
        <v>402</v>
      </c>
      <c r="AH545" t="s">
        <v>1186</v>
      </c>
      <c r="AI545" t="s">
        <v>3945</v>
      </c>
      <c r="AJ545">
        <v>580</v>
      </c>
    </row>
    <row r="546" spans="1:36">
      <c r="A546" t="s">
        <v>3806</v>
      </c>
      <c r="B546" t="s">
        <v>3807</v>
      </c>
      <c r="C546" t="s">
        <v>3946</v>
      </c>
      <c r="D546" t="s">
        <v>3947</v>
      </c>
      <c r="E546" t="s">
        <v>3948</v>
      </c>
      <c r="F546" t="s">
        <v>1175</v>
      </c>
      <c r="G546">
        <v>400</v>
      </c>
      <c r="H546">
        <v>900</v>
      </c>
      <c r="I546" t="s">
        <v>1176</v>
      </c>
      <c r="J546" t="s">
        <v>1177</v>
      </c>
      <c r="K546" t="s">
        <v>1178</v>
      </c>
      <c r="L546" t="s">
        <v>1179</v>
      </c>
      <c r="M546" t="s">
        <v>1180</v>
      </c>
      <c r="N546" t="s">
        <v>1181</v>
      </c>
      <c r="O546" t="s">
        <v>1182</v>
      </c>
      <c r="P546" t="s">
        <v>1183</v>
      </c>
      <c r="R546" s="7">
        <v>27558</v>
      </c>
      <c r="T546" t="s">
        <v>119</v>
      </c>
      <c r="W546" s="15">
        <v>7.0764389000000003</v>
      </c>
      <c r="X546" s="15">
        <v>-75.156538900000001</v>
      </c>
      <c r="AF546" t="s">
        <v>50</v>
      </c>
      <c r="AG546" t="s">
        <v>402</v>
      </c>
      <c r="AH546" t="s">
        <v>1186</v>
      </c>
      <c r="AI546" t="s">
        <v>3949</v>
      </c>
      <c r="AJ546">
        <v>581</v>
      </c>
    </row>
    <row r="547" spans="1:36">
      <c r="A547" t="s">
        <v>3950</v>
      </c>
      <c r="B547" t="s">
        <v>3807</v>
      </c>
      <c r="C547" t="s">
        <v>3951</v>
      </c>
      <c r="D547" t="s">
        <v>3607</v>
      </c>
      <c r="E547" t="s">
        <v>3952</v>
      </c>
      <c r="F547" t="s">
        <v>1492</v>
      </c>
      <c r="G547">
        <v>860</v>
      </c>
      <c r="H547">
        <v>910</v>
      </c>
      <c r="I547" t="s">
        <v>3953</v>
      </c>
      <c r="J547" t="s">
        <v>3954</v>
      </c>
      <c r="K547" t="s">
        <v>3955</v>
      </c>
      <c r="L547" t="s">
        <v>3956</v>
      </c>
      <c r="M547" t="s">
        <v>3957</v>
      </c>
      <c r="N547" t="s">
        <v>1498</v>
      </c>
      <c r="O547" t="s">
        <v>3958</v>
      </c>
      <c r="P547" t="s">
        <v>3959</v>
      </c>
      <c r="R547" s="7">
        <v>40747</v>
      </c>
      <c r="T547" t="s">
        <v>119</v>
      </c>
      <c r="W547" s="15">
        <v>6.5398611000000004</v>
      </c>
      <c r="X547" s="15">
        <v>-76.319361099999995</v>
      </c>
      <c r="AF547" t="s">
        <v>50</v>
      </c>
      <c r="AG547" t="s">
        <v>402</v>
      </c>
      <c r="AH547" t="s">
        <v>1356</v>
      </c>
      <c r="AI547" t="s">
        <v>3960</v>
      </c>
      <c r="AJ547">
        <v>583</v>
      </c>
    </row>
    <row r="548" spans="1:36">
      <c r="A548" t="s">
        <v>3950</v>
      </c>
      <c r="B548" t="s">
        <v>3807</v>
      </c>
      <c r="C548" t="s">
        <v>3961</v>
      </c>
      <c r="D548" t="s">
        <v>3607</v>
      </c>
      <c r="E548" t="s">
        <v>3952</v>
      </c>
      <c r="F548" t="s">
        <v>1492</v>
      </c>
      <c r="G548">
        <v>860</v>
      </c>
      <c r="H548">
        <v>910</v>
      </c>
      <c r="I548" t="s">
        <v>3953</v>
      </c>
      <c r="J548" t="s">
        <v>3954</v>
      </c>
      <c r="K548" t="s">
        <v>3955</v>
      </c>
      <c r="L548" t="s">
        <v>3956</v>
      </c>
      <c r="M548" t="s">
        <v>3957</v>
      </c>
      <c r="N548" t="s">
        <v>1498</v>
      </c>
      <c r="O548" t="s">
        <v>3958</v>
      </c>
      <c r="P548" t="s">
        <v>3959</v>
      </c>
      <c r="R548" s="7">
        <v>40747</v>
      </c>
      <c r="T548" t="s">
        <v>119</v>
      </c>
      <c r="W548" s="15">
        <v>6.5398611000000004</v>
      </c>
      <c r="X548" s="15">
        <v>-76.319361099999995</v>
      </c>
      <c r="AF548" t="s">
        <v>50</v>
      </c>
      <c r="AG548" t="s">
        <v>402</v>
      </c>
      <c r="AH548" t="s">
        <v>1356</v>
      </c>
      <c r="AI548" t="s">
        <v>3960</v>
      </c>
      <c r="AJ548">
        <v>584</v>
      </c>
    </row>
    <row r="549" spans="1:36">
      <c r="A549" t="s">
        <v>3950</v>
      </c>
      <c r="B549" t="s">
        <v>3807</v>
      </c>
      <c r="C549" t="s">
        <v>3962</v>
      </c>
      <c r="D549" t="s">
        <v>3607</v>
      </c>
      <c r="E549" t="s">
        <v>3963</v>
      </c>
      <c r="F549" t="s">
        <v>3964</v>
      </c>
      <c r="G549">
        <v>880</v>
      </c>
      <c r="H549">
        <v>920</v>
      </c>
      <c r="I549" t="s">
        <v>3965</v>
      </c>
      <c r="J549" t="s">
        <v>3966</v>
      </c>
      <c r="K549" t="s">
        <v>3967</v>
      </c>
      <c r="L549" t="s">
        <v>3968</v>
      </c>
      <c r="M549" t="s">
        <v>3969</v>
      </c>
      <c r="N549" t="s">
        <v>3970</v>
      </c>
      <c r="O549" t="s">
        <v>3971</v>
      </c>
      <c r="P549" t="s">
        <v>3972</v>
      </c>
      <c r="R549" s="7">
        <v>40753</v>
      </c>
      <c r="T549" t="s">
        <v>119</v>
      </c>
      <c r="W549" s="15">
        <v>6.5352221999999998</v>
      </c>
      <c r="X549" s="15">
        <v>-76.312861100000006</v>
      </c>
      <c r="AF549" t="s">
        <v>50</v>
      </c>
      <c r="AG549" t="s">
        <v>402</v>
      </c>
      <c r="AH549" t="s">
        <v>1356</v>
      </c>
      <c r="AI549" t="s">
        <v>3973</v>
      </c>
      <c r="AJ549">
        <v>585</v>
      </c>
    </row>
    <row r="550" spans="1:36">
      <c r="A550" t="s">
        <v>3950</v>
      </c>
      <c r="B550" t="s">
        <v>3807</v>
      </c>
      <c r="C550" t="s">
        <v>3974</v>
      </c>
      <c r="D550" t="s">
        <v>3975</v>
      </c>
      <c r="E550" t="s">
        <v>3976</v>
      </c>
      <c r="P550" t="s">
        <v>80</v>
      </c>
      <c r="R550" s="7">
        <v>28730</v>
      </c>
      <c r="T550" t="s">
        <v>119</v>
      </c>
      <c r="W550" s="15">
        <v>2.6783899999999998</v>
      </c>
      <c r="X550" s="15">
        <v>-77.907740000000004</v>
      </c>
      <c r="Y550">
        <v>1741.8810000000001</v>
      </c>
      <c r="Z550">
        <v>9</v>
      </c>
      <c r="AB550" t="s">
        <v>3975</v>
      </c>
      <c r="AF550" t="s">
        <v>50</v>
      </c>
      <c r="AG550" t="s">
        <v>283</v>
      </c>
      <c r="AH550" t="s">
        <v>3977</v>
      </c>
      <c r="AI550" t="s">
        <v>3978</v>
      </c>
      <c r="AJ550">
        <v>587</v>
      </c>
    </row>
    <row r="551" spans="1:36">
      <c r="A551" t="s">
        <v>3950</v>
      </c>
      <c r="B551" t="s">
        <v>3807</v>
      </c>
      <c r="C551" t="s">
        <v>3974</v>
      </c>
      <c r="D551" t="s">
        <v>3975</v>
      </c>
      <c r="E551" t="s">
        <v>3976</v>
      </c>
      <c r="P551" t="s">
        <v>80</v>
      </c>
      <c r="R551" s="7">
        <v>28730</v>
      </c>
      <c r="W551" s="15">
        <v>2.6783899999999998</v>
      </c>
      <c r="X551" s="15">
        <v>-77.907740000000004</v>
      </c>
      <c r="Y551">
        <v>1741.8810000000001</v>
      </c>
      <c r="Z551">
        <v>9</v>
      </c>
      <c r="AB551" t="s">
        <v>3975</v>
      </c>
      <c r="AF551" t="s">
        <v>50</v>
      </c>
      <c r="AG551" t="s">
        <v>283</v>
      </c>
      <c r="AH551" t="s">
        <v>3977</v>
      </c>
      <c r="AI551" t="s">
        <v>3978</v>
      </c>
      <c r="AJ551">
        <v>588</v>
      </c>
    </row>
    <row r="552" spans="1:36">
      <c r="A552" t="s">
        <v>3950</v>
      </c>
      <c r="B552" t="s">
        <v>3807</v>
      </c>
      <c r="C552" t="s">
        <v>3974</v>
      </c>
      <c r="D552" t="s">
        <v>3975</v>
      </c>
      <c r="E552" t="s">
        <v>3976</v>
      </c>
      <c r="P552" t="s">
        <v>80</v>
      </c>
      <c r="R552" s="7">
        <v>28730</v>
      </c>
      <c r="W552" s="15">
        <v>2.6783899999999998</v>
      </c>
      <c r="X552" s="15">
        <v>-77.907740000000004</v>
      </c>
      <c r="Y552">
        <v>1741.8810000000001</v>
      </c>
      <c r="Z552">
        <v>9</v>
      </c>
      <c r="AB552" t="s">
        <v>3975</v>
      </c>
      <c r="AF552" t="s">
        <v>50</v>
      </c>
      <c r="AG552" t="s">
        <v>283</v>
      </c>
      <c r="AH552" t="s">
        <v>3977</v>
      </c>
      <c r="AI552" t="s">
        <v>3978</v>
      </c>
      <c r="AJ552">
        <v>589</v>
      </c>
    </row>
    <row r="553" spans="1:36">
      <c r="A553" t="s">
        <v>3950</v>
      </c>
      <c r="B553" t="s">
        <v>3807</v>
      </c>
      <c r="C553" t="s">
        <v>3979</v>
      </c>
      <c r="D553" t="s">
        <v>3980</v>
      </c>
      <c r="E553" t="s">
        <v>3981</v>
      </c>
      <c r="F553" t="s">
        <v>3982</v>
      </c>
      <c r="G553">
        <v>0</v>
      </c>
      <c r="H553">
        <v>20</v>
      </c>
      <c r="P553" t="s">
        <v>80</v>
      </c>
      <c r="R553" s="7">
        <v>25959</v>
      </c>
      <c r="T553" t="s">
        <v>119</v>
      </c>
      <c r="W553" s="15">
        <v>6.2150699999999999</v>
      </c>
      <c r="X553" s="15">
        <v>-77.357709999999997</v>
      </c>
      <c r="Y553">
        <v>4066.0659999999998</v>
      </c>
      <c r="Z553">
        <v>89</v>
      </c>
      <c r="AB553" t="s">
        <v>3983</v>
      </c>
      <c r="AF553" t="s">
        <v>50</v>
      </c>
      <c r="AG553" t="s">
        <v>374</v>
      </c>
      <c r="AH553" t="s">
        <v>3984</v>
      </c>
      <c r="AI553" t="s">
        <v>3985</v>
      </c>
      <c r="AJ553">
        <v>590</v>
      </c>
    </row>
    <row r="554" spans="1:36">
      <c r="A554" t="s">
        <v>3950</v>
      </c>
      <c r="B554" t="s">
        <v>3807</v>
      </c>
      <c r="C554" t="s">
        <v>3986</v>
      </c>
      <c r="D554" t="s">
        <v>3987</v>
      </c>
      <c r="E554" t="s">
        <v>3988</v>
      </c>
      <c r="F554">
        <v>50</v>
      </c>
      <c r="G554">
        <v>50</v>
      </c>
      <c r="H554">
        <v>50</v>
      </c>
      <c r="P554" t="s">
        <v>80</v>
      </c>
      <c r="R554" s="7">
        <v>27514</v>
      </c>
      <c r="T554" t="s">
        <v>119</v>
      </c>
      <c r="W554" s="15">
        <v>5.7326899999999998</v>
      </c>
      <c r="X554" s="15">
        <v>-76.630170000000007</v>
      </c>
      <c r="Y554">
        <v>5669.8419999999996</v>
      </c>
      <c r="Z554">
        <v>57</v>
      </c>
      <c r="AB554" t="s">
        <v>3989</v>
      </c>
      <c r="AF554" t="s">
        <v>50</v>
      </c>
      <c r="AG554" t="s">
        <v>374</v>
      </c>
      <c r="AH554" t="s">
        <v>3990</v>
      </c>
      <c r="AI554" t="s">
        <v>3991</v>
      </c>
      <c r="AJ554">
        <v>591</v>
      </c>
    </row>
    <row r="555" spans="1:36">
      <c r="A555" t="s">
        <v>3950</v>
      </c>
      <c r="B555" t="s">
        <v>3807</v>
      </c>
      <c r="C555" t="s">
        <v>3992</v>
      </c>
      <c r="D555" t="s">
        <v>3993</v>
      </c>
      <c r="E555" t="s">
        <v>3994</v>
      </c>
      <c r="F555">
        <v>5</v>
      </c>
      <c r="G555">
        <v>5</v>
      </c>
      <c r="H555">
        <v>5</v>
      </c>
      <c r="I555" t="s">
        <v>3995</v>
      </c>
      <c r="J555" t="s">
        <v>3996</v>
      </c>
      <c r="K555" t="s">
        <v>3997</v>
      </c>
      <c r="L555" t="s">
        <v>3998</v>
      </c>
      <c r="M555" t="s">
        <v>3999</v>
      </c>
      <c r="N555" t="s">
        <v>1582</v>
      </c>
      <c r="O555" t="s">
        <v>1583</v>
      </c>
      <c r="P555" t="s">
        <v>1584</v>
      </c>
      <c r="R555" s="7">
        <v>28940</v>
      </c>
      <c r="T555" t="s">
        <v>119</v>
      </c>
      <c r="W555" s="15">
        <v>4.1569000000000003</v>
      </c>
      <c r="X555" s="15">
        <v>-77.137039999999999</v>
      </c>
      <c r="Y555">
        <v>3254.4549999999999</v>
      </c>
      <c r="Z555">
        <v>13</v>
      </c>
      <c r="AB555" t="s">
        <v>1323</v>
      </c>
      <c r="AF555" t="s">
        <v>50</v>
      </c>
      <c r="AG555" t="s">
        <v>374</v>
      </c>
      <c r="AH555" t="s">
        <v>1324</v>
      </c>
      <c r="AI555" t="s">
        <v>4000</v>
      </c>
      <c r="AJ555">
        <v>592</v>
      </c>
    </row>
    <row r="556" spans="1:36">
      <c r="A556" t="s">
        <v>3950</v>
      </c>
      <c r="B556" t="s">
        <v>3807</v>
      </c>
      <c r="C556" t="s">
        <v>4001</v>
      </c>
      <c r="D556" t="s">
        <v>4002</v>
      </c>
      <c r="E556" t="s">
        <v>4003</v>
      </c>
      <c r="I556" t="s">
        <v>4004</v>
      </c>
      <c r="J556" t="s">
        <v>4005</v>
      </c>
      <c r="K556" t="s">
        <v>4006</v>
      </c>
      <c r="L556" t="s">
        <v>4007</v>
      </c>
      <c r="M556" t="s">
        <v>4008</v>
      </c>
      <c r="N556" t="s">
        <v>4009</v>
      </c>
      <c r="O556" t="s">
        <v>4010</v>
      </c>
      <c r="P556" t="s">
        <v>4011</v>
      </c>
      <c r="R556" s="7">
        <v>28955</v>
      </c>
      <c r="T556" t="s">
        <v>119</v>
      </c>
      <c r="W556" s="15">
        <v>5</v>
      </c>
      <c r="X556" s="15">
        <v>-76.733333299999998</v>
      </c>
      <c r="AF556" t="s">
        <v>50</v>
      </c>
      <c r="AG556" t="s">
        <v>374</v>
      </c>
      <c r="AH556" t="s">
        <v>1324</v>
      </c>
      <c r="AI556" t="s">
        <v>4012</v>
      </c>
      <c r="AJ556">
        <v>593</v>
      </c>
    </row>
    <row r="557" spans="1:36">
      <c r="A557" t="s">
        <v>3950</v>
      </c>
      <c r="B557" t="s">
        <v>3807</v>
      </c>
      <c r="C557" t="s">
        <v>4013</v>
      </c>
      <c r="D557" t="s">
        <v>4014</v>
      </c>
      <c r="E557" t="s">
        <v>4015</v>
      </c>
      <c r="I557" t="s">
        <v>4016</v>
      </c>
      <c r="J557" t="s">
        <v>4017</v>
      </c>
      <c r="K557" t="s">
        <v>4018</v>
      </c>
      <c r="L557" t="s">
        <v>4019</v>
      </c>
      <c r="M557" t="s">
        <v>4020</v>
      </c>
      <c r="N557" t="s">
        <v>4021</v>
      </c>
      <c r="O557">
        <v>-76.7</v>
      </c>
      <c r="P557" t="s">
        <v>4022</v>
      </c>
      <c r="R557" s="7">
        <v>28958</v>
      </c>
      <c r="T557" t="s">
        <v>119</v>
      </c>
      <c r="W557" s="15">
        <v>5.0999999999999996</v>
      </c>
      <c r="X557" s="15">
        <v>-76.7</v>
      </c>
      <c r="AF557" t="s">
        <v>50</v>
      </c>
      <c r="AG557" t="s">
        <v>374</v>
      </c>
      <c r="AH557" t="s">
        <v>1324</v>
      </c>
      <c r="AI557" t="s">
        <v>4023</v>
      </c>
      <c r="AJ557">
        <v>594</v>
      </c>
    </row>
    <row r="558" spans="1:36">
      <c r="A558" t="s">
        <v>3950</v>
      </c>
      <c r="B558" t="s">
        <v>3807</v>
      </c>
      <c r="C558" t="s">
        <v>4024</v>
      </c>
      <c r="D558" t="s">
        <v>4025</v>
      </c>
      <c r="E558" t="s">
        <v>4026</v>
      </c>
      <c r="F558">
        <v>600</v>
      </c>
      <c r="G558">
        <v>600</v>
      </c>
      <c r="H558">
        <v>600</v>
      </c>
      <c r="P558" t="s">
        <v>80</v>
      </c>
      <c r="R558" s="7">
        <v>30239</v>
      </c>
      <c r="T558" t="s">
        <v>119</v>
      </c>
      <c r="W558" s="15">
        <v>7.9695499999999999</v>
      </c>
      <c r="X558" s="15">
        <v>-77.160709999999995</v>
      </c>
      <c r="Y558">
        <v>1160.6990000000001</v>
      </c>
      <c r="Z558">
        <v>552</v>
      </c>
      <c r="AB558" t="s">
        <v>4027</v>
      </c>
      <c r="AF558" t="s">
        <v>50</v>
      </c>
      <c r="AG558" t="s">
        <v>374</v>
      </c>
      <c r="AH558" t="s">
        <v>4028</v>
      </c>
      <c r="AI558" t="s">
        <v>4029</v>
      </c>
      <c r="AJ558">
        <v>595</v>
      </c>
    </row>
    <row r="559" spans="1:36">
      <c r="A559" t="s">
        <v>3950</v>
      </c>
      <c r="B559" t="s">
        <v>3807</v>
      </c>
      <c r="C559" t="s">
        <v>4030</v>
      </c>
      <c r="D559" t="s">
        <v>4031</v>
      </c>
      <c r="E559" t="s">
        <v>4032</v>
      </c>
      <c r="P559" t="s">
        <v>80</v>
      </c>
      <c r="R559" s="7">
        <v>32829</v>
      </c>
      <c r="T559" t="s">
        <v>119</v>
      </c>
      <c r="W559" s="15">
        <v>6.0291199999999998</v>
      </c>
      <c r="X559" s="15">
        <v>-77.364859999999993</v>
      </c>
      <c r="Y559">
        <v>3381.23</v>
      </c>
      <c r="Z559">
        <v>207</v>
      </c>
      <c r="AB559" t="s">
        <v>4033</v>
      </c>
      <c r="AF559" t="s">
        <v>50</v>
      </c>
      <c r="AG559" t="s">
        <v>374</v>
      </c>
      <c r="AH559" t="s">
        <v>4034</v>
      </c>
      <c r="AI559" t="s">
        <v>4035</v>
      </c>
      <c r="AJ559">
        <v>596</v>
      </c>
    </row>
    <row r="560" spans="1:36">
      <c r="A560" t="s">
        <v>3950</v>
      </c>
      <c r="B560" t="s">
        <v>3807</v>
      </c>
      <c r="C560" t="s">
        <v>4036</v>
      </c>
      <c r="D560" t="s">
        <v>228</v>
      </c>
      <c r="E560" t="s">
        <v>4037</v>
      </c>
      <c r="F560">
        <v>641</v>
      </c>
      <c r="G560">
        <v>641</v>
      </c>
      <c r="H560">
        <v>641</v>
      </c>
      <c r="I560" t="s">
        <v>1566</v>
      </c>
      <c r="J560" t="s">
        <v>1567</v>
      </c>
      <c r="K560" t="s">
        <v>4038</v>
      </c>
      <c r="L560" t="s">
        <v>4039</v>
      </c>
      <c r="M560" t="s">
        <v>4040</v>
      </c>
      <c r="N560" t="s">
        <v>1371</v>
      </c>
      <c r="O560" t="s">
        <v>1372</v>
      </c>
      <c r="P560" t="s">
        <v>1373</v>
      </c>
      <c r="R560" s="7">
        <v>39954</v>
      </c>
      <c r="T560" t="s">
        <v>65</v>
      </c>
      <c r="W560" s="15">
        <v>4.8692722000000002</v>
      </c>
      <c r="X560" s="15">
        <v>-76.250647200000003</v>
      </c>
      <c r="AF560" t="s">
        <v>50</v>
      </c>
      <c r="AG560" t="s">
        <v>374</v>
      </c>
      <c r="AH560" t="s">
        <v>375</v>
      </c>
      <c r="AI560" t="s">
        <v>4041</v>
      </c>
      <c r="AJ560">
        <v>597</v>
      </c>
    </row>
    <row r="561" spans="1:36">
      <c r="A561" t="s">
        <v>3950</v>
      </c>
      <c r="B561" t="s">
        <v>3807</v>
      </c>
      <c r="C561" t="s">
        <v>4036</v>
      </c>
      <c r="D561" t="s">
        <v>228</v>
      </c>
      <c r="E561" t="s">
        <v>4037</v>
      </c>
      <c r="F561">
        <v>641</v>
      </c>
      <c r="G561">
        <v>641</v>
      </c>
      <c r="H561">
        <v>641</v>
      </c>
      <c r="I561" t="s">
        <v>1566</v>
      </c>
      <c r="J561" t="s">
        <v>1567</v>
      </c>
      <c r="K561" t="s">
        <v>4038</v>
      </c>
      <c r="L561" t="s">
        <v>4039</v>
      </c>
      <c r="M561" t="s">
        <v>4040</v>
      </c>
      <c r="N561" t="s">
        <v>1371</v>
      </c>
      <c r="O561" t="s">
        <v>1372</v>
      </c>
      <c r="P561" t="s">
        <v>1373</v>
      </c>
      <c r="R561" s="7">
        <v>39954</v>
      </c>
      <c r="T561" t="s">
        <v>65</v>
      </c>
      <c r="W561" s="15">
        <v>4.8692722000000002</v>
      </c>
      <c r="X561" s="15">
        <v>-76.250647200000003</v>
      </c>
      <c r="AF561" t="s">
        <v>50</v>
      </c>
      <c r="AG561" t="s">
        <v>374</v>
      </c>
      <c r="AH561" t="s">
        <v>375</v>
      </c>
      <c r="AI561" t="s">
        <v>4041</v>
      </c>
      <c r="AJ561">
        <v>598</v>
      </c>
    </row>
    <row r="562" spans="1:36">
      <c r="A562" t="s">
        <v>3950</v>
      </c>
      <c r="B562" t="s">
        <v>3807</v>
      </c>
      <c r="C562" t="s">
        <v>4042</v>
      </c>
      <c r="D562" t="s">
        <v>228</v>
      </c>
      <c r="E562" t="s">
        <v>4037</v>
      </c>
      <c r="F562">
        <v>641</v>
      </c>
      <c r="G562">
        <v>641</v>
      </c>
      <c r="H562">
        <v>641</v>
      </c>
      <c r="I562" t="s">
        <v>1566</v>
      </c>
      <c r="J562" t="s">
        <v>1567</v>
      </c>
      <c r="K562" t="s">
        <v>4038</v>
      </c>
      <c r="L562" t="s">
        <v>4039</v>
      </c>
      <c r="M562" t="s">
        <v>4040</v>
      </c>
      <c r="N562" t="s">
        <v>1371</v>
      </c>
      <c r="O562" t="s">
        <v>1372</v>
      </c>
      <c r="P562" t="s">
        <v>1373</v>
      </c>
      <c r="R562" s="7">
        <v>39954</v>
      </c>
      <c r="T562" t="s">
        <v>65</v>
      </c>
      <c r="W562" s="15">
        <v>4.8692722000000002</v>
      </c>
      <c r="X562" s="15">
        <v>-76.250647200000003</v>
      </c>
      <c r="AF562" t="s">
        <v>50</v>
      </c>
      <c r="AG562" t="s">
        <v>374</v>
      </c>
      <c r="AH562" t="s">
        <v>375</v>
      </c>
      <c r="AI562" t="s">
        <v>4041</v>
      </c>
      <c r="AJ562">
        <v>599</v>
      </c>
    </row>
    <row r="563" spans="1:36">
      <c r="A563" t="s">
        <v>3950</v>
      </c>
      <c r="B563" t="s">
        <v>3807</v>
      </c>
      <c r="C563" t="s">
        <v>4043</v>
      </c>
      <c r="D563" t="s">
        <v>228</v>
      </c>
      <c r="E563" t="s">
        <v>4037</v>
      </c>
      <c r="F563">
        <v>641</v>
      </c>
      <c r="G563">
        <v>641</v>
      </c>
      <c r="H563">
        <v>641</v>
      </c>
      <c r="I563" t="s">
        <v>1566</v>
      </c>
      <c r="J563" t="s">
        <v>1567</v>
      </c>
      <c r="K563" t="s">
        <v>4038</v>
      </c>
      <c r="L563" t="s">
        <v>4039</v>
      </c>
      <c r="M563" t="s">
        <v>4040</v>
      </c>
      <c r="N563" t="s">
        <v>1371</v>
      </c>
      <c r="O563" t="s">
        <v>1372</v>
      </c>
      <c r="P563" t="s">
        <v>1373</v>
      </c>
      <c r="R563" s="7">
        <v>39954</v>
      </c>
      <c r="T563" t="s">
        <v>65</v>
      </c>
      <c r="W563" s="15">
        <v>4.8692722000000002</v>
      </c>
      <c r="X563" s="15">
        <v>-76.250647200000003</v>
      </c>
      <c r="AF563" t="s">
        <v>50</v>
      </c>
      <c r="AG563" t="s">
        <v>374</v>
      </c>
      <c r="AH563" t="s">
        <v>375</v>
      </c>
      <c r="AI563" t="s">
        <v>4041</v>
      </c>
      <c r="AJ563">
        <v>600</v>
      </c>
    </row>
    <row r="564" spans="1:36">
      <c r="A564" t="s">
        <v>3950</v>
      </c>
      <c r="B564" t="s">
        <v>3807</v>
      </c>
      <c r="C564" t="s">
        <v>4044</v>
      </c>
      <c r="D564" t="s">
        <v>4045</v>
      </c>
      <c r="E564" t="s">
        <v>4046</v>
      </c>
      <c r="I564" t="s">
        <v>4047</v>
      </c>
      <c r="J564" t="s">
        <v>4048</v>
      </c>
      <c r="K564" t="s">
        <v>4049</v>
      </c>
      <c r="L564" t="s">
        <v>4050</v>
      </c>
      <c r="M564" t="s">
        <v>4051</v>
      </c>
      <c r="N564" t="s">
        <v>4052</v>
      </c>
      <c r="O564" t="s">
        <v>4053</v>
      </c>
      <c r="P564" t="s">
        <v>4054</v>
      </c>
      <c r="R564" s="7">
        <v>38212</v>
      </c>
      <c r="T564" t="s">
        <v>111</v>
      </c>
      <c r="W564" s="15">
        <v>5.2177806000000002</v>
      </c>
      <c r="X564" s="15">
        <v>-76.634866700000003</v>
      </c>
      <c r="AF564" t="s">
        <v>50</v>
      </c>
      <c r="AG564" t="s">
        <v>374</v>
      </c>
      <c r="AH564" t="s">
        <v>4055</v>
      </c>
      <c r="AI564" t="s">
        <v>4056</v>
      </c>
      <c r="AJ564">
        <v>601</v>
      </c>
    </row>
    <row r="565" spans="1:36">
      <c r="A565" t="s">
        <v>3950</v>
      </c>
      <c r="B565" t="s">
        <v>3807</v>
      </c>
      <c r="C565" t="s">
        <v>4057</v>
      </c>
      <c r="D565" t="s">
        <v>4058</v>
      </c>
      <c r="E565" t="s">
        <v>4059</v>
      </c>
      <c r="P565" t="s">
        <v>80</v>
      </c>
      <c r="R565" s="7"/>
      <c r="W565" s="15">
        <v>5.4216499999999996</v>
      </c>
      <c r="X565" s="15">
        <v>-76.745069999999998</v>
      </c>
      <c r="Y565">
        <v>7507.3310000000001</v>
      </c>
      <c r="Z565">
        <v>71</v>
      </c>
      <c r="AA565" t="s">
        <v>4060</v>
      </c>
      <c r="AB565" t="s">
        <v>4061</v>
      </c>
      <c r="AF565" t="s">
        <v>50</v>
      </c>
      <c r="AG565" t="s">
        <v>374</v>
      </c>
      <c r="AH565" t="s">
        <v>4062</v>
      </c>
      <c r="AI565" t="s">
        <v>4063</v>
      </c>
      <c r="AJ565">
        <v>602</v>
      </c>
    </row>
    <row r="566" spans="1:36">
      <c r="A566" t="s">
        <v>3806</v>
      </c>
      <c r="B566" t="s">
        <v>3807</v>
      </c>
      <c r="C566" t="s">
        <v>4064</v>
      </c>
      <c r="D566" t="s">
        <v>228</v>
      </c>
      <c r="E566" t="s">
        <v>4065</v>
      </c>
      <c r="F566" t="s">
        <v>2967</v>
      </c>
      <c r="G566">
        <v>2147</v>
      </c>
      <c r="H566">
        <v>2150</v>
      </c>
      <c r="I566" t="s">
        <v>4066</v>
      </c>
      <c r="J566" t="s">
        <v>4067</v>
      </c>
      <c r="K566" t="s">
        <v>4068</v>
      </c>
      <c r="L566" t="s">
        <v>4069</v>
      </c>
      <c r="M566" t="s">
        <v>4070</v>
      </c>
      <c r="P566" t="s">
        <v>80</v>
      </c>
      <c r="R566" s="7">
        <v>39965</v>
      </c>
      <c r="T566" t="s">
        <v>119</v>
      </c>
      <c r="W566" s="15">
        <v>1.9998610999999999</v>
      </c>
      <c r="X566" s="15">
        <v>-76.285502800000003</v>
      </c>
      <c r="AF566" t="s">
        <v>50</v>
      </c>
      <c r="AG566" t="s">
        <v>51</v>
      </c>
      <c r="AH566" t="s">
        <v>296</v>
      </c>
      <c r="AI566" t="s">
        <v>4071</v>
      </c>
      <c r="AJ566">
        <v>603</v>
      </c>
    </row>
    <row r="567" spans="1:36">
      <c r="A567" t="s">
        <v>3806</v>
      </c>
      <c r="B567" t="s">
        <v>3807</v>
      </c>
      <c r="C567" t="s">
        <v>4072</v>
      </c>
      <c r="D567" t="s">
        <v>4073</v>
      </c>
      <c r="E567" t="s">
        <v>4074</v>
      </c>
      <c r="F567">
        <v>1100</v>
      </c>
      <c r="G567">
        <v>1100</v>
      </c>
      <c r="H567">
        <v>1100</v>
      </c>
      <c r="I567" t="s">
        <v>4075</v>
      </c>
      <c r="J567" t="s">
        <v>4076</v>
      </c>
      <c r="K567" t="s">
        <v>4077</v>
      </c>
      <c r="L567" t="s">
        <v>4078</v>
      </c>
      <c r="M567" t="s">
        <v>4079</v>
      </c>
      <c r="N567" t="s">
        <v>4080</v>
      </c>
      <c r="O567" t="s">
        <v>4081</v>
      </c>
      <c r="P567" t="s">
        <v>4082</v>
      </c>
      <c r="R567" s="7">
        <v>29922</v>
      </c>
      <c r="W567" s="15">
        <v>1.25</v>
      </c>
      <c r="X567" s="15">
        <v>-78.116666699999996</v>
      </c>
      <c r="AF567" t="s">
        <v>50</v>
      </c>
      <c r="AG567" t="s">
        <v>127</v>
      </c>
      <c r="AH567" t="s">
        <v>4083</v>
      </c>
      <c r="AJ567">
        <v>604</v>
      </c>
    </row>
    <row r="568" spans="1:36">
      <c r="A568" t="s">
        <v>3950</v>
      </c>
      <c r="B568" t="s">
        <v>3807</v>
      </c>
      <c r="C568" t="s">
        <v>4084</v>
      </c>
      <c r="D568" t="s">
        <v>4085</v>
      </c>
      <c r="E568" t="s">
        <v>4086</v>
      </c>
      <c r="F568">
        <v>350</v>
      </c>
      <c r="G568">
        <v>350</v>
      </c>
      <c r="H568">
        <v>350</v>
      </c>
      <c r="P568" t="s">
        <v>80</v>
      </c>
      <c r="R568" s="7">
        <v>36313</v>
      </c>
      <c r="T568" t="s">
        <v>119</v>
      </c>
      <c r="W568" s="15">
        <v>1.7738</v>
      </c>
      <c r="X568" s="15">
        <v>-78.833299999999994</v>
      </c>
      <c r="Y568">
        <v>1615.596</v>
      </c>
      <c r="Z568">
        <v>11</v>
      </c>
      <c r="AB568" t="s">
        <v>4087</v>
      </c>
      <c r="AF568" t="s">
        <v>50</v>
      </c>
      <c r="AG568" t="s">
        <v>127</v>
      </c>
      <c r="AH568" t="s">
        <v>4088</v>
      </c>
      <c r="AI568" t="s">
        <v>4089</v>
      </c>
      <c r="AJ568">
        <v>605</v>
      </c>
    </row>
    <row r="569" spans="1:36">
      <c r="A569" t="s">
        <v>3950</v>
      </c>
      <c r="B569" t="s">
        <v>3807</v>
      </c>
      <c r="C569" t="s">
        <v>4084</v>
      </c>
      <c r="D569" t="s">
        <v>4090</v>
      </c>
      <c r="E569" t="s">
        <v>4086</v>
      </c>
      <c r="F569">
        <v>350</v>
      </c>
      <c r="G569">
        <v>350</v>
      </c>
      <c r="H569">
        <v>350</v>
      </c>
      <c r="P569" t="s">
        <v>80</v>
      </c>
      <c r="R569" s="7">
        <v>36313</v>
      </c>
      <c r="T569" t="s">
        <v>119</v>
      </c>
      <c r="W569" s="15">
        <v>1.7738</v>
      </c>
      <c r="X569" s="15">
        <v>-78.833299999999994</v>
      </c>
      <c r="Y569">
        <v>1615.596</v>
      </c>
      <c r="Z569">
        <v>11</v>
      </c>
      <c r="AB569" t="s">
        <v>4087</v>
      </c>
      <c r="AF569" t="s">
        <v>50</v>
      </c>
      <c r="AG569" t="s">
        <v>127</v>
      </c>
      <c r="AH569" t="s">
        <v>4088</v>
      </c>
      <c r="AI569" t="s">
        <v>4089</v>
      </c>
      <c r="AJ569">
        <v>606</v>
      </c>
    </row>
    <row r="570" spans="1:36">
      <c r="A570" t="s">
        <v>3806</v>
      </c>
      <c r="B570" t="s">
        <v>3807</v>
      </c>
      <c r="C570" t="s">
        <v>4091</v>
      </c>
      <c r="D570" t="s">
        <v>4092</v>
      </c>
      <c r="E570" t="s">
        <v>4093</v>
      </c>
      <c r="F570">
        <v>250</v>
      </c>
      <c r="G570">
        <v>250</v>
      </c>
      <c r="H570">
        <v>250</v>
      </c>
      <c r="P570" t="s">
        <v>80</v>
      </c>
      <c r="R570" s="7">
        <v>14934</v>
      </c>
      <c r="T570" t="s">
        <v>119</v>
      </c>
      <c r="W570" s="15">
        <v>-0.49492999999999998</v>
      </c>
      <c r="X570" s="15">
        <v>-74.419409999999999</v>
      </c>
      <c r="Y570">
        <v>494.892</v>
      </c>
      <c r="Z570">
        <v>168</v>
      </c>
      <c r="AB570" t="s">
        <v>4094</v>
      </c>
      <c r="AF570" t="s">
        <v>50</v>
      </c>
      <c r="AG570" t="s">
        <v>67</v>
      </c>
      <c r="AH570" t="s">
        <v>4095</v>
      </c>
      <c r="AI570" t="s">
        <v>4096</v>
      </c>
      <c r="AJ570">
        <v>607</v>
      </c>
    </row>
    <row r="571" spans="1:36">
      <c r="A571" t="s">
        <v>3806</v>
      </c>
      <c r="B571" t="s">
        <v>3807</v>
      </c>
      <c r="C571" t="s">
        <v>4097</v>
      </c>
      <c r="D571" t="s">
        <v>4098</v>
      </c>
      <c r="E571" t="s">
        <v>4099</v>
      </c>
      <c r="F571">
        <v>240</v>
      </c>
      <c r="G571">
        <v>240</v>
      </c>
      <c r="H571">
        <v>240</v>
      </c>
      <c r="I571" t="s">
        <v>4100</v>
      </c>
      <c r="J571" t="s">
        <v>4101</v>
      </c>
      <c r="K571" t="s">
        <v>4102</v>
      </c>
      <c r="L571" t="s">
        <v>4103</v>
      </c>
      <c r="M571" t="s">
        <v>4104</v>
      </c>
      <c r="N571" t="s">
        <v>4105</v>
      </c>
      <c r="O571" t="s">
        <v>4106</v>
      </c>
      <c r="P571" t="s">
        <v>4107</v>
      </c>
      <c r="R571" s="7">
        <v>26712</v>
      </c>
      <c r="W571" s="15">
        <v>0.65795000000000003</v>
      </c>
      <c r="X571" s="15">
        <v>-76.692986099999999</v>
      </c>
      <c r="AF571" t="s">
        <v>50</v>
      </c>
      <c r="AG571" t="s">
        <v>67</v>
      </c>
      <c r="AH571" t="s">
        <v>4108</v>
      </c>
      <c r="AJ571">
        <v>608</v>
      </c>
    </row>
    <row r="572" spans="1:36">
      <c r="A572" t="s">
        <v>3806</v>
      </c>
      <c r="B572" t="s">
        <v>3807</v>
      </c>
      <c r="C572" t="s">
        <v>4109</v>
      </c>
      <c r="D572" t="s">
        <v>4110</v>
      </c>
      <c r="E572" t="s">
        <v>4111</v>
      </c>
      <c r="F572">
        <v>700</v>
      </c>
      <c r="G572">
        <v>700</v>
      </c>
      <c r="H572">
        <v>700</v>
      </c>
      <c r="I572" t="s">
        <v>664</v>
      </c>
      <c r="J572" t="s">
        <v>665</v>
      </c>
      <c r="K572" t="s">
        <v>4112</v>
      </c>
      <c r="L572" t="s">
        <v>4113</v>
      </c>
      <c r="M572" t="s">
        <v>4114</v>
      </c>
      <c r="N572" t="s">
        <v>649</v>
      </c>
      <c r="O572" t="s">
        <v>4115</v>
      </c>
      <c r="P572" t="s">
        <v>4116</v>
      </c>
      <c r="R572" s="7">
        <v>29557</v>
      </c>
      <c r="W572" s="15">
        <v>1.1666666999999999</v>
      </c>
      <c r="X572" s="15">
        <v>-76.55</v>
      </c>
      <c r="AF572" t="s">
        <v>50</v>
      </c>
      <c r="AG572" t="s">
        <v>67</v>
      </c>
      <c r="AH572" t="s">
        <v>4117</v>
      </c>
      <c r="AI572" t="s">
        <v>4118</v>
      </c>
      <c r="AJ572">
        <v>609</v>
      </c>
    </row>
    <row r="573" spans="1:36">
      <c r="A573" t="s">
        <v>3806</v>
      </c>
      <c r="B573" t="s">
        <v>3807</v>
      </c>
      <c r="C573" t="s">
        <v>4119</v>
      </c>
      <c r="D573" t="s">
        <v>4120</v>
      </c>
      <c r="E573" t="s">
        <v>4121</v>
      </c>
      <c r="F573" t="s">
        <v>4122</v>
      </c>
      <c r="G573">
        <v>100</v>
      </c>
      <c r="H573">
        <v>700</v>
      </c>
      <c r="P573" t="s">
        <v>80</v>
      </c>
      <c r="R573" s="7">
        <v>12960</v>
      </c>
      <c r="W573" s="15">
        <v>6.75739</v>
      </c>
      <c r="X573" s="15">
        <v>-74.121799999999993</v>
      </c>
      <c r="Y573">
        <v>1212.4369999999999</v>
      </c>
      <c r="Z573">
        <v>93</v>
      </c>
      <c r="AB573" t="s">
        <v>4123</v>
      </c>
      <c r="AF573" t="s">
        <v>50</v>
      </c>
      <c r="AG573" t="s">
        <v>224</v>
      </c>
      <c r="AH573" t="s">
        <v>4124</v>
      </c>
      <c r="AI573" t="s">
        <v>4125</v>
      </c>
      <c r="AJ573">
        <v>610</v>
      </c>
    </row>
    <row r="574" spans="1:36">
      <c r="A574" t="s">
        <v>3950</v>
      </c>
      <c r="B574" t="s">
        <v>3807</v>
      </c>
      <c r="C574" t="s">
        <v>4126</v>
      </c>
      <c r="D574" t="s">
        <v>4127</v>
      </c>
      <c r="E574" t="s">
        <v>4128</v>
      </c>
      <c r="P574" t="s">
        <v>80</v>
      </c>
      <c r="R574" s="7">
        <v>24732</v>
      </c>
      <c r="T574" t="s">
        <v>119</v>
      </c>
      <c r="W574" s="15">
        <v>4.0020600000000002</v>
      </c>
      <c r="X574" s="15">
        <v>-76.978319999999997</v>
      </c>
      <c r="Y574">
        <v>7060.0810000000001</v>
      </c>
      <c r="Z574">
        <v>20</v>
      </c>
      <c r="AB574" t="s">
        <v>4129</v>
      </c>
      <c r="AF574" t="s">
        <v>50</v>
      </c>
      <c r="AG574" t="s">
        <v>4130</v>
      </c>
      <c r="AJ574">
        <v>611</v>
      </c>
    </row>
    <row r="575" spans="1:36">
      <c r="A575" t="s">
        <v>4131</v>
      </c>
      <c r="B575" t="s">
        <v>4132</v>
      </c>
      <c r="C575" t="s">
        <v>4133</v>
      </c>
      <c r="D575" t="s">
        <v>4134</v>
      </c>
      <c r="E575" t="s">
        <v>4135</v>
      </c>
      <c r="F575">
        <v>2511</v>
      </c>
      <c r="G575">
        <v>2511</v>
      </c>
      <c r="H575">
        <v>2511</v>
      </c>
      <c r="I575" t="s">
        <v>4136</v>
      </c>
      <c r="J575" t="s">
        <v>4137</v>
      </c>
      <c r="K575" t="s">
        <v>4138</v>
      </c>
      <c r="L575" t="s">
        <v>530</v>
      </c>
      <c r="M575" t="s">
        <v>4139</v>
      </c>
      <c r="N575" t="s">
        <v>4140</v>
      </c>
      <c r="O575" t="s">
        <v>533</v>
      </c>
      <c r="P575" t="s">
        <v>4141</v>
      </c>
      <c r="R575" s="7">
        <v>33352</v>
      </c>
      <c r="T575" t="s">
        <v>119</v>
      </c>
      <c r="W575" s="15">
        <v>6.6288</v>
      </c>
      <c r="X575" s="15">
        <v>-75.688969999999998</v>
      </c>
      <c r="Y575">
        <v>1354.675</v>
      </c>
      <c r="Z575">
        <v>2639</v>
      </c>
      <c r="AB575" t="s">
        <v>4142</v>
      </c>
      <c r="AF575" t="s">
        <v>50</v>
      </c>
      <c r="AG575" t="s">
        <v>3417</v>
      </c>
      <c r="AH575" t="s">
        <v>1710</v>
      </c>
      <c r="AI575" t="s">
        <v>4143</v>
      </c>
      <c r="AJ575">
        <v>613</v>
      </c>
    </row>
    <row r="576" spans="1:36">
      <c r="A576" t="s">
        <v>4131</v>
      </c>
      <c r="B576" t="s">
        <v>4132</v>
      </c>
      <c r="C576" t="s">
        <v>4144</v>
      </c>
      <c r="D576" t="s">
        <v>4145</v>
      </c>
      <c r="E576" t="s">
        <v>4146</v>
      </c>
      <c r="F576">
        <v>2590</v>
      </c>
      <c r="G576">
        <v>2590</v>
      </c>
      <c r="H576">
        <v>2590</v>
      </c>
      <c r="I576" t="s">
        <v>4147</v>
      </c>
      <c r="J576" t="s">
        <v>4148</v>
      </c>
      <c r="K576" t="s">
        <v>4149</v>
      </c>
      <c r="L576" t="s">
        <v>4150</v>
      </c>
      <c r="M576" t="s">
        <v>4151</v>
      </c>
      <c r="N576" t="s">
        <v>4152</v>
      </c>
      <c r="O576" t="s">
        <v>4153</v>
      </c>
      <c r="P576" t="s">
        <v>4154</v>
      </c>
      <c r="R576" s="7">
        <v>38563</v>
      </c>
      <c r="T576" t="s">
        <v>119</v>
      </c>
      <c r="W576" s="15">
        <v>6.6288</v>
      </c>
      <c r="X576" s="15">
        <v>-75.688969999999998</v>
      </c>
      <c r="Y576">
        <v>1354.675</v>
      </c>
      <c r="Z576">
        <v>2639</v>
      </c>
      <c r="AB576" t="s">
        <v>4142</v>
      </c>
      <c r="AF576" t="s">
        <v>50</v>
      </c>
      <c r="AG576" t="s">
        <v>4155</v>
      </c>
      <c r="AH576" t="s">
        <v>1710</v>
      </c>
      <c r="AI576" t="s">
        <v>4156</v>
      </c>
      <c r="AJ576">
        <v>615</v>
      </c>
    </row>
    <row r="577" spans="1:36">
      <c r="A577" t="s">
        <v>4131</v>
      </c>
      <c r="B577" t="s">
        <v>4132</v>
      </c>
      <c r="C577" t="s">
        <v>4157</v>
      </c>
      <c r="D577" t="s">
        <v>4158</v>
      </c>
      <c r="E577" t="s">
        <v>4159</v>
      </c>
      <c r="F577">
        <v>2600</v>
      </c>
      <c r="G577">
        <v>2600</v>
      </c>
      <c r="H577">
        <v>2600</v>
      </c>
      <c r="P577" t="s">
        <v>80</v>
      </c>
      <c r="R577" s="7">
        <v>24649</v>
      </c>
      <c r="T577" t="s">
        <v>119</v>
      </c>
      <c r="W577" s="15">
        <v>6.3337599999999998</v>
      </c>
      <c r="X577" s="15">
        <v>-75.643929999999997</v>
      </c>
      <c r="Y577">
        <v>1957.38</v>
      </c>
      <c r="Z577">
        <v>3060</v>
      </c>
      <c r="AB577" t="s">
        <v>2262</v>
      </c>
      <c r="AF577" t="s">
        <v>50</v>
      </c>
      <c r="AG577" t="s">
        <v>402</v>
      </c>
      <c r="AH577" t="s">
        <v>4160</v>
      </c>
      <c r="AJ577">
        <v>617</v>
      </c>
    </row>
    <row r="578" spans="1:36">
      <c r="A578" t="s">
        <v>4131</v>
      </c>
      <c r="B578" t="s">
        <v>4132</v>
      </c>
      <c r="C578" t="s">
        <v>4161</v>
      </c>
      <c r="D578" t="s">
        <v>4162</v>
      </c>
      <c r="E578" t="s">
        <v>4163</v>
      </c>
      <c r="F578">
        <v>2950</v>
      </c>
      <c r="G578">
        <v>2950</v>
      </c>
      <c r="H578">
        <v>2950</v>
      </c>
      <c r="I578" t="s">
        <v>4164</v>
      </c>
      <c r="J578" t="s">
        <v>4165</v>
      </c>
      <c r="K578" t="s">
        <v>4166</v>
      </c>
      <c r="L578" t="s">
        <v>4167</v>
      </c>
      <c r="M578" t="s">
        <v>4168</v>
      </c>
      <c r="N578" t="s">
        <v>4169</v>
      </c>
      <c r="O578" t="s">
        <v>4170</v>
      </c>
      <c r="P578" t="s">
        <v>4171</v>
      </c>
      <c r="R578" s="7">
        <v>28064</v>
      </c>
      <c r="T578" t="s">
        <v>119</v>
      </c>
      <c r="W578" s="15">
        <v>5.9280194000000002</v>
      </c>
      <c r="X578" s="15">
        <v>-75.671719400000001</v>
      </c>
      <c r="AF578" t="s">
        <v>50</v>
      </c>
      <c r="AG578" t="s">
        <v>402</v>
      </c>
      <c r="AH578" t="s">
        <v>1034</v>
      </c>
      <c r="AI578" t="s">
        <v>4172</v>
      </c>
      <c r="AJ578">
        <v>618</v>
      </c>
    </row>
    <row r="579" spans="1:36">
      <c r="A579" t="s">
        <v>4131</v>
      </c>
      <c r="B579" t="s">
        <v>4132</v>
      </c>
      <c r="C579" t="s">
        <v>4173</v>
      </c>
      <c r="D579" t="s">
        <v>4174</v>
      </c>
      <c r="E579" t="s">
        <v>4175</v>
      </c>
      <c r="F579">
        <v>2280</v>
      </c>
      <c r="G579">
        <v>2280</v>
      </c>
      <c r="H579">
        <v>2280</v>
      </c>
      <c r="I579" t="s">
        <v>4176</v>
      </c>
      <c r="J579" t="s">
        <v>4177</v>
      </c>
      <c r="K579" t="s">
        <v>4178</v>
      </c>
      <c r="L579" t="s">
        <v>4179</v>
      </c>
      <c r="M579" t="s">
        <v>4180</v>
      </c>
      <c r="N579" t="s">
        <v>4181</v>
      </c>
      <c r="O579" t="s">
        <v>4182</v>
      </c>
      <c r="P579" t="s">
        <v>4183</v>
      </c>
      <c r="R579" s="7">
        <v>28246</v>
      </c>
      <c r="T579" t="s">
        <v>119</v>
      </c>
      <c r="W579" s="15">
        <v>6.0572222</v>
      </c>
      <c r="X579" s="15">
        <v>-75.502499999999998</v>
      </c>
      <c r="AF579" t="s">
        <v>50</v>
      </c>
      <c r="AG579" t="s">
        <v>402</v>
      </c>
      <c r="AH579" t="s">
        <v>4184</v>
      </c>
      <c r="AJ579">
        <v>619</v>
      </c>
    </row>
    <row r="580" spans="1:36">
      <c r="A580" t="s">
        <v>4131</v>
      </c>
      <c r="B580" t="s">
        <v>4132</v>
      </c>
      <c r="C580" t="s">
        <v>4185</v>
      </c>
      <c r="D580" t="s">
        <v>4186</v>
      </c>
      <c r="E580" t="s">
        <v>4187</v>
      </c>
      <c r="F580" t="s">
        <v>4188</v>
      </c>
      <c r="G580" t="s">
        <v>4188</v>
      </c>
      <c r="H580" t="s">
        <v>4188</v>
      </c>
      <c r="I580" t="s">
        <v>4189</v>
      </c>
      <c r="J580" t="s">
        <v>4190</v>
      </c>
      <c r="K580" t="s">
        <v>4191</v>
      </c>
      <c r="L580" t="s">
        <v>4192</v>
      </c>
      <c r="M580" t="s">
        <v>4193</v>
      </c>
      <c r="N580" t="s">
        <v>754</v>
      </c>
      <c r="O580" t="s">
        <v>4194</v>
      </c>
      <c r="P580" t="s">
        <v>4195</v>
      </c>
      <c r="R580" s="7">
        <v>28709</v>
      </c>
      <c r="W580" s="15">
        <v>6.3</v>
      </c>
      <c r="X580" s="15">
        <v>-75.683333300000001</v>
      </c>
      <c r="AF580" t="s">
        <v>50</v>
      </c>
      <c r="AG580" t="s">
        <v>402</v>
      </c>
      <c r="AH580" t="s">
        <v>855</v>
      </c>
      <c r="AI580" t="s">
        <v>4196</v>
      </c>
      <c r="AJ580">
        <v>620</v>
      </c>
    </row>
    <row r="581" spans="1:36">
      <c r="A581" t="s">
        <v>4131</v>
      </c>
      <c r="B581" t="s">
        <v>4132</v>
      </c>
      <c r="C581" t="s">
        <v>4197</v>
      </c>
      <c r="D581" t="s">
        <v>4198</v>
      </c>
      <c r="E581" t="s">
        <v>4199</v>
      </c>
      <c r="F581" t="s">
        <v>4200</v>
      </c>
      <c r="G581">
        <v>2100</v>
      </c>
      <c r="H581">
        <v>3150</v>
      </c>
      <c r="P581" t="s">
        <v>80</v>
      </c>
      <c r="R581" s="7">
        <v>28718</v>
      </c>
      <c r="T581" t="s">
        <v>119</v>
      </c>
      <c r="W581" s="15">
        <v>6.3343499999999997</v>
      </c>
      <c r="X581" s="15">
        <v>-75.656909999999996</v>
      </c>
      <c r="Y581">
        <v>2777.5030000000002</v>
      </c>
      <c r="Z581">
        <v>3072</v>
      </c>
      <c r="AB581" t="s">
        <v>4201</v>
      </c>
      <c r="AF581" t="s">
        <v>50</v>
      </c>
      <c r="AG581" t="s">
        <v>402</v>
      </c>
      <c r="AH581" t="s">
        <v>4202</v>
      </c>
      <c r="AI581" t="s">
        <v>4203</v>
      </c>
      <c r="AJ581">
        <v>621</v>
      </c>
    </row>
    <row r="582" spans="1:36">
      <c r="A582" t="s">
        <v>4131</v>
      </c>
      <c r="B582" t="s">
        <v>4132</v>
      </c>
      <c r="C582" t="s">
        <v>4204</v>
      </c>
      <c r="D582" t="s">
        <v>4205</v>
      </c>
      <c r="E582" t="s">
        <v>4206</v>
      </c>
      <c r="F582">
        <v>2000</v>
      </c>
      <c r="G582">
        <v>2000</v>
      </c>
      <c r="H582">
        <v>2000</v>
      </c>
      <c r="I582" t="s">
        <v>4207</v>
      </c>
      <c r="J582" t="s">
        <v>4208</v>
      </c>
      <c r="K582" t="s">
        <v>4209</v>
      </c>
      <c r="L582" t="s">
        <v>4210</v>
      </c>
      <c r="M582" t="s">
        <v>4211</v>
      </c>
      <c r="N582" t="s">
        <v>4212</v>
      </c>
      <c r="O582" t="s">
        <v>4213</v>
      </c>
      <c r="P582" t="s">
        <v>4214</v>
      </c>
      <c r="R582" s="7">
        <v>29061</v>
      </c>
      <c r="T582" t="s">
        <v>119</v>
      </c>
      <c r="W582" s="15">
        <v>6.9616832999999998</v>
      </c>
      <c r="X582" s="15">
        <v>-75.426824999999994</v>
      </c>
      <c r="AF582" t="s">
        <v>50</v>
      </c>
      <c r="AG582" t="s">
        <v>402</v>
      </c>
      <c r="AH582" t="s">
        <v>4215</v>
      </c>
      <c r="AI582" t="s">
        <v>4216</v>
      </c>
      <c r="AJ582">
        <v>622</v>
      </c>
    </row>
    <row r="583" spans="1:36">
      <c r="A583" t="s">
        <v>4131</v>
      </c>
      <c r="B583" t="s">
        <v>4132</v>
      </c>
      <c r="C583" t="s">
        <v>4204</v>
      </c>
      <c r="D583" t="s">
        <v>4217</v>
      </c>
      <c r="E583" t="s">
        <v>4206</v>
      </c>
      <c r="F583">
        <v>2000</v>
      </c>
      <c r="G583">
        <v>2000</v>
      </c>
      <c r="H583">
        <v>2000</v>
      </c>
      <c r="I583" t="s">
        <v>4207</v>
      </c>
      <c r="J583" t="s">
        <v>4208</v>
      </c>
      <c r="K583" t="s">
        <v>4209</v>
      </c>
      <c r="L583" t="s">
        <v>4210</v>
      </c>
      <c r="M583" t="s">
        <v>4211</v>
      </c>
      <c r="N583" t="s">
        <v>4212</v>
      </c>
      <c r="O583" t="s">
        <v>4213</v>
      </c>
      <c r="P583" t="s">
        <v>4214</v>
      </c>
      <c r="R583" s="7">
        <v>29061</v>
      </c>
      <c r="W583" s="15">
        <v>6.9616832999999998</v>
      </c>
      <c r="X583" s="15">
        <v>-75.426824999999994</v>
      </c>
      <c r="AF583" t="s">
        <v>50</v>
      </c>
      <c r="AG583" t="s">
        <v>402</v>
      </c>
      <c r="AH583" t="s">
        <v>4215</v>
      </c>
      <c r="AI583" t="s">
        <v>4216</v>
      </c>
      <c r="AJ583">
        <v>623</v>
      </c>
    </row>
    <row r="584" spans="1:36">
      <c r="A584" t="s">
        <v>4131</v>
      </c>
      <c r="B584" t="s">
        <v>4132</v>
      </c>
      <c r="C584" t="s">
        <v>4218</v>
      </c>
      <c r="D584" t="s">
        <v>4219</v>
      </c>
      <c r="E584" t="s">
        <v>4220</v>
      </c>
      <c r="I584" t="s">
        <v>4207</v>
      </c>
      <c r="J584" t="s">
        <v>4208</v>
      </c>
      <c r="K584" t="s">
        <v>4209</v>
      </c>
      <c r="L584" t="s">
        <v>4210</v>
      </c>
      <c r="M584" t="s">
        <v>4211</v>
      </c>
      <c r="N584" t="s">
        <v>4212</v>
      </c>
      <c r="O584" t="s">
        <v>4213</v>
      </c>
      <c r="P584" t="s">
        <v>4214</v>
      </c>
      <c r="R584" s="7">
        <v>29092</v>
      </c>
      <c r="W584" s="15">
        <v>6.9616832999999998</v>
      </c>
      <c r="X584" s="15">
        <v>-75.426824999999994</v>
      </c>
      <c r="AF584" t="s">
        <v>50</v>
      </c>
      <c r="AG584" t="s">
        <v>402</v>
      </c>
      <c r="AH584" t="s">
        <v>4221</v>
      </c>
      <c r="AJ584">
        <v>624</v>
      </c>
    </row>
    <row r="585" spans="1:36">
      <c r="A585" t="s">
        <v>4131</v>
      </c>
      <c r="B585" t="s">
        <v>4132</v>
      </c>
      <c r="C585" t="s">
        <v>4222</v>
      </c>
      <c r="D585" t="s">
        <v>4223</v>
      </c>
      <c r="E585" t="s">
        <v>4224</v>
      </c>
      <c r="F585" t="s">
        <v>4225</v>
      </c>
      <c r="G585">
        <v>2200</v>
      </c>
      <c r="H585">
        <v>2700</v>
      </c>
      <c r="I585" t="s">
        <v>4226</v>
      </c>
      <c r="J585" t="s">
        <v>4227</v>
      </c>
      <c r="K585" t="s">
        <v>4228</v>
      </c>
      <c r="L585" t="s">
        <v>4229</v>
      </c>
      <c r="M585" t="s">
        <v>4230</v>
      </c>
      <c r="N585" t="s">
        <v>811</v>
      </c>
      <c r="O585" t="s">
        <v>2437</v>
      </c>
      <c r="P585" t="s">
        <v>4231</v>
      </c>
      <c r="R585" s="7">
        <v>30238</v>
      </c>
      <c r="T585" t="s">
        <v>119</v>
      </c>
      <c r="W585" s="15">
        <v>6.2833332999999998</v>
      </c>
      <c r="X585" s="15">
        <v>-75.633333300000004</v>
      </c>
      <c r="AF585" t="s">
        <v>50</v>
      </c>
      <c r="AG585" t="s">
        <v>402</v>
      </c>
      <c r="AH585" t="s">
        <v>4232</v>
      </c>
      <c r="AI585" t="s">
        <v>4233</v>
      </c>
      <c r="AJ585">
        <v>625</v>
      </c>
    </row>
    <row r="586" spans="1:36">
      <c r="A586" t="s">
        <v>4131</v>
      </c>
      <c r="B586" t="s">
        <v>4132</v>
      </c>
      <c r="C586" t="s">
        <v>4234</v>
      </c>
      <c r="D586" t="s">
        <v>4235</v>
      </c>
      <c r="E586" t="s">
        <v>4236</v>
      </c>
      <c r="F586">
        <v>2290</v>
      </c>
      <c r="G586">
        <v>2290</v>
      </c>
      <c r="H586">
        <v>2290</v>
      </c>
      <c r="I586" t="s">
        <v>541</v>
      </c>
      <c r="J586" t="s">
        <v>542</v>
      </c>
      <c r="K586" t="s">
        <v>543</v>
      </c>
      <c r="L586" t="s">
        <v>544</v>
      </c>
      <c r="M586" t="s">
        <v>545</v>
      </c>
      <c r="N586" t="s">
        <v>546</v>
      </c>
      <c r="O586" t="s">
        <v>547</v>
      </c>
      <c r="P586" t="s">
        <v>548</v>
      </c>
      <c r="R586" s="7">
        <v>30723</v>
      </c>
      <c r="W586" s="15">
        <v>6.2800111000000003</v>
      </c>
      <c r="X586" s="15">
        <v>-75.4427333</v>
      </c>
      <c r="AF586" t="s">
        <v>50</v>
      </c>
      <c r="AG586" t="s">
        <v>402</v>
      </c>
      <c r="AH586" t="s">
        <v>550</v>
      </c>
      <c r="AI586" t="s">
        <v>4237</v>
      </c>
      <c r="AJ586">
        <v>628</v>
      </c>
    </row>
    <row r="587" spans="1:36">
      <c r="A587" t="s">
        <v>4131</v>
      </c>
      <c r="B587" t="s">
        <v>4132</v>
      </c>
      <c r="C587" t="s">
        <v>4238</v>
      </c>
      <c r="D587" t="s">
        <v>4239</v>
      </c>
      <c r="E587" t="s">
        <v>4236</v>
      </c>
      <c r="F587">
        <v>2290</v>
      </c>
      <c r="G587">
        <v>2290</v>
      </c>
      <c r="H587">
        <v>2290</v>
      </c>
      <c r="I587" t="s">
        <v>541</v>
      </c>
      <c r="J587" t="s">
        <v>542</v>
      </c>
      <c r="K587" t="s">
        <v>543</v>
      </c>
      <c r="L587" t="s">
        <v>544</v>
      </c>
      <c r="M587" t="s">
        <v>545</v>
      </c>
      <c r="N587" t="s">
        <v>546</v>
      </c>
      <c r="O587" t="s">
        <v>547</v>
      </c>
      <c r="P587" t="s">
        <v>548</v>
      </c>
      <c r="R587" s="7">
        <v>30723</v>
      </c>
      <c r="W587" s="15">
        <v>6.2800111000000003</v>
      </c>
      <c r="X587" s="15">
        <v>-75.4427333</v>
      </c>
      <c r="AF587" t="s">
        <v>50</v>
      </c>
      <c r="AG587" t="s">
        <v>402</v>
      </c>
      <c r="AH587" t="s">
        <v>550</v>
      </c>
      <c r="AI587" t="s">
        <v>4237</v>
      </c>
      <c r="AJ587">
        <v>629</v>
      </c>
    </row>
    <row r="588" spans="1:36">
      <c r="A588" t="s">
        <v>4131</v>
      </c>
      <c r="B588" t="s">
        <v>4132</v>
      </c>
      <c r="C588" t="s">
        <v>4240</v>
      </c>
      <c r="D588" t="s">
        <v>4241</v>
      </c>
      <c r="E588" t="s">
        <v>4242</v>
      </c>
      <c r="F588">
        <v>2440</v>
      </c>
      <c r="G588">
        <v>2440</v>
      </c>
      <c r="H588">
        <v>2440</v>
      </c>
      <c r="I588" t="s">
        <v>555</v>
      </c>
      <c r="J588" t="s">
        <v>556</v>
      </c>
      <c r="K588" t="s">
        <v>557</v>
      </c>
      <c r="L588" t="s">
        <v>558</v>
      </c>
      <c r="M588" t="s">
        <v>559</v>
      </c>
      <c r="N588" t="s">
        <v>560</v>
      </c>
      <c r="O588" t="s">
        <v>561</v>
      </c>
      <c r="P588" t="s">
        <v>562</v>
      </c>
      <c r="R588" s="7">
        <v>30833</v>
      </c>
      <c r="T588" t="s">
        <v>111</v>
      </c>
      <c r="W588" s="15">
        <v>6.09</v>
      </c>
      <c r="X588" s="15">
        <v>-75.638000000000005</v>
      </c>
      <c r="AF588" t="s">
        <v>50</v>
      </c>
      <c r="AG588" t="s">
        <v>402</v>
      </c>
      <c r="AH588" t="s">
        <v>167</v>
      </c>
      <c r="AI588" t="s">
        <v>4243</v>
      </c>
      <c r="AJ588">
        <v>630</v>
      </c>
    </row>
    <row r="589" spans="1:36">
      <c r="A589" t="s">
        <v>4131</v>
      </c>
      <c r="B589" t="s">
        <v>4132</v>
      </c>
      <c r="C589" t="s">
        <v>4244</v>
      </c>
      <c r="D589" t="s">
        <v>4245</v>
      </c>
      <c r="E589" t="s">
        <v>4242</v>
      </c>
      <c r="F589">
        <v>2440</v>
      </c>
      <c r="G589">
        <v>2440</v>
      </c>
      <c r="H589">
        <v>2440</v>
      </c>
      <c r="I589" t="s">
        <v>555</v>
      </c>
      <c r="J589" t="s">
        <v>556</v>
      </c>
      <c r="K589" t="s">
        <v>557</v>
      </c>
      <c r="L589" t="s">
        <v>558</v>
      </c>
      <c r="M589" t="s">
        <v>559</v>
      </c>
      <c r="N589" t="s">
        <v>560</v>
      </c>
      <c r="O589" t="s">
        <v>561</v>
      </c>
      <c r="P589" t="s">
        <v>562</v>
      </c>
      <c r="R589" s="7">
        <v>30833</v>
      </c>
      <c r="W589" s="15">
        <v>6.09</v>
      </c>
      <c r="X589" s="15">
        <v>-75.638000000000005</v>
      </c>
      <c r="AF589" t="s">
        <v>50</v>
      </c>
      <c r="AG589" t="s">
        <v>402</v>
      </c>
      <c r="AH589" t="s">
        <v>167</v>
      </c>
      <c r="AI589" t="s">
        <v>4243</v>
      </c>
      <c r="AJ589">
        <v>631</v>
      </c>
    </row>
    <row r="590" spans="1:36">
      <c r="A590" t="s">
        <v>4131</v>
      </c>
      <c r="B590" t="s">
        <v>4132</v>
      </c>
      <c r="C590" t="s">
        <v>4246</v>
      </c>
      <c r="D590" t="s">
        <v>4247</v>
      </c>
      <c r="E590" t="s">
        <v>4242</v>
      </c>
      <c r="F590">
        <v>2440</v>
      </c>
      <c r="G590">
        <v>2440</v>
      </c>
      <c r="H590">
        <v>2440</v>
      </c>
      <c r="I590" t="s">
        <v>555</v>
      </c>
      <c r="J590" t="s">
        <v>556</v>
      </c>
      <c r="K590" t="s">
        <v>557</v>
      </c>
      <c r="L590" t="s">
        <v>558</v>
      </c>
      <c r="M590" t="s">
        <v>559</v>
      </c>
      <c r="N590" t="s">
        <v>560</v>
      </c>
      <c r="O590" t="s">
        <v>561</v>
      </c>
      <c r="P590" t="s">
        <v>562</v>
      </c>
      <c r="R590" s="7">
        <v>31170</v>
      </c>
      <c r="W590" s="15">
        <v>6.09</v>
      </c>
      <c r="X590" s="15">
        <v>-75.638000000000005</v>
      </c>
      <c r="AF590" t="s">
        <v>50</v>
      </c>
      <c r="AG590" t="s">
        <v>402</v>
      </c>
      <c r="AH590" t="s">
        <v>167</v>
      </c>
      <c r="AI590" t="s">
        <v>4243</v>
      </c>
      <c r="AJ590">
        <v>632</v>
      </c>
    </row>
    <row r="591" spans="1:36">
      <c r="A591" t="s">
        <v>4131</v>
      </c>
      <c r="B591" t="s">
        <v>4132</v>
      </c>
      <c r="C591" t="s">
        <v>4248</v>
      </c>
      <c r="D591" t="s">
        <v>4249</v>
      </c>
      <c r="E591" t="s">
        <v>4242</v>
      </c>
      <c r="F591">
        <v>2440</v>
      </c>
      <c r="G591">
        <v>2440</v>
      </c>
      <c r="H591">
        <v>2440</v>
      </c>
      <c r="I591" t="s">
        <v>555</v>
      </c>
      <c r="J591" t="s">
        <v>556</v>
      </c>
      <c r="K591" t="s">
        <v>557</v>
      </c>
      <c r="L591" t="s">
        <v>558</v>
      </c>
      <c r="M591" t="s">
        <v>559</v>
      </c>
      <c r="N591" t="s">
        <v>560</v>
      </c>
      <c r="O591" t="s">
        <v>561</v>
      </c>
      <c r="P591" t="s">
        <v>562</v>
      </c>
      <c r="R591" s="7">
        <v>31191</v>
      </c>
      <c r="W591" s="15">
        <v>6.09</v>
      </c>
      <c r="X591" s="15">
        <v>-75.638000000000005</v>
      </c>
      <c r="AF591" t="s">
        <v>50</v>
      </c>
      <c r="AG591" t="s">
        <v>402</v>
      </c>
      <c r="AH591" t="s">
        <v>167</v>
      </c>
      <c r="AI591" t="s">
        <v>4243</v>
      </c>
      <c r="AJ591">
        <v>633</v>
      </c>
    </row>
    <row r="592" spans="1:36">
      <c r="A592" t="s">
        <v>4131</v>
      </c>
      <c r="B592" t="s">
        <v>4132</v>
      </c>
      <c r="C592" t="s">
        <v>4250</v>
      </c>
      <c r="D592" t="s">
        <v>4251</v>
      </c>
      <c r="E592" t="s">
        <v>4242</v>
      </c>
      <c r="F592">
        <v>2440</v>
      </c>
      <c r="G592">
        <v>2440</v>
      </c>
      <c r="H592">
        <v>2440</v>
      </c>
      <c r="I592" t="s">
        <v>555</v>
      </c>
      <c r="J592" t="s">
        <v>556</v>
      </c>
      <c r="K592" t="s">
        <v>557</v>
      </c>
      <c r="L592" t="s">
        <v>558</v>
      </c>
      <c r="M592" t="s">
        <v>559</v>
      </c>
      <c r="N592" t="s">
        <v>560</v>
      </c>
      <c r="O592" t="s">
        <v>561</v>
      </c>
      <c r="P592" t="s">
        <v>562</v>
      </c>
      <c r="R592" s="7">
        <v>31327</v>
      </c>
      <c r="W592" s="15">
        <v>6.09</v>
      </c>
      <c r="X592" s="15">
        <v>-75.638000000000005</v>
      </c>
      <c r="AF592" t="s">
        <v>50</v>
      </c>
      <c r="AG592" t="s">
        <v>402</v>
      </c>
      <c r="AH592" t="s">
        <v>167</v>
      </c>
      <c r="AI592" t="s">
        <v>4243</v>
      </c>
      <c r="AJ592">
        <v>634</v>
      </c>
    </row>
    <row r="593" spans="1:36">
      <c r="A593" t="s">
        <v>4131</v>
      </c>
      <c r="B593" t="s">
        <v>4132</v>
      </c>
      <c r="C593" t="s">
        <v>4252</v>
      </c>
      <c r="D593" t="s">
        <v>4253</v>
      </c>
      <c r="E593" t="s">
        <v>4242</v>
      </c>
      <c r="F593">
        <v>2440</v>
      </c>
      <c r="G593">
        <v>2440</v>
      </c>
      <c r="H593">
        <v>2440</v>
      </c>
      <c r="I593" t="s">
        <v>555</v>
      </c>
      <c r="J593" t="s">
        <v>556</v>
      </c>
      <c r="K593" t="s">
        <v>557</v>
      </c>
      <c r="L593" t="s">
        <v>558</v>
      </c>
      <c r="M593" t="s">
        <v>559</v>
      </c>
      <c r="N593" t="s">
        <v>560</v>
      </c>
      <c r="O593" t="s">
        <v>561</v>
      </c>
      <c r="P593" t="s">
        <v>562</v>
      </c>
      <c r="R593" s="7">
        <v>31341</v>
      </c>
      <c r="W593" s="15">
        <v>6.09</v>
      </c>
      <c r="X593" s="15">
        <v>-75.638000000000005</v>
      </c>
      <c r="AF593" t="s">
        <v>50</v>
      </c>
      <c r="AG593" t="s">
        <v>402</v>
      </c>
      <c r="AH593" t="s">
        <v>167</v>
      </c>
      <c r="AI593" t="s">
        <v>4243</v>
      </c>
      <c r="AJ593">
        <v>635</v>
      </c>
    </row>
    <row r="594" spans="1:36">
      <c r="A594" t="s">
        <v>4131</v>
      </c>
      <c r="B594" t="s">
        <v>4132</v>
      </c>
      <c r="C594" t="s">
        <v>4254</v>
      </c>
      <c r="D594" t="s">
        <v>4255</v>
      </c>
      <c r="E594" t="s">
        <v>4242</v>
      </c>
      <c r="F594">
        <v>2400</v>
      </c>
      <c r="G594">
        <v>2400</v>
      </c>
      <c r="H594">
        <v>2400</v>
      </c>
      <c r="I594" t="s">
        <v>555</v>
      </c>
      <c r="J594" t="s">
        <v>556</v>
      </c>
      <c r="K594" t="s">
        <v>557</v>
      </c>
      <c r="L594" t="s">
        <v>558</v>
      </c>
      <c r="M594" t="s">
        <v>559</v>
      </c>
      <c r="N594" t="s">
        <v>560</v>
      </c>
      <c r="O594" t="s">
        <v>561</v>
      </c>
      <c r="P594" t="s">
        <v>562</v>
      </c>
      <c r="R594" s="7">
        <v>31551</v>
      </c>
      <c r="W594" s="15">
        <v>6.09</v>
      </c>
      <c r="X594" s="15">
        <v>-75.638000000000005</v>
      </c>
      <c r="AF594" t="s">
        <v>50</v>
      </c>
      <c r="AG594" t="s">
        <v>402</v>
      </c>
      <c r="AH594" t="s">
        <v>167</v>
      </c>
      <c r="AI594" t="s">
        <v>4243</v>
      </c>
      <c r="AJ594">
        <v>636</v>
      </c>
    </row>
    <row r="595" spans="1:36">
      <c r="A595" t="s">
        <v>4131</v>
      </c>
      <c r="B595" t="s">
        <v>4132</v>
      </c>
      <c r="C595" t="s">
        <v>4256</v>
      </c>
      <c r="D595" t="s">
        <v>4257</v>
      </c>
      <c r="E595" t="s">
        <v>4258</v>
      </c>
      <c r="F595">
        <v>2790</v>
      </c>
      <c r="G595">
        <v>2790</v>
      </c>
      <c r="H595">
        <v>2790</v>
      </c>
      <c r="I595" t="s">
        <v>4207</v>
      </c>
      <c r="J595" t="s">
        <v>4208</v>
      </c>
      <c r="K595" t="s">
        <v>4209</v>
      </c>
      <c r="L595" t="s">
        <v>4210</v>
      </c>
      <c r="M595" t="s">
        <v>4211</v>
      </c>
      <c r="N595" t="s">
        <v>4212</v>
      </c>
      <c r="O595" t="s">
        <v>4213</v>
      </c>
      <c r="P595" t="s">
        <v>4214</v>
      </c>
      <c r="R595" s="7">
        <v>31627</v>
      </c>
      <c r="W595" s="15">
        <v>6.9616832999999998</v>
      </c>
      <c r="X595" s="15">
        <v>-75.426824999999994</v>
      </c>
      <c r="AF595" t="s">
        <v>50</v>
      </c>
      <c r="AG595" t="s">
        <v>402</v>
      </c>
      <c r="AH595" t="s">
        <v>4215</v>
      </c>
      <c r="AI595" t="s">
        <v>4259</v>
      </c>
      <c r="AJ595">
        <v>638</v>
      </c>
    </row>
    <row r="596" spans="1:36">
      <c r="A596" t="s">
        <v>4131</v>
      </c>
      <c r="B596" t="s">
        <v>4132</v>
      </c>
      <c r="C596" t="s">
        <v>4260</v>
      </c>
      <c r="D596" t="s">
        <v>4261</v>
      </c>
      <c r="E596" t="s">
        <v>4262</v>
      </c>
      <c r="F596">
        <v>2420</v>
      </c>
      <c r="G596">
        <v>2420</v>
      </c>
      <c r="H596">
        <v>2420</v>
      </c>
      <c r="I596" t="s">
        <v>4207</v>
      </c>
      <c r="J596" t="s">
        <v>4208</v>
      </c>
      <c r="K596" t="s">
        <v>4209</v>
      </c>
      <c r="L596" t="s">
        <v>4210</v>
      </c>
      <c r="M596" t="s">
        <v>4211</v>
      </c>
      <c r="N596" t="s">
        <v>4212</v>
      </c>
      <c r="O596" t="s">
        <v>4213</v>
      </c>
      <c r="P596" t="s">
        <v>4214</v>
      </c>
      <c r="R596" s="7">
        <v>31639</v>
      </c>
      <c r="W596" s="15">
        <v>6.9616832999999998</v>
      </c>
      <c r="X596" s="15">
        <v>-75.426824999999994</v>
      </c>
      <c r="AF596" t="s">
        <v>50</v>
      </c>
      <c r="AG596" t="s">
        <v>402</v>
      </c>
      <c r="AH596" t="s">
        <v>4215</v>
      </c>
      <c r="AI596" t="s">
        <v>4263</v>
      </c>
      <c r="AJ596">
        <v>640</v>
      </c>
    </row>
    <row r="597" spans="1:36">
      <c r="A597" t="s">
        <v>4131</v>
      </c>
      <c r="B597" t="s">
        <v>4132</v>
      </c>
      <c r="C597" t="s">
        <v>4264</v>
      </c>
      <c r="D597" t="s">
        <v>4265</v>
      </c>
      <c r="E597" t="s">
        <v>4266</v>
      </c>
      <c r="F597">
        <v>2420</v>
      </c>
      <c r="G597">
        <v>2420</v>
      </c>
      <c r="H597">
        <v>2420</v>
      </c>
      <c r="I597" t="s">
        <v>4267</v>
      </c>
      <c r="J597" t="s">
        <v>4268</v>
      </c>
      <c r="K597" t="s">
        <v>3503</v>
      </c>
      <c r="L597" t="s">
        <v>3504</v>
      </c>
      <c r="M597" t="s">
        <v>4269</v>
      </c>
      <c r="N597" t="s">
        <v>4270</v>
      </c>
      <c r="O597" t="s">
        <v>3506</v>
      </c>
      <c r="P597" t="s">
        <v>4271</v>
      </c>
      <c r="R597" s="7">
        <v>31746</v>
      </c>
      <c r="T597" t="s">
        <v>119</v>
      </c>
      <c r="W597" s="15">
        <v>6.95</v>
      </c>
      <c r="X597" s="15">
        <v>-75.466666700000005</v>
      </c>
      <c r="AF597" t="s">
        <v>50</v>
      </c>
      <c r="AG597" t="s">
        <v>402</v>
      </c>
      <c r="AH597" t="s">
        <v>4215</v>
      </c>
      <c r="AI597" t="s">
        <v>4272</v>
      </c>
      <c r="AJ597">
        <v>642</v>
      </c>
    </row>
    <row r="598" spans="1:36">
      <c r="A598" t="s">
        <v>4131</v>
      </c>
      <c r="B598" t="s">
        <v>4132</v>
      </c>
      <c r="C598" t="s">
        <v>4273</v>
      </c>
      <c r="D598" t="s">
        <v>4274</v>
      </c>
      <c r="E598" t="s">
        <v>4275</v>
      </c>
      <c r="F598">
        <v>2640</v>
      </c>
      <c r="G598">
        <v>2640</v>
      </c>
      <c r="H598">
        <v>2640</v>
      </c>
      <c r="I598" t="s">
        <v>4189</v>
      </c>
      <c r="J598" t="s">
        <v>4190</v>
      </c>
      <c r="K598" t="s">
        <v>4191</v>
      </c>
      <c r="L598" t="s">
        <v>4192</v>
      </c>
      <c r="M598" t="s">
        <v>4193</v>
      </c>
      <c r="N598" t="s">
        <v>754</v>
      </c>
      <c r="O598" t="s">
        <v>4194</v>
      </c>
      <c r="P598" t="s">
        <v>4195</v>
      </c>
      <c r="R598" s="7">
        <v>31846</v>
      </c>
      <c r="W598" s="15">
        <v>6.3</v>
      </c>
      <c r="X598" s="15">
        <v>-75.683333300000001</v>
      </c>
      <c r="AF598" t="s">
        <v>50</v>
      </c>
      <c r="AG598" t="s">
        <v>402</v>
      </c>
      <c r="AH598" t="s">
        <v>855</v>
      </c>
      <c r="AI598" t="s">
        <v>4276</v>
      </c>
      <c r="AJ598">
        <v>643</v>
      </c>
    </row>
    <row r="599" spans="1:36">
      <c r="A599" t="s">
        <v>4131</v>
      </c>
      <c r="B599" t="s">
        <v>4132</v>
      </c>
      <c r="C599" t="s">
        <v>4273</v>
      </c>
      <c r="D599" t="s">
        <v>4274</v>
      </c>
      <c r="E599" t="s">
        <v>4277</v>
      </c>
      <c r="F599">
        <v>2640</v>
      </c>
      <c r="G599">
        <v>2640</v>
      </c>
      <c r="H599">
        <v>2640</v>
      </c>
      <c r="I599" t="s">
        <v>4189</v>
      </c>
      <c r="J599" t="s">
        <v>4190</v>
      </c>
      <c r="K599" t="s">
        <v>4191</v>
      </c>
      <c r="L599" t="s">
        <v>4192</v>
      </c>
      <c r="M599" t="s">
        <v>4193</v>
      </c>
      <c r="N599" t="s">
        <v>754</v>
      </c>
      <c r="O599" t="s">
        <v>4194</v>
      </c>
      <c r="P599" t="s">
        <v>4195</v>
      </c>
      <c r="R599" s="7">
        <v>31846</v>
      </c>
      <c r="W599" s="15">
        <v>6.3</v>
      </c>
      <c r="X599" s="15">
        <v>-75.683333300000001</v>
      </c>
      <c r="AF599" t="s">
        <v>50</v>
      </c>
      <c r="AG599" t="s">
        <v>402</v>
      </c>
      <c r="AH599" t="s">
        <v>855</v>
      </c>
      <c r="AI599" t="s">
        <v>4278</v>
      </c>
      <c r="AJ599">
        <v>644</v>
      </c>
    </row>
    <row r="600" spans="1:36">
      <c r="A600" t="s">
        <v>4131</v>
      </c>
      <c r="B600" t="s">
        <v>4132</v>
      </c>
      <c r="C600" t="s">
        <v>4279</v>
      </c>
      <c r="D600" t="s">
        <v>4280</v>
      </c>
      <c r="E600" t="s">
        <v>4281</v>
      </c>
      <c r="F600">
        <v>2490</v>
      </c>
      <c r="G600">
        <v>2490</v>
      </c>
      <c r="H600">
        <v>2490</v>
      </c>
      <c r="I600" t="s">
        <v>4282</v>
      </c>
      <c r="J600" t="s">
        <v>4283</v>
      </c>
      <c r="K600" t="s">
        <v>4284</v>
      </c>
      <c r="L600" t="s">
        <v>4285</v>
      </c>
      <c r="M600" t="s">
        <v>4286</v>
      </c>
      <c r="N600" t="s">
        <v>4287</v>
      </c>
      <c r="O600" t="s">
        <v>4288</v>
      </c>
      <c r="P600" t="s">
        <v>4289</v>
      </c>
      <c r="R600" s="7">
        <v>31889</v>
      </c>
      <c r="T600" t="s">
        <v>119</v>
      </c>
      <c r="W600" s="15">
        <v>5.9736111000000003</v>
      </c>
      <c r="X600" s="15">
        <v>-75.3613833</v>
      </c>
      <c r="AF600" t="s">
        <v>50</v>
      </c>
      <c r="AG600" t="s">
        <v>402</v>
      </c>
      <c r="AH600" t="s">
        <v>4290</v>
      </c>
      <c r="AI600" t="s">
        <v>4291</v>
      </c>
      <c r="AJ600">
        <v>645</v>
      </c>
    </row>
    <row r="601" spans="1:36">
      <c r="A601" t="s">
        <v>4131</v>
      </c>
      <c r="B601" t="s">
        <v>4132</v>
      </c>
      <c r="C601" t="s">
        <v>4292</v>
      </c>
      <c r="D601" t="s">
        <v>4293</v>
      </c>
      <c r="E601" t="s">
        <v>4294</v>
      </c>
      <c r="F601" t="s">
        <v>2286</v>
      </c>
      <c r="G601">
        <v>1600</v>
      </c>
      <c r="H601">
        <v>1700</v>
      </c>
      <c r="I601" t="s">
        <v>4295</v>
      </c>
      <c r="J601" t="s">
        <v>4296</v>
      </c>
      <c r="K601" t="s">
        <v>543</v>
      </c>
      <c r="L601" t="s">
        <v>544</v>
      </c>
      <c r="M601" t="s">
        <v>4297</v>
      </c>
      <c r="N601" t="s">
        <v>4298</v>
      </c>
      <c r="O601" t="s">
        <v>547</v>
      </c>
      <c r="P601" t="s">
        <v>4299</v>
      </c>
      <c r="R601" s="7">
        <v>31920</v>
      </c>
      <c r="T601" t="s">
        <v>119</v>
      </c>
      <c r="W601" s="15">
        <v>6.2801111000000001</v>
      </c>
      <c r="X601" s="15">
        <v>-75.4427333</v>
      </c>
      <c r="AF601" t="s">
        <v>50</v>
      </c>
      <c r="AG601" t="s">
        <v>402</v>
      </c>
      <c r="AH601" t="s">
        <v>4300</v>
      </c>
      <c r="AI601" t="s">
        <v>4301</v>
      </c>
      <c r="AJ601">
        <v>646</v>
      </c>
    </row>
    <row r="602" spans="1:36">
      <c r="A602" t="s">
        <v>4131</v>
      </c>
      <c r="B602" t="s">
        <v>4132</v>
      </c>
      <c r="C602" t="s">
        <v>4302</v>
      </c>
      <c r="D602" t="s">
        <v>4303</v>
      </c>
      <c r="E602" t="s">
        <v>4304</v>
      </c>
      <c r="F602" t="s">
        <v>2286</v>
      </c>
      <c r="G602">
        <v>1600</v>
      </c>
      <c r="H602">
        <v>1700</v>
      </c>
      <c r="I602" t="s">
        <v>2381</v>
      </c>
      <c r="J602" t="s">
        <v>2382</v>
      </c>
      <c r="K602" t="s">
        <v>4305</v>
      </c>
      <c r="L602" t="s">
        <v>2424</v>
      </c>
      <c r="M602" t="s">
        <v>2425</v>
      </c>
      <c r="N602" t="s">
        <v>532</v>
      </c>
      <c r="O602" t="s">
        <v>2426</v>
      </c>
      <c r="P602" t="s">
        <v>2427</v>
      </c>
      <c r="R602" s="7">
        <v>31920</v>
      </c>
      <c r="T602" t="s">
        <v>119</v>
      </c>
      <c r="W602" s="15">
        <v>6.25</v>
      </c>
      <c r="X602" s="15">
        <v>-75.583333300000007</v>
      </c>
      <c r="AF602" t="s">
        <v>50</v>
      </c>
      <c r="AG602" t="s">
        <v>402</v>
      </c>
      <c r="AH602" t="s">
        <v>4306</v>
      </c>
      <c r="AI602" t="s">
        <v>4301</v>
      </c>
      <c r="AJ602">
        <v>649</v>
      </c>
    </row>
    <row r="603" spans="1:36">
      <c r="A603" t="s">
        <v>4131</v>
      </c>
      <c r="B603" t="s">
        <v>4132</v>
      </c>
      <c r="C603" t="s">
        <v>4307</v>
      </c>
      <c r="D603" t="s">
        <v>4308</v>
      </c>
      <c r="E603" t="s">
        <v>4309</v>
      </c>
      <c r="F603">
        <v>2020</v>
      </c>
      <c r="G603">
        <v>2020</v>
      </c>
      <c r="H603">
        <v>2020</v>
      </c>
      <c r="I603" t="s">
        <v>1350</v>
      </c>
      <c r="J603" t="s">
        <v>1351</v>
      </c>
      <c r="K603" t="s">
        <v>3465</v>
      </c>
      <c r="L603" t="s">
        <v>3466</v>
      </c>
      <c r="M603" t="s">
        <v>4310</v>
      </c>
      <c r="N603" t="s">
        <v>624</v>
      </c>
      <c r="O603" t="s">
        <v>625</v>
      </c>
      <c r="P603" t="s">
        <v>626</v>
      </c>
      <c r="R603" s="7">
        <v>31935</v>
      </c>
      <c r="T603" t="s">
        <v>65</v>
      </c>
      <c r="W603" s="15">
        <v>5.5</v>
      </c>
      <c r="X603" s="15">
        <v>-75.833333300000007</v>
      </c>
      <c r="AF603" t="s">
        <v>50</v>
      </c>
      <c r="AG603" t="s">
        <v>402</v>
      </c>
      <c r="AH603" t="s">
        <v>4311</v>
      </c>
      <c r="AI603" t="s">
        <v>4312</v>
      </c>
      <c r="AJ603">
        <v>650</v>
      </c>
    </row>
    <row r="604" spans="1:36">
      <c r="A604" t="s">
        <v>4131</v>
      </c>
      <c r="B604" t="s">
        <v>4132</v>
      </c>
      <c r="C604" t="s">
        <v>4313</v>
      </c>
      <c r="D604" t="s">
        <v>4314</v>
      </c>
      <c r="E604" t="s">
        <v>4315</v>
      </c>
      <c r="F604">
        <v>2680</v>
      </c>
      <c r="G604">
        <v>2680</v>
      </c>
      <c r="H604">
        <v>2680</v>
      </c>
      <c r="I604" t="s">
        <v>4316</v>
      </c>
      <c r="J604" t="s">
        <v>2306</v>
      </c>
      <c r="K604" t="s">
        <v>4317</v>
      </c>
      <c r="L604" t="s">
        <v>2307</v>
      </c>
      <c r="M604" t="s">
        <v>2308</v>
      </c>
      <c r="N604" t="s">
        <v>2309</v>
      </c>
      <c r="O604" t="s">
        <v>2310</v>
      </c>
      <c r="P604" t="s">
        <v>2311</v>
      </c>
      <c r="R604" s="7">
        <v>31965</v>
      </c>
      <c r="T604" t="s">
        <v>119</v>
      </c>
      <c r="W604" s="15">
        <v>5.6833333000000001</v>
      </c>
      <c r="X604" s="15">
        <v>-75.233333299999998</v>
      </c>
      <c r="AF604" t="s">
        <v>50</v>
      </c>
      <c r="AG604" t="s">
        <v>402</v>
      </c>
      <c r="AH604" t="s">
        <v>3306</v>
      </c>
      <c r="AI604" t="s">
        <v>4318</v>
      </c>
      <c r="AJ604">
        <v>651</v>
      </c>
    </row>
    <row r="605" spans="1:36">
      <c r="A605" t="s">
        <v>4131</v>
      </c>
      <c r="B605" t="s">
        <v>4132</v>
      </c>
      <c r="C605" t="s">
        <v>4319</v>
      </c>
      <c r="D605" t="s">
        <v>4320</v>
      </c>
      <c r="E605" t="s">
        <v>4321</v>
      </c>
      <c r="F605">
        <v>2420</v>
      </c>
      <c r="G605">
        <v>2420</v>
      </c>
      <c r="H605">
        <v>2420</v>
      </c>
      <c r="I605" t="s">
        <v>4316</v>
      </c>
      <c r="J605" t="s">
        <v>2306</v>
      </c>
      <c r="K605" t="s">
        <v>4322</v>
      </c>
      <c r="L605" t="s">
        <v>4323</v>
      </c>
      <c r="M605" t="s">
        <v>4324</v>
      </c>
      <c r="N605" t="s">
        <v>2309</v>
      </c>
      <c r="O605" t="s">
        <v>4325</v>
      </c>
      <c r="P605" t="s">
        <v>4326</v>
      </c>
      <c r="R605" s="7">
        <v>31966</v>
      </c>
      <c r="W605" s="15">
        <v>5.6833333000000001</v>
      </c>
      <c r="X605" s="15">
        <v>-75.349999999999994</v>
      </c>
      <c r="AF605" t="s">
        <v>50</v>
      </c>
      <c r="AG605" t="s">
        <v>402</v>
      </c>
      <c r="AH605" t="s">
        <v>3306</v>
      </c>
      <c r="AI605" t="s">
        <v>4327</v>
      </c>
      <c r="AJ605">
        <v>652</v>
      </c>
    </row>
    <row r="606" spans="1:36">
      <c r="A606" t="s">
        <v>4131</v>
      </c>
      <c r="B606" t="s">
        <v>4132</v>
      </c>
      <c r="C606" t="s">
        <v>4328</v>
      </c>
      <c r="D606" t="s">
        <v>4329</v>
      </c>
      <c r="E606" t="s">
        <v>4330</v>
      </c>
      <c r="F606">
        <v>1830</v>
      </c>
      <c r="G606">
        <v>1830</v>
      </c>
      <c r="H606">
        <v>1830</v>
      </c>
      <c r="I606" t="s">
        <v>4331</v>
      </c>
      <c r="J606" t="s">
        <v>4332</v>
      </c>
      <c r="K606" t="s">
        <v>4333</v>
      </c>
      <c r="L606" t="s">
        <v>4334</v>
      </c>
      <c r="M606" t="s">
        <v>4335</v>
      </c>
      <c r="N606" t="s">
        <v>4336</v>
      </c>
      <c r="O606" t="s">
        <v>4337</v>
      </c>
      <c r="P606" t="s">
        <v>4338</v>
      </c>
      <c r="R606" s="7">
        <v>32042</v>
      </c>
      <c r="T606" t="s">
        <v>119</v>
      </c>
      <c r="W606" s="15">
        <v>6.75</v>
      </c>
      <c r="X606" s="15">
        <v>-76.383333300000004</v>
      </c>
      <c r="AF606" t="s">
        <v>50</v>
      </c>
      <c r="AG606" t="s">
        <v>402</v>
      </c>
      <c r="AH606" t="s">
        <v>1356</v>
      </c>
      <c r="AI606" t="s">
        <v>4339</v>
      </c>
      <c r="AJ606">
        <v>653</v>
      </c>
    </row>
    <row r="607" spans="1:36">
      <c r="A607" t="s">
        <v>4131</v>
      </c>
      <c r="B607" t="s">
        <v>4132</v>
      </c>
      <c r="C607" t="s">
        <v>4340</v>
      </c>
      <c r="D607" t="s">
        <v>4341</v>
      </c>
      <c r="E607" t="s">
        <v>4342</v>
      </c>
      <c r="F607" t="s">
        <v>4343</v>
      </c>
      <c r="G607">
        <v>2100</v>
      </c>
      <c r="H607">
        <v>2300</v>
      </c>
      <c r="I607" t="s">
        <v>4344</v>
      </c>
      <c r="J607" t="s">
        <v>4345</v>
      </c>
      <c r="K607" t="s">
        <v>4346</v>
      </c>
      <c r="L607" t="s">
        <v>4347</v>
      </c>
      <c r="M607" t="s">
        <v>4348</v>
      </c>
      <c r="N607" t="s">
        <v>4349</v>
      </c>
      <c r="O607" t="s">
        <v>4350</v>
      </c>
      <c r="P607" t="s">
        <v>4351</v>
      </c>
      <c r="R607" s="7">
        <v>32091</v>
      </c>
      <c r="W607" s="15">
        <v>7.1136111</v>
      </c>
      <c r="X607" s="15">
        <v>-75.55</v>
      </c>
      <c r="AF607" t="s">
        <v>50</v>
      </c>
      <c r="AG607" t="s">
        <v>402</v>
      </c>
      <c r="AH607" t="s">
        <v>4352</v>
      </c>
      <c r="AI607" t="s">
        <v>4353</v>
      </c>
      <c r="AJ607">
        <v>654</v>
      </c>
    </row>
    <row r="608" spans="1:36">
      <c r="A608" t="s">
        <v>4131</v>
      </c>
      <c r="B608" t="s">
        <v>4132</v>
      </c>
      <c r="C608" t="s">
        <v>4354</v>
      </c>
      <c r="D608" t="s">
        <v>4355</v>
      </c>
      <c r="E608" t="s">
        <v>4356</v>
      </c>
      <c r="F608" t="s">
        <v>2432</v>
      </c>
      <c r="G608">
        <v>1800</v>
      </c>
      <c r="H608">
        <v>2000</v>
      </c>
      <c r="I608" t="s">
        <v>4357</v>
      </c>
      <c r="J608" t="s">
        <v>4358</v>
      </c>
      <c r="K608" t="s">
        <v>799</v>
      </c>
      <c r="L608" t="s">
        <v>419</v>
      </c>
      <c r="M608" t="s">
        <v>4359</v>
      </c>
      <c r="N608" t="s">
        <v>725</v>
      </c>
      <c r="O608" t="s">
        <v>422</v>
      </c>
      <c r="P608" t="s">
        <v>4360</v>
      </c>
      <c r="R608" s="7">
        <v>32222</v>
      </c>
      <c r="T608" t="s">
        <v>119</v>
      </c>
      <c r="W608" s="15">
        <v>7.1163999999999996</v>
      </c>
      <c r="X608" s="15">
        <v>-75.416910000000001</v>
      </c>
      <c r="Y608">
        <v>2429.7139999999999</v>
      </c>
      <c r="Z608">
        <v>1676</v>
      </c>
      <c r="AB608" t="s">
        <v>4361</v>
      </c>
      <c r="AF608" t="s">
        <v>50</v>
      </c>
      <c r="AG608" t="s">
        <v>402</v>
      </c>
      <c r="AH608" t="s">
        <v>4362</v>
      </c>
      <c r="AI608" t="s">
        <v>4363</v>
      </c>
      <c r="AJ608">
        <v>655</v>
      </c>
    </row>
    <row r="609" spans="1:36">
      <c r="A609" t="s">
        <v>4131</v>
      </c>
      <c r="B609" t="s">
        <v>4132</v>
      </c>
      <c r="C609" t="s">
        <v>4364</v>
      </c>
      <c r="D609" t="s">
        <v>4365</v>
      </c>
      <c r="E609" t="s">
        <v>4366</v>
      </c>
      <c r="F609" t="s">
        <v>4367</v>
      </c>
      <c r="G609">
        <v>1710</v>
      </c>
      <c r="H609">
        <v>1900</v>
      </c>
      <c r="I609" t="s">
        <v>4368</v>
      </c>
      <c r="J609" t="s">
        <v>4369</v>
      </c>
      <c r="K609" t="s">
        <v>4370</v>
      </c>
      <c r="L609" t="s">
        <v>4371</v>
      </c>
      <c r="M609" t="s">
        <v>4372</v>
      </c>
      <c r="N609" t="s">
        <v>4373</v>
      </c>
      <c r="O609" t="s">
        <v>4374</v>
      </c>
      <c r="P609" t="s">
        <v>4375</v>
      </c>
      <c r="R609" s="7">
        <v>32225</v>
      </c>
      <c r="T609" t="s">
        <v>65</v>
      </c>
      <c r="W609" s="15">
        <v>7.0333332999999998</v>
      </c>
      <c r="X609" s="15">
        <v>-75.400000000000006</v>
      </c>
      <c r="AF609" t="s">
        <v>50</v>
      </c>
      <c r="AG609" t="s">
        <v>402</v>
      </c>
      <c r="AH609" t="s">
        <v>4215</v>
      </c>
      <c r="AI609" t="s">
        <v>4376</v>
      </c>
      <c r="AJ609">
        <v>656</v>
      </c>
    </row>
    <row r="610" spans="1:36">
      <c r="A610" t="s">
        <v>4131</v>
      </c>
      <c r="B610" t="s">
        <v>4132</v>
      </c>
      <c r="C610" t="s">
        <v>4377</v>
      </c>
      <c r="D610" t="s">
        <v>4378</v>
      </c>
      <c r="E610" t="s">
        <v>4379</v>
      </c>
      <c r="F610">
        <v>2800</v>
      </c>
      <c r="G610">
        <v>2800</v>
      </c>
      <c r="H610">
        <v>2800</v>
      </c>
      <c r="I610" t="s">
        <v>4380</v>
      </c>
      <c r="J610" t="s">
        <v>4381</v>
      </c>
      <c r="K610" t="s">
        <v>4382</v>
      </c>
      <c r="L610" t="s">
        <v>4383</v>
      </c>
      <c r="M610" t="s">
        <v>4384</v>
      </c>
      <c r="N610" t="s">
        <v>4385</v>
      </c>
      <c r="O610" t="s">
        <v>4386</v>
      </c>
      <c r="P610" t="s">
        <v>4387</v>
      </c>
      <c r="R610" s="7">
        <v>32241</v>
      </c>
      <c r="T610" t="s">
        <v>119</v>
      </c>
      <c r="W610" s="15">
        <v>5.7097221999999999</v>
      </c>
      <c r="X610" s="15">
        <v>-75.310833299999999</v>
      </c>
      <c r="AF610" t="s">
        <v>50</v>
      </c>
      <c r="AG610" t="s">
        <v>402</v>
      </c>
      <c r="AH610" t="s">
        <v>3306</v>
      </c>
      <c r="AI610" t="s">
        <v>4388</v>
      </c>
      <c r="AJ610">
        <v>657</v>
      </c>
    </row>
    <row r="611" spans="1:36">
      <c r="A611" t="s">
        <v>4131</v>
      </c>
      <c r="B611" t="s">
        <v>4132</v>
      </c>
      <c r="C611" t="s">
        <v>4389</v>
      </c>
      <c r="D611" t="s">
        <v>4390</v>
      </c>
      <c r="E611" t="s">
        <v>4391</v>
      </c>
      <c r="F611">
        <v>2640</v>
      </c>
      <c r="G611">
        <v>2640</v>
      </c>
      <c r="H611">
        <v>2640</v>
      </c>
      <c r="I611" t="s">
        <v>4189</v>
      </c>
      <c r="J611" t="s">
        <v>4190</v>
      </c>
      <c r="K611" t="s">
        <v>4191</v>
      </c>
      <c r="L611" t="s">
        <v>4192</v>
      </c>
      <c r="M611" t="s">
        <v>4193</v>
      </c>
      <c r="N611" t="s">
        <v>754</v>
      </c>
      <c r="O611" t="s">
        <v>4194</v>
      </c>
      <c r="P611" t="s">
        <v>4195</v>
      </c>
      <c r="R611" s="7">
        <v>32285</v>
      </c>
      <c r="T611" t="s">
        <v>119</v>
      </c>
      <c r="W611" s="15">
        <v>6.3</v>
      </c>
      <c r="X611" s="15">
        <v>-75.683333300000001</v>
      </c>
      <c r="AF611" t="s">
        <v>50</v>
      </c>
      <c r="AG611" t="s">
        <v>402</v>
      </c>
      <c r="AH611" t="s">
        <v>855</v>
      </c>
      <c r="AI611" t="s">
        <v>4392</v>
      </c>
      <c r="AJ611">
        <v>658</v>
      </c>
    </row>
    <row r="612" spans="1:36">
      <c r="A612" t="s">
        <v>4131</v>
      </c>
      <c r="B612" t="s">
        <v>4132</v>
      </c>
      <c r="C612" t="s">
        <v>4393</v>
      </c>
      <c r="D612" t="s">
        <v>4394</v>
      </c>
      <c r="E612" t="s">
        <v>4395</v>
      </c>
      <c r="F612">
        <v>2560</v>
      </c>
      <c r="G612">
        <v>2560</v>
      </c>
      <c r="H612">
        <v>2560</v>
      </c>
      <c r="I612" t="s">
        <v>4396</v>
      </c>
      <c r="J612" t="s">
        <v>4397</v>
      </c>
      <c r="K612" t="s">
        <v>4191</v>
      </c>
      <c r="L612" t="s">
        <v>4192</v>
      </c>
      <c r="M612" t="s">
        <v>4398</v>
      </c>
      <c r="N612" t="s">
        <v>754</v>
      </c>
      <c r="O612" t="s">
        <v>4194</v>
      </c>
      <c r="P612" t="s">
        <v>4195</v>
      </c>
      <c r="R612" s="7">
        <v>32285</v>
      </c>
      <c r="W612" s="15">
        <v>6.3</v>
      </c>
      <c r="X612" s="15">
        <v>-75.683333300000001</v>
      </c>
      <c r="AF612" t="s">
        <v>50</v>
      </c>
      <c r="AG612" t="s">
        <v>402</v>
      </c>
      <c r="AH612" t="s">
        <v>855</v>
      </c>
      <c r="AI612" t="s">
        <v>4399</v>
      </c>
      <c r="AJ612">
        <v>659</v>
      </c>
    </row>
    <row r="613" spans="1:36">
      <c r="A613" t="s">
        <v>4131</v>
      </c>
      <c r="B613" t="s">
        <v>4132</v>
      </c>
      <c r="C613" t="s">
        <v>4389</v>
      </c>
      <c r="D613" t="s">
        <v>4400</v>
      </c>
      <c r="E613" t="s">
        <v>4401</v>
      </c>
      <c r="F613">
        <v>2640</v>
      </c>
      <c r="G613">
        <v>2640</v>
      </c>
      <c r="H613">
        <v>2640</v>
      </c>
      <c r="I613" t="s">
        <v>4189</v>
      </c>
      <c r="J613" t="s">
        <v>4190</v>
      </c>
      <c r="K613" t="s">
        <v>4191</v>
      </c>
      <c r="L613" t="s">
        <v>4192</v>
      </c>
      <c r="M613" t="s">
        <v>4193</v>
      </c>
      <c r="N613" t="s">
        <v>754</v>
      </c>
      <c r="O613" t="s">
        <v>4194</v>
      </c>
      <c r="P613" t="s">
        <v>4195</v>
      </c>
      <c r="R613" s="7">
        <v>32285</v>
      </c>
      <c r="T613" t="s">
        <v>119</v>
      </c>
      <c r="W613" s="15">
        <v>6.3</v>
      </c>
      <c r="X613" s="15">
        <v>-75.683333300000001</v>
      </c>
      <c r="AF613" t="s">
        <v>50</v>
      </c>
      <c r="AG613" t="s">
        <v>402</v>
      </c>
      <c r="AH613" t="s">
        <v>855</v>
      </c>
      <c r="AI613" t="s">
        <v>4402</v>
      </c>
      <c r="AJ613">
        <v>660</v>
      </c>
    </row>
    <row r="614" spans="1:36">
      <c r="A614" t="s">
        <v>4131</v>
      </c>
      <c r="B614" t="s">
        <v>4132</v>
      </c>
      <c r="C614" t="s">
        <v>4403</v>
      </c>
      <c r="D614" t="s">
        <v>4404</v>
      </c>
      <c r="E614" t="s">
        <v>4405</v>
      </c>
      <c r="F614">
        <v>2050</v>
      </c>
      <c r="G614">
        <v>2050</v>
      </c>
      <c r="H614">
        <v>2050</v>
      </c>
      <c r="I614" t="s">
        <v>4406</v>
      </c>
      <c r="J614" t="s">
        <v>4407</v>
      </c>
      <c r="K614" t="s">
        <v>3465</v>
      </c>
      <c r="L614" t="s">
        <v>3466</v>
      </c>
      <c r="M614" t="s">
        <v>4408</v>
      </c>
      <c r="N614" t="s">
        <v>2333</v>
      </c>
      <c r="O614" t="s">
        <v>625</v>
      </c>
      <c r="P614" t="s">
        <v>2334</v>
      </c>
      <c r="R614" s="7">
        <v>32446</v>
      </c>
      <c r="T614" t="s">
        <v>119</v>
      </c>
      <c r="W614" s="15">
        <v>5.6166666999999997</v>
      </c>
      <c r="X614" s="15">
        <v>-75.833333300000007</v>
      </c>
      <c r="AF614" t="s">
        <v>50</v>
      </c>
      <c r="AG614" t="s">
        <v>402</v>
      </c>
      <c r="AH614" t="s">
        <v>627</v>
      </c>
      <c r="AI614" t="s">
        <v>4409</v>
      </c>
      <c r="AJ614">
        <v>661</v>
      </c>
    </row>
    <row r="615" spans="1:36">
      <c r="A615" t="s">
        <v>4131</v>
      </c>
      <c r="B615" t="s">
        <v>4132</v>
      </c>
      <c r="C615" t="s">
        <v>4410</v>
      </c>
      <c r="D615" t="s">
        <v>4411</v>
      </c>
      <c r="E615" t="s">
        <v>4412</v>
      </c>
      <c r="F615" t="s">
        <v>4413</v>
      </c>
      <c r="G615">
        <v>2050</v>
      </c>
      <c r="H615">
        <v>2170</v>
      </c>
      <c r="I615" t="s">
        <v>4414</v>
      </c>
      <c r="J615" t="s">
        <v>4415</v>
      </c>
      <c r="K615" t="s">
        <v>4416</v>
      </c>
      <c r="L615" t="s">
        <v>4417</v>
      </c>
      <c r="M615" t="s">
        <v>4418</v>
      </c>
      <c r="N615" t="s">
        <v>4419</v>
      </c>
      <c r="O615" t="s">
        <v>4420</v>
      </c>
      <c r="P615" t="s">
        <v>4421</v>
      </c>
      <c r="R615" s="7">
        <v>32446</v>
      </c>
      <c r="W615" s="15">
        <v>6.78125</v>
      </c>
      <c r="X615" s="15">
        <v>-76.125061099999996</v>
      </c>
      <c r="AF615" t="s">
        <v>50</v>
      </c>
      <c r="AG615" t="s">
        <v>402</v>
      </c>
      <c r="AH615" t="s">
        <v>1685</v>
      </c>
      <c r="AI615" t="s">
        <v>4422</v>
      </c>
      <c r="AJ615">
        <v>662</v>
      </c>
    </row>
    <row r="616" spans="1:36">
      <c r="A616" t="s">
        <v>4131</v>
      </c>
      <c r="B616" t="s">
        <v>4132</v>
      </c>
      <c r="C616" t="s">
        <v>4423</v>
      </c>
      <c r="D616" t="s">
        <v>4424</v>
      </c>
      <c r="E616" t="s">
        <v>4425</v>
      </c>
      <c r="F616" t="s">
        <v>962</v>
      </c>
      <c r="G616">
        <v>2300</v>
      </c>
      <c r="H616">
        <v>2400</v>
      </c>
      <c r="I616" t="s">
        <v>4426</v>
      </c>
      <c r="J616" t="s">
        <v>4427</v>
      </c>
      <c r="K616" t="s">
        <v>4428</v>
      </c>
      <c r="L616" t="s">
        <v>4429</v>
      </c>
      <c r="M616" t="s">
        <v>4430</v>
      </c>
      <c r="N616" t="s">
        <v>4431</v>
      </c>
      <c r="O616" t="s">
        <v>4432</v>
      </c>
      <c r="P616" t="s">
        <v>4433</v>
      </c>
      <c r="R616" s="7">
        <v>32537</v>
      </c>
      <c r="W616" s="15">
        <v>5.5</v>
      </c>
      <c r="X616" s="15">
        <v>-75.833333300000007</v>
      </c>
      <c r="AF616" t="s">
        <v>50</v>
      </c>
      <c r="AG616" t="s">
        <v>402</v>
      </c>
      <c r="AH616" t="s">
        <v>4311</v>
      </c>
      <c r="AI616" t="s">
        <v>4434</v>
      </c>
      <c r="AJ616">
        <v>663</v>
      </c>
    </row>
    <row r="617" spans="1:36">
      <c r="A617" t="s">
        <v>4131</v>
      </c>
      <c r="B617" t="s">
        <v>4132</v>
      </c>
      <c r="C617" t="s">
        <v>4435</v>
      </c>
      <c r="D617" t="s">
        <v>4436</v>
      </c>
      <c r="E617" t="s">
        <v>4437</v>
      </c>
      <c r="F617" t="s">
        <v>4438</v>
      </c>
      <c r="G617">
        <v>1830</v>
      </c>
      <c r="H617">
        <v>1900</v>
      </c>
      <c r="I617" t="s">
        <v>4439</v>
      </c>
      <c r="J617" t="s">
        <v>4440</v>
      </c>
      <c r="K617" t="s">
        <v>4305</v>
      </c>
      <c r="L617" t="s">
        <v>2424</v>
      </c>
      <c r="M617" t="s">
        <v>4441</v>
      </c>
      <c r="N617" t="s">
        <v>4442</v>
      </c>
      <c r="O617" t="s">
        <v>2426</v>
      </c>
      <c r="P617" t="s">
        <v>4443</v>
      </c>
      <c r="R617" s="7">
        <v>32663</v>
      </c>
      <c r="W617" s="15">
        <v>7.0166667</v>
      </c>
      <c r="X617" s="15">
        <v>-75.583333300000007</v>
      </c>
      <c r="AF617" t="s">
        <v>50</v>
      </c>
      <c r="AG617" t="s">
        <v>402</v>
      </c>
      <c r="AH617" t="s">
        <v>4215</v>
      </c>
      <c r="AI617" t="s">
        <v>4444</v>
      </c>
      <c r="AJ617">
        <v>664</v>
      </c>
    </row>
    <row r="618" spans="1:36">
      <c r="A618" t="s">
        <v>4131</v>
      </c>
      <c r="B618" t="s">
        <v>4132</v>
      </c>
      <c r="C618" t="s">
        <v>4435</v>
      </c>
      <c r="D618" t="s">
        <v>4445</v>
      </c>
      <c r="E618" t="s">
        <v>4437</v>
      </c>
      <c r="F618" t="s">
        <v>4438</v>
      </c>
      <c r="G618">
        <v>1830</v>
      </c>
      <c r="H618">
        <v>1900</v>
      </c>
      <c r="I618" t="s">
        <v>4439</v>
      </c>
      <c r="J618" t="s">
        <v>4440</v>
      </c>
      <c r="K618" t="s">
        <v>4305</v>
      </c>
      <c r="L618" t="s">
        <v>2424</v>
      </c>
      <c r="M618" t="s">
        <v>4441</v>
      </c>
      <c r="N618" t="s">
        <v>4442</v>
      </c>
      <c r="O618" t="s">
        <v>2426</v>
      </c>
      <c r="P618" t="s">
        <v>4443</v>
      </c>
      <c r="R618" s="7">
        <v>32663</v>
      </c>
      <c r="W618" s="15">
        <v>7.0166667</v>
      </c>
      <c r="X618" s="15">
        <v>-75.583333300000007</v>
      </c>
      <c r="AF618" t="s">
        <v>50</v>
      </c>
      <c r="AG618" t="s">
        <v>402</v>
      </c>
      <c r="AH618" t="s">
        <v>4215</v>
      </c>
      <c r="AI618" t="s">
        <v>4444</v>
      </c>
      <c r="AJ618">
        <v>665</v>
      </c>
    </row>
    <row r="619" spans="1:36">
      <c r="A619" t="s">
        <v>4131</v>
      </c>
      <c r="B619" t="s">
        <v>4132</v>
      </c>
      <c r="C619" t="s">
        <v>4446</v>
      </c>
      <c r="D619" t="s">
        <v>4447</v>
      </c>
      <c r="E619" t="s">
        <v>4448</v>
      </c>
      <c r="F619">
        <v>2600</v>
      </c>
      <c r="G619">
        <v>2600</v>
      </c>
      <c r="H619">
        <v>2600</v>
      </c>
      <c r="I619" t="s">
        <v>4136</v>
      </c>
      <c r="J619" t="s">
        <v>4137</v>
      </c>
      <c r="K619" t="s">
        <v>4138</v>
      </c>
      <c r="L619" t="s">
        <v>530</v>
      </c>
      <c r="M619" t="s">
        <v>4139</v>
      </c>
      <c r="N619" t="s">
        <v>4140</v>
      </c>
      <c r="O619" t="s">
        <v>533</v>
      </c>
      <c r="P619" t="s">
        <v>4141</v>
      </c>
      <c r="R619" s="7">
        <v>33352</v>
      </c>
      <c r="T619" t="s">
        <v>119</v>
      </c>
      <c r="W619" s="15">
        <v>6.6288</v>
      </c>
      <c r="X619" s="15">
        <v>-75.688969999999998</v>
      </c>
      <c r="Y619">
        <v>1354.675</v>
      </c>
      <c r="Z619">
        <v>2639</v>
      </c>
      <c r="AB619" t="s">
        <v>4142</v>
      </c>
      <c r="AF619" t="s">
        <v>50</v>
      </c>
      <c r="AG619" t="s">
        <v>402</v>
      </c>
      <c r="AH619" t="s">
        <v>1710</v>
      </c>
      <c r="AI619" t="s">
        <v>4449</v>
      </c>
      <c r="AJ619">
        <v>666</v>
      </c>
    </row>
    <row r="620" spans="1:36">
      <c r="A620" t="s">
        <v>4131</v>
      </c>
      <c r="B620" t="s">
        <v>4132</v>
      </c>
      <c r="C620" t="s">
        <v>4450</v>
      </c>
      <c r="D620" t="s">
        <v>4451</v>
      </c>
      <c r="E620" t="s">
        <v>4452</v>
      </c>
      <c r="F620">
        <v>2500</v>
      </c>
      <c r="G620">
        <v>2500</v>
      </c>
      <c r="H620">
        <v>2500</v>
      </c>
      <c r="I620" t="s">
        <v>3514</v>
      </c>
      <c r="J620" t="s">
        <v>3515</v>
      </c>
      <c r="K620" t="s">
        <v>3516</v>
      </c>
      <c r="L620" t="s">
        <v>3517</v>
      </c>
      <c r="M620" t="s">
        <v>3518</v>
      </c>
      <c r="N620" t="s">
        <v>3519</v>
      </c>
      <c r="O620" t="s">
        <v>3520</v>
      </c>
      <c r="P620" t="s">
        <v>3521</v>
      </c>
      <c r="R620" s="7">
        <v>33507</v>
      </c>
      <c r="W620" s="15">
        <v>6.2359249999999999</v>
      </c>
      <c r="X620" s="15">
        <v>-75.575136099999995</v>
      </c>
      <c r="AF620" t="s">
        <v>50</v>
      </c>
      <c r="AG620" t="s">
        <v>402</v>
      </c>
      <c r="AH620" t="s">
        <v>855</v>
      </c>
      <c r="AI620" t="s">
        <v>4453</v>
      </c>
      <c r="AJ620">
        <v>667</v>
      </c>
    </row>
    <row r="621" spans="1:36">
      <c r="A621" t="s">
        <v>4131</v>
      </c>
      <c r="B621" t="s">
        <v>4132</v>
      </c>
      <c r="C621" t="s">
        <v>4454</v>
      </c>
      <c r="D621" t="s">
        <v>4455</v>
      </c>
      <c r="E621" t="s">
        <v>4456</v>
      </c>
      <c r="F621">
        <v>2650</v>
      </c>
      <c r="G621">
        <v>2650</v>
      </c>
      <c r="H621">
        <v>2650</v>
      </c>
      <c r="I621" t="s">
        <v>2381</v>
      </c>
      <c r="J621" t="s">
        <v>2382</v>
      </c>
      <c r="K621" t="s">
        <v>4305</v>
      </c>
      <c r="L621" t="s">
        <v>2424</v>
      </c>
      <c r="M621" t="s">
        <v>2425</v>
      </c>
      <c r="N621" t="s">
        <v>532</v>
      </c>
      <c r="O621" t="s">
        <v>2426</v>
      </c>
      <c r="P621" t="s">
        <v>2427</v>
      </c>
      <c r="R621" s="7">
        <v>33726</v>
      </c>
      <c r="T621" t="s">
        <v>119</v>
      </c>
      <c r="W621" s="15">
        <v>6.25</v>
      </c>
      <c r="X621" s="15">
        <v>-75.583333300000007</v>
      </c>
      <c r="AF621" t="s">
        <v>50</v>
      </c>
      <c r="AG621" t="s">
        <v>402</v>
      </c>
      <c r="AH621" t="s">
        <v>855</v>
      </c>
      <c r="AI621" t="s">
        <v>4457</v>
      </c>
      <c r="AJ621">
        <v>668</v>
      </c>
    </row>
    <row r="622" spans="1:36">
      <c r="A622" t="s">
        <v>4131</v>
      </c>
      <c r="B622" t="s">
        <v>4132</v>
      </c>
      <c r="C622" t="s">
        <v>4458</v>
      </c>
      <c r="D622" t="s">
        <v>4459</v>
      </c>
      <c r="E622" t="s">
        <v>4460</v>
      </c>
      <c r="F622">
        <v>2500</v>
      </c>
      <c r="G622">
        <v>2500</v>
      </c>
      <c r="H622">
        <v>2500</v>
      </c>
      <c r="I622" t="s">
        <v>4461</v>
      </c>
      <c r="J622" t="s">
        <v>4462</v>
      </c>
      <c r="K622" t="s">
        <v>4463</v>
      </c>
      <c r="L622" t="s">
        <v>4464</v>
      </c>
      <c r="M622" t="s">
        <v>4465</v>
      </c>
      <c r="N622" t="s">
        <v>4466</v>
      </c>
      <c r="O622" t="s">
        <v>4467</v>
      </c>
      <c r="P622" t="s">
        <v>4468</v>
      </c>
      <c r="R622" s="7">
        <v>33832</v>
      </c>
      <c r="T622" t="s">
        <v>119</v>
      </c>
      <c r="W622" s="15">
        <v>5.65</v>
      </c>
      <c r="X622" s="15">
        <v>-75.3</v>
      </c>
      <c r="AF622" t="s">
        <v>50</v>
      </c>
      <c r="AG622" t="s">
        <v>402</v>
      </c>
      <c r="AH622" t="s">
        <v>3306</v>
      </c>
      <c r="AI622" t="s">
        <v>4469</v>
      </c>
      <c r="AJ622">
        <v>669</v>
      </c>
    </row>
    <row r="623" spans="1:36">
      <c r="A623" t="s">
        <v>4131</v>
      </c>
      <c r="B623" t="s">
        <v>4132</v>
      </c>
      <c r="C623" t="s">
        <v>4470</v>
      </c>
      <c r="D623" t="s">
        <v>4471</v>
      </c>
      <c r="E623" t="s">
        <v>4460</v>
      </c>
      <c r="F623">
        <v>2500</v>
      </c>
      <c r="G623">
        <v>2500</v>
      </c>
      <c r="H623">
        <v>2500</v>
      </c>
      <c r="I623" t="s">
        <v>4461</v>
      </c>
      <c r="J623" t="s">
        <v>4462</v>
      </c>
      <c r="K623" t="s">
        <v>4463</v>
      </c>
      <c r="L623" t="s">
        <v>4464</v>
      </c>
      <c r="M623" t="s">
        <v>4465</v>
      </c>
      <c r="N623" t="s">
        <v>4466</v>
      </c>
      <c r="O623" t="s">
        <v>4467</v>
      </c>
      <c r="P623" t="s">
        <v>4468</v>
      </c>
      <c r="R623" s="7">
        <v>33832</v>
      </c>
      <c r="T623" t="s">
        <v>119</v>
      </c>
      <c r="W623" s="15">
        <v>5.65</v>
      </c>
      <c r="X623" s="15">
        <v>-75.3</v>
      </c>
      <c r="AF623" t="s">
        <v>50</v>
      </c>
      <c r="AG623" t="s">
        <v>402</v>
      </c>
      <c r="AH623" t="s">
        <v>3306</v>
      </c>
      <c r="AI623" t="s">
        <v>4469</v>
      </c>
      <c r="AJ623">
        <v>670</v>
      </c>
    </row>
    <row r="624" spans="1:36">
      <c r="A624" t="s">
        <v>4131</v>
      </c>
      <c r="B624" t="s">
        <v>4132</v>
      </c>
      <c r="C624" t="s">
        <v>4472</v>
      </c>
      <c r="D624" t="s">
        <v>4473</v>
      </c>
      <c r="E624" t="s">
        <v>4474</v>
      </c>
      <c r="F624" t="s">
        <v>4475</v>
      </c>
      <c r="G624">
        <v>2420</v>
      </c>
      <c r="H624">
        <v>2510</v>
      </c>
      <c r="I624" t="s">
        <v>4476</v>
      </c>
      <c r="J624" t="s">
        <v>4477</v>
      </c>
      <c r="K624" t="s">
        <v>3905</v>
      </c>
      <c r="L624" t="s">
        <v>3906</v>
      </c>
      <c r="M624" t="s">
        <v>4478</v>
      </c>
      <c r="N624" t="s">
        <v>4479</v>
      </c>
      <c r="O624" t="s">
        <v>3909</v>
      </c>
      <c r="P624" t="s">
        <v>4480</v>
      </c>
      <c r="R624" s="7">
        <v>33836</v>
      </c>
      <c r="T624" t="s">
        <v>119</v>
      </c>
      <c r="W624" s="15">
        <v>5.7839</v>
      </c>
      <c r="X624" s="15">
        <v>-75.279970000000006</v>
      </c>
      <c r="Y624">
        <v>2356.1390000000001</v>
      </c>
      <c r="Z624">
        <v>2661</v>
      </c>
      <c r="AB624" t="s">
        <v>4481</v>
      </c>
      <c r="AF624" t="s">
        <v>50</v>
      </c>
      <c r="AG624" t="s">
        <v>402</v>
      </c>
      <c r="AH624" t="s">
        <v>2312</v>
      </c>
      <c r="AI624" t="s">
        <v>4482</v>
      </c>
      <c r="AJ624">
        <v>671</v>
      </c>
    </row>
    <row r="625" spans="1:36">
      <c r="A625" t="s">
        <v>4131</v>
      </c>
      <c r="B625" t="s">
        <v>4132</v>
      </c>
      <c r="C625" t="s">
        <v>4483</v>
      </c>
      <c r="D625" t="s">
        <v>4484</v>
      </c>
      <c r="E625" t="s">
        <v>4485</v>
      </c>
      <c r="F625">
        <v>2350</v>
      </c>
      <c r="G625">
        <v>2350</v>
      </c>
      <c r="H625">
        <v>2350</v>
      </c>
      <c r="I625" t="s">
        <v>4189</v>
      </c>
      <c r="J625" t="s">
        <v>4190</v>
      </c>
      <c r="K625" t="s">
        <v>2089</v>
      </c>
      <c r="L625" t="s">
        <v>2090</v>
      </c>
      <c r="M625" t="s">
        <v>4486</v>
      </c>
      <c r="N625" t="s">
        <v>754</v>
      </c>
      <c r="O625" t="s">
        <v>755</v>
      </c>
      <c r="P625" t="s">
        <v>756</v>
      </c>
      <c r="R625" s="7">
        <v>34657</v>
      </c>
      <c r="T625" t="s">
        <v>119</v>
      </c>
      <c r="W625" s="15">
        <v>6.3</v>
      </c>
      <c r="X625" s="15">
        <v>-75.483333299999998</v>
      </c>
      <c r="AF625" t="s">
        <v>50</v>
      </c>
      <c r="AG625" t="s">
        <v>402</v>
      </c>
      <c r="AH625" t="s">
        <v>4487</v>
      </c>
      <c r="AI625" t="s">
        <v>4488</v>
      </c>
      <c r="AJ625">
        <v>672</v>
      </c>
    </row>
    <row r="626" spans="1:36">
      <c r="A626" t="s">
        <v>4131</v>
      </c>
      <c r="B626" t="s">
        <v>4132</v>
      </c>
      <c r="C626" t="s">
        <v>4489</v>
      </c>
      <c r="D626" t="s">
        <v>4490</v>
      </c>
      <c r="E626" t="s">
        <v>4491</v>
      </c>
      <c r="F626">
        <v>2300</v>
      </c>
      <c r="G626">
        <v>2300</v>
      </c>
      <c r="H626">
        <v>2300</v>
      </c>
      <c r="I626" t="s">
        <v>4492</v>
      </c>
      <c r="J626" t="s">
        <v>4493</v>
      </c>
      <c r="K626" t="s">
        <v>4494</v>
      </c>
      <c r="L626" t="s">
        <v>4495</v>
      </c>
      <c r="M626" t="s">
        <v>4496</v>
      </c>
      <c r="N626" t="s">
        <v>4497</v>
      </c>
      <c r="O626" t="s">
        <v>4498</v>
      </c>
      <c r="P626" t="s">
        <v>4499</v>
      </c>
      <c r="R626" s="7">
        <v>34887</v>
      </c>
      <c r="T626" t="s">
        <v>119</v>
      </c>
      <c r="W626" s="15">
        <v>6.2666667</v>
      </c>
      <c r="X626" s="15">
        <v>-75.566666699999999</v>
      </c>
      <c r="AF626" t="s">
        <v>50</v>
      </c>
      <c r="AG626" t="s">
        <v>402</v>
      </c>
      <c r="AH626" t="s">
        <v>855</v>
      </c>
      <c r="AI626" t="s">
        <v>4500</v>
      </c>
      <c r="AJ626">
        <v>674</v>
      </c>
    </row>
    <row r="627" spans="1:36">
      <c r="A627" t="s">
        <v>4131</v>
      </c>
      <c r="B627" t="s">
        <v>4132</v>
      </c>
      <c r="C627" t="s">
        <v>4501</v>
      </c>
      <c r="D627" t="s">
        <v>4502</v>
      </c>
      <c r="E627" t="s">
        <v>4503</v>
      </c>
      <c r="F627">
        <v>2400</v>
      </c>
      <c r="G627">
        <v>2400</v>
      </c>
      <c r="H627">
        <v>2400</v>
      </c>
      <c r="I627" t="s">
        <v>4189</v>
      </c>
      <c r="J627" t="s">
        <v>4190</v>
      </c>
      <c r="K627" t="s">
        <v>4504</v>
      </c>
      <c r="L627" t="s">
        <v>4505</v>
      </c>
      <c r="M627" t="s">
        <v>4486</v>
      </c>
      <c r="N627" t="s">
        <v>754</v>
      </c>
      <c r="O627" t="s">
        <v>4506</v>
      </c>
      <c r="P627" t="s">
        <v>4507</v>
      </c>
      <c r="R627" s="7">
        <v>34901</v>
      </c>
      <c r="T627" t="s">
        <v>119</v>
      </c>
      <c r="W627" s="15">
        <v>6.2780399999999998</v>
      </c>
      <c r="X627" s="15">
        <v>-75.496530000000007</v>
      </c>
      <c r="Y627">
        <v>1925.1410000000001</v>
      </c>
      <c r="AB627" t="s">
        <v>4508</v>
      </c>
      <c r="AF627" t="s">
        <v>50</v>
      </c>
      <c r="AG627" t="s">
        <v>402</v>
      </c>
      <c r="AH627" t="s">
        <v>855</v>
      </c>
      <c r="AI627" t="s">
        <v>4509</v>
      </c>
      <c r="AJ627">
        <v>675</v>
      </c>
    </row>
    <row r="628" spans="1:36">
      <c r="A628" t="s">
        <v>4131</v>
      </c>
      <c r="B628" t="s">
        <v>4132</v>
      </c>
      <c r="C628" t="s">
        <v>4510</v>
      </c>
      <c r="D628" t="s">
        <v>4511</v>
      </c>
      <c r="E628" t="s">
        <v>4512</v>
      </c>
      <c r="F628">
        <v>2600</v>
      </c>
      <c r="G628">
        <v>2600</v>
      </c>
      <c r="H628">
        <v>2600</v>
      </c>
      <c r="I628" t="s">
        <v>4513</v>
      </c>
      <c r="J628" t="s">
        <v>4514</v>
      </c>
      <c r="K628" t="s">
        <v>4515</v>
      </c>
      <c r="L628" t="s">
        <v>4516</v>
      </c>
      <c r="M628" t="s">
        <v>4517</v>
      </c>
      <c r="N628" t="s">
        <v>4518</v>
      </c>
      <c r="O628" t="s">
        <v>4519</v>
      </c>
      <c r="P628" t="s">
        <v>4520</v>
      </c>
      <c r="R628" s="7">
        <v>34979</v>
      </c>
      <c r="W628" s="15">
        <v>6.0289722000000001</v>
      </c>
      <c r="X628" s="15">
        <v>-75.3262778</v>
      </c>
      <c r="AF628" t="s">
        <v>50</v>
      </c>
      <c r="AG628" t="s">
        <v>402</v>
      </c>
      <c r="AH628" t="s">
        <v>4521</v>
      </c>
      <c r="AI628" t="s">
        <v>4522</v>
      </c>
      <c r="AJ628">
        <v>676</v>
      </c>
    </row>
    <row r="629" spans="1:36">
      <c r="A629" t="s">
        <v>4131</v>
      </c>
      <c r="B629" t="s">
        <v>4132</v>
      </c>
      <c r="C629" t="s">
        <v>4523</v>
      </c>
      <c r="D629" t="s">
        <v>4524</v>
      </c>
      <c r="E629" t="s">
        <v>4525</v>
      </c>
      <c r="F629">
        <v>2350</v>
      </c>
      <c r="G629">
        <v>2350</v>
      </c>
      <c r="H629">
        <v>2350</v>
      </c>
      <c r="I629" t="s">
        <v>4526</v>
      </c>
      <c r="J629" t="s">
        <v>4527</v>
      </c>
      <c r="K629" t="s">
        <v>4528</v>
      </c>
      <c r="L629" t="s">
        <v>2445</v>
      </c>
      <c r="M629" t="s">
        <v>4529</v>
      </c>
      <c r="N629" t="s">
        <v>2447</v>
      </c>
      <c r="O629" t="s">
        <v>2448</v>
      </c>
      <c r="P629" t="s">
        <v>2449</v>
      </c>
      <c r="R629" s="7">
        <v>35173</v>
      </c>
      <c r="T629" t="s">
        <v>318</v>
      </c>
      <c r="W629" s="15">
        <v>6.1719444000000001</v>
      </c>
      <c r="X629" s="15">
        <v>-75.585833300000004</v>
      </c>
      <c r="AF629" t="s">
        <v>50</v>
      </c>
      <c r="AG629" t="s">
        <v>402</v>
      </c>
      <c r="AH629" t="s">
        <v>2450</v>
      </c>
      <c r="AI629" t="s">
        <v>4530</v>
      </c>
      <c r="AJ629">
        <v>677</v>
      </c>
    </row>
    <row r="630" spans="1:36">
      <c r="A630" t="s">
        <v>4131</v>
      </c>
      <c r="B630" t="s">
        <v>4132</v>
      </c>
      <c r="C630" t="s">
        <v>4531</v>
      </c>
      <c r="D630" t="s">
        <v>4532</v>
      </c>
      <c r="E630" t="s">
        <v>4533</v>
      </c>
      <c r="F630">
        <v>2350</v>
      </c>
      <c r="G630">
        <v>2350</v>
      </c>
      <c r="H630">
        <v>2350</v>
      </c>
      <c r="I630" t="s">
        <v>4189</v>
      </c>
      <c r="J630" t="s">
        <v>4190</v>
      </c>
      <c r="K630" t="s">
        <v>2089</v>
      </c>
      <c r="L630" t="s">
        <v>2090</v>
      </c>
      <c r="M630" t="s">
        <v>4534</v>
      </c>
      <c r="N630" t="s">
        <v>754</v>
      </c>
      <c r="O630" t="s">
        <v>755</v>
      </c>
      <c r="P630" t="s">
        <v>756</v>
      </c>
      <c r="R630" s="7">
        <v>35228</v>
      </c>
      <c r="W630" s="15">
        <v>6.3</v>
      </c>
      <c r="X630" s="15">
        <v>-75.483333299999998</v>
      </c>
      <c r="AF630" t="s">
        <v>50</v>
      </c>
      <c r="AG630" t="s">
        <v>402</v>
      </c>
      <c r="AH630" t="s">
        <v>4487</v>
      </c>
      <c r="AI630" t="s">
        <v>4535</v>
      </c>
      <c r="AJ630">
        <v>678</v>
      </c>
    </row>
    <row r="631" spans="1:36">
      <c r="A631" t="s">
        <v>4131</v>
      </c>
      <c r="B631" t="s">
        <v>4132</v>
      </c>
      <c r="C631" t="s">
        <v>4536</v>
      </c>
      <c r="D631" t="s">
        <v>4537</v>
      </c>
      <c r="E631" t="s">
        <v>4538</v>
      </c>
      <c r="F631">
        <v>2400</v>
      </c>
      <c r="G631">
        <v>2400</v>
      </c>
      <c r="H631">
        <v>2400</v>
      </c>
      <c r="I631" t="s">
        <v>4539</v>
      </c>
      <c r="J631" t="s">
        <v>4540</v>
      </c>
      <c r="K631" t="s">
        <v>4138</v>
      </c>
      <c r="L631" t="s">
        <v>530</v>
      </c>
      <c r="M631" t="s">
        <v>4541</v>
      </c>
      <c r="N631" t="s">
        <v>4542</v>
      </c>
      <c r="O631" t="s">
        <v>533</v>
      </c>
      <c r="P631" t="s">
        <v>4543</v>
      </c>
      <c r="R631" s="7">
        <v>35817</v>
      </c>
      <c r="T631" t="s">
        <v>119</v>
      </c>
      <c r="W631" s="15">
        <v>6.2278799999999999</v>
      </c>
      <c r="X631" s="15">
        <v>-75.506339999999994</v>
      </c>
      <c r="Y631">
        <v>8443.5429999999997</v>
      </c>
      <c r="Z631">
        <v>2450</v>
      </c>
      <c r="AB631" t="s">
        <v>4544</v>
      </c>
      <c r="AF631" t="s">
        <v>50</v>
      </c>
      <c r="AG631" t="s">
        <v>402</v>
      </c>
      <c r="AH631" t="s">
        <v>855</v>
      </c>
      <c r="AI631" t="s">
        <v>4545</v>
      </c>
      <c r="AJ631">
        <v>679</v>
      </c>
    </row>
    <row r="632" spans="1:36">
      <c r="A632" t="s">
        <v>4131</v>
      </c>
      <c r="B632" t="s">
        <v>4132</v>
      </c>
      <c r="C632" t="s">
        <v>4546</v>
      </c>
      <c r="D632" t="s">
        <v>4547</v>
      </c>
      <c r="E632" t="s">
        <v>4548</v>
      </c>
      <c r="F632">
        <v>2400</v>
      </c>
      <c r="G632">
        <v>2400</v>
      </c>
      <c r="H632">
        <v>2400</v>
      </c>
      <c r="I632" t="s">
        <v>2381</v>
      </c>
      <c r="J632" t="s">
        <v>2382</v>
      </c>
      <c r="K632" t="s">
        <v>4305</v>
      </c>
      <c r="L632" t="s">
        <v>2424</v>
      </c>
      <c r="M632" t="s">
        <v>2425</v>
      </c>
      <c r="N632" t="s">
        <v>532</v>
      </c>
      <c r="O632" t="s">
        <v>2426</v>
      </c>
      <c r="P632" t="s">
        <v>2427</v>
      </c>
      <c r="R632" s="7">
        <v>35855</v>
      </c>
      <c r="T632" t="s">
        <v>119</v>
      </c>
      <c r="W632" s="15">
        <v>6.25</v>
      </c>
      <c r="X632" s="15">
        <v>-75.583333300000007</v>
      </c>
      <c r="AF632" t="s">
        <v>50</v>
      </c>
      <c r="AG632" t="s">
        <v>402</v>
      </c>
      <c r="AH632" t="s">
        <v>855</v>
      </c>
      <c r="AI632" t="s">
        <v>4549</v>
      </c>
      <c r="AJ632">
        <v>680</v>
      </c>
    </row>
    <row r="633" spans="1:36">
      <c r="A633" t="s">
        <v>4131</v>
      </c>
      <c r="B633" t="s">
        <v>4132</v>
      </c>
      <c r="C633" t="s">
        <v>4550</v>
      </c>
      <c r="D633" t="s">
        <v>4551</v>
      </c>
      <c r="E633" t="s">
        <v>4552</v>
      </c>
      <c r="F633">
        <v>2220</v>
      </c>
      <c r="G633">
        <v>2220</v>
      </c>
      <c r="H633">
        <v>2220</v>
      </c>
      <c r="I633" t="s">
        <v>4189</v>
      </c>
      <c r="J633" t="s">
        <v>4190</v>
      </c>
      <c r="K633" t="s">
        <v>4191</v>
      </c>
      <c r="L633" t="s">
        <v>4192</v>
      </c>
      <c r="M633" t="s">
        <v>4193</v>
      </c>
      <c r="N633" t="s">
        <v>754</v>
      </c>
      <c r="O633" t="s">
        <v>4194</v>
      </c>
      <c r="P633" t="s">
        <v>4195</v>
      </c>
      <c r="R633" s="7">
        <v>36364</v>
      </c>
      <c r="T633" t="s">
        <v>119</v>
      </c>
      <c r="W633" s="15">
        <v>6.3</v>
      </c>
      <c r="X633" s="15">
        <v>-75.683333300000001</v>
      </c>
      <c r="AF633" t="s">
        <v>50</v>
      </c>
      <c r="AG633" t="s">
        <v>402</v>
      </c>
      <c r="AH633" t="s">
        <v>855</v>
      </c>
      <c r="AI633" t="s">
        <v>4553</v>
      </c>
      <c r="AJ633">
        <v>681</v>
      </c>
    </row>
    <row r="634" spans="1:36">
      <c r="A634" t="s">
        <v>4131</v>
      </c>
      <c r="B634" t="s">
        <v>4132</v>
      </c>
      <c r="C634" t="s">
        <v>4554</v>
      </c>
      <c r="D634" t="s">
        <v>4555</v>
      </c>
      <c r="E634" t="s">
        <v>4556</v>
      </c>
      <c r="F634">
        <v>2400</v>
      </c>
      <c r="G634">
        <v>2400</v>
      </c>
      <c r="H634">
        <v>2400</v>
      </c>
      <c r="I634" t="s">
        <v>4557</v>
      </c>
      <c r="J634" t="s">
        <v>2492</v>
      </c>
      <c r="K634" t="s">
        <v>4558</v>
      </c>
      <c r="L634" t="s">
        <v>4559</v>
      </c>
      <c r="M634" t="s">
        <v>4560</v>
      </c>
      <c r="N634" t="s">
        <v>2485</v>
      </c>
      <c r="O634" t="s">
        <v>4561</v>
      </c>
      <c r="P634" t="s">
        <v>4562</v>
      </c>
      <c r="R634" s="7">
        <v>36816</v>
      </c>
      <c r="T634" t="s">
        <v>119</v>
      </c>
      <c r="W634" s="15">
        <v>6.2616667000000001</v>
      </c>
      <c r="X634" s="15">
        <v>-75.508972200000002</v>
      </c>
      <c r="AF634" t="s">
        <v>50</v>
      </c>
      <c r="AG634" t="s">
        <v>402</v>
      </c>
      <c r="AH634" t="s">
        <v>855</v>
      </c>
      <c r="AI634" t="s">
        <v>4563</v>
      </c>
      <c r="AJ634">
        <v>682</v>
      </c>
    </row>
    <row r="635" spans="1:36">
      <c r="A635" t="s">
        <v>4131</v>
      </c>
      <c r="B635" t="s">
        <v>4132</v>
      </c>
      <c r="C635" t="s">
        <v>4554</v>
      </c>
      <c r="D635" t="s">
        <v>4564</v>
      </c>
      <c r="E635" t="s">
        <v>4556</v>
      </c>
      <c r="F635">
        <v>2400</v>
      </c>
      <c r="G635">
        <v>2400</v>
      </c>
      <c r="H635">
        <v>2400</v>
      </c>
      <c r="I635" t="s">
        <v>4557</v>
      </c>
      <c r="J635" t="s">
        <v>2492</v>
      </c>
      <c r="K635" t="s">
        <v>4558</v>
      </c>
      <c r="L635" t="s">
        <v>4559</v>
      </c>
      <c r="M635" t="s">
        <v>4560</v>
      </c>
      <c r="N635" t="s">
        <v>2485</v>
      </c>
      <c r="O635" t="s">
        <v>4561</v>
      </c>
      <c r="P635" t="s">
        <v>4562</v>
      </c>
      <c r="R635" s="7">
        <v>36816</v>
      </c>
      <c r="T635" t="s">
        <v>119</v>
      </c>
      <c r="W635" s="15">
        <v>6.2616667000000001</v>
      </c>
      <c r="X635" s="15">
        <v>-75.508972200000002</v>
      </c>
      <c r="AF635" t="s">
        <v>50</v>
      </c>
      <c r="AG635" t="s">
        <v>402</v>
      </c>
      <c r="AH635" t="s">
        <v>855</v>
      </c>
      <c r="AI635" t="s">
        <v>4563</v>
      </c>
      <c r="AJ635">
        <v>683</v>
      </c>
    </row>
    <row r="636" spans="1:36">
      <c r="A636" t="s">
        <v>4131</v>
      </c>
      <c r="B636" t="s">
        <v>4132</v>
      </c>
      <c r="C636" t="s">
        <v>4554</v>
      </c>
      <c r="D636" t="s">
        <v>4565</v>
      </c>
      <c r="E636" t="s">
        <v>4556</v>
      </c>
      <c r="F636">
        <v>2400</v>
      </c>
      <c r="G636">
        <v>2400</v>
      </c>
      <c r="H636">
        <v>2400</v>
      </c>
      <c r="I636" t="s">
        <v>4557</v>
      </c>
      <c r="J636" t="s">
        <v>2492</v>
      </c>
      <c r="K636" t="s">
        <v>4558</v>
      </c>
      <c r="L636" t="s">
        <v>4559</v>
      </c>
      <c r="M636" t="s">
        <v>4560</v>
      </c>
      <c r="N636" t="s">
        <v>2485</v>
      </c>
      <c r="O636" t="s">
        <v>4561</v>
      </c>
      <c r="P636" t="s">
        <v>4562</v>
      </c>
      <c r="R636" s="7">
        <v>36816</v>
      </c>
      <c r="T636" t="s">
        <v>3138</v>
      </c>
      <c r="W636" s="15">
        <v>6.2616667000000001</v>
      </c>
      <c r="X636" s="15">
        <v>-75.508972200000002</v>
      </c>
      <c r="AF636" t="s">
        <v>50</v>
      </c>
      <c r="AG636" t="s">
        <v>402</v>
      </c>
      <c r="AH636" t="s">
        <v>855</v>
      </c>
      <c r="AI636" t="s">
        <v>4563</v>
      </c>
      <c r="AJ636">
        <v>684</v>
      </c>
    </row>
    <row r="637" spans="1:36">
      <c r="A637" t="s">
        <v>4131</v>
      </c>
      <c r="B637" t="s">
        <v>4132</v>
      </c>
      <c r="C637" t="s">
        <v>4566</v>
      </c>
      <c r="D637" t="s">
        <v>4567</v>
      </c>
      <c r="E637" t="s">
        <v>4568</v>
      </c>
      <c r="F637">
        <v>2690</v>
      </c>
      <c r="G637">
        <v>2690</v>
      </c>
      <c r="H637">
        <v>2690</v>
      </c>
      <c r="I637" t="s">
        <v>4569</v>
      </c>
      <c r="J637" t="s">
        <v>4570</v>
      </c>
      <c r="K637" t="s">
        <v>4571</v>
      </c>
      <c r="L637" t="s">
        <v>4572</v>
      </c>
      <c r="M637" t="s">
        <v>4573</v>
      </c>
      <c r="N637" t="s">
        <v>4574</v>
      </c>
      <c r="O637" t="s">
        <v>4575</v>
      </c>
      <c r="P637" t="s">
        <v>4576</v>
      </c>
      <c r="R637" s="7">
        <v>37424</v>
      </c>
      <c r="T637" t="s">
        <v>119</v>
      </c>
      <c r="W637" s="15">
        <v>6.6108889</v>
      </c>
      <c r="X637" s="15">
        <v>-75.666138900000007</v>
      </c>
      <c r="AF637" t="s">
        <v>50</v>
      </c>
      <c r="AG637" t="s">
        <v>402</v>
      </c>
      <c r="AH637" t="s">
        <v>1710</v>
      </c>
      <c r="AI637" t="s">
        <v>4577</v>
      </c>
      <c r="AJ637">
        <v>686</v>
      </c>
    </row>
    <row r="638" spans="1:36">
      <c r="A638" t="s">
        <v>4131</v>
      </c>
      <c r="B638" t="s">
        <v>4132</v>
      </c>
      <c r="C638" t="s">
        <v>4566</v>
      </c>
      <c r="D638" t="s">
        <v>4578</v>
      </c>
      <c r="E638" t="s">
        <v>4568</v>
      </c>
      <c r="F638">
        <v>2690</v>
      </c>
      <c r="G638">
        <v>2690</v>
      </c>
      <c r="H638">
        <v>2690</v>
      </c>
      <c r="I638" t="s">
        <v>4569</v>
      </c>
      <c r="J638" t="s">
        <v>4570</v>
      </c>
      <c r="K638" t="s">
        <v>4571</v>
      </c>
      <c r="L638" t="s">
        <v>4572</v>
      </c>
      <c r="M638" t="s">
        <v>4573</v>
      </c>
      <c r="N638" t="s">
        <v>4574</v>
      </c>
      <c r="O638" t="s">
        <v>4575</v>
      </c>
      <c r="P638" t="s">
        <v>4576</v>
      </c>
      <c r="R638" s="7">
        <v>37424</v>
      </c>
      <c r="T638" t="s">
        <v>119</v>
      </c>
      <c r="W638" s="15">
        <v>6.6108889</v>
      </c>
      <c r="X638" s="15">
        <v>-75.666138900000007</v>
      </c>
      <c r="AF638" t="s">
        <v>50</v>
      </c>
      <c r="AG638" t="s">
        <v>402</v>
      </c>
      <c r="AH638" t="s">
        <v>1710</v>
      </c>
      <c r="AI638" t="s">
        <v>4577</v>
      </c>
      <c r="AJ638">
        <v>687</v>
      </c>
    </row>
    <row r="639" spans="1:36">
      <c r="A639" t="s">
        <v>4131</v>
      </c>
      <c r="B639" t="s">
        <v>4132</v>
      </c>
      <c r="C639" t="s">
        <v>4579</v>
      </c>
      <c r="D639" t="s">
        <v>4580</v>
      </c>
      <c r="E639" t="s">
        <v>4581</v>
      </c>
      <c r="F639">
        <v>2555</v>
      </c>
      <c r="G639">
        <v>2555</v>
      </c>
      <c r="H639">
        <v>2555</v>
      </c>
      <c r="I639" t="s">
        <v>4582</v>
      </c>
      <c r="J639" t="s">
        <v>2520</v>
      </c>
      <c r="K639" t="s">
        <v>4583</v>
      </c>
      <c r="L639" t="s">
        <v>2521</v>
      </c>
      <c r="M639" t="s">
        <v>2522</v>
      </c>
      <c r="N639" t="s">
        <v>2508</v>
      </c>
      <c r="O639" t="s">
        <v>2509</v>
      </c>
      <c r="P639" t="s">
        <v>2510</v>
      </c>
      <c r="R639" s="7">
        <v>37427</v>
      </c>
      <c r="T639" t="s">
        <v>119</v>
      </c>
      <c r="W639" s="15">
        <v>6.5959167000000001</v>
      </c>
      <c r="X639" s="15">
        <v>-75.653611100000006</v>
      </c>
      <c r="AF639" t="s">
        <v>50</v>
      </c>
      <c r="AG639" t="s">
        <v>402</v>
      </c>
      <c r="AH639" t="s">
        <v>1710</v>
      </c>
      <c r="AI639" t="s">
        <v>4584</v>
      </c>
      <c r="AJ639">
        <v>688</v>
      </c>
    </row>
    <row r="640" spans="1:36">
      <c r="A640" t="s">
        <v>4131</v>
      </c>
      <c r="B640" t="s">
        <v>4132</v>
      </c>
      <c r="C640" t="s">
        <v>4579</v>
      </c>
      <c r="D640" t="s">
        <v>4585</v>
      </c>
      <c r="E640" t="s">
        <v>4581</v>
      </c>
      <c r="F640">
        <v>2555</v>
      </c>
      <c r="G640">
        <v>2555</v>
      </c>
      <c r="H640">
        <v>2555</v>
      </c>
      <c r="I640" t="s">
        <v>4582</v>
      </c>
      <c r="J640" t="s">
        <v>2520</v>
      </c>
      <c r="K640" t="s">
        <v>4583</v>
      </c>
      <c r="L640" t="s">
        <v>2521</v>
      </c>
      <c r="M640" t="s">
        <v>2522</v>
      </c>
      <c r="N640" t="s">
        <v>2508</v>
      </c>
      <c r="O640" t="s">
        <v>2509</v>
      </c>
      <c r="P640" t="s">
        <v>2510</v>
      </c>
      <c r="R640" s="7">
        <v>37427</v>
      </c>
      <c r="T640" t="s">
        <v>119</v>
      </c>
      <c r="W640" s="15">
        <v>6.5959167000000001</v>
      </c>
      <c r="X640" s="15">
        <v>-75.653611100000006</v>
      </c>
      <c r="AF640" t="s">
        <v>50</v>
      </c>
      <c r="AG640" t="s">
        <v>402</v>
      </c>
      <c r="AH640" t="s">
        <v>1710</v>
      </c>
      <c r="AI640" t="s">
        <v>4584</v>
      </c>
      <c r="AJ640">
        <v>689</v>
      </c>
    </row>
    <row r="641" spans="1:36">
      <c r="A641" t="s">
        <v>4131</v>
      </c>
      <c r="B641" t="s">
        <v>4132</v>
      </c>
      <c r="C641" t="s">
        <v>4586</v>
      </c>
      <c r="D641" t="s">
        <v>4587</v>
      </c>
      <c r="E641" t="s">
        <v>4568</v>
      </c>
      <c r="F641">
        <v>2690</v>
      </c>
      <c r="G641">
        <v>2690</v>
      </c>
      <c r="H641">
        <v>2690</v>
      </c>
      <c r="I641" t="s">
        <v>4569</v>
      </c>
      <c r="J641" t="s">
        <v>4570</v>
      </c>
      <c r="K641" t="s">
        <v>4571</v>
      </c>
      <c r="L641" t="s">
        <v>4572</v>
      </c>
      <c r="M641" t="s">
        <v>4573</v>
      </c>
      <c r="N641" t="s">
        <v>4574</v>
      </c>
      <c r="O641" t="s">
        <v>4575</v>
      </c>
      <c r="P641" t="s">
        <v>4576</v>
      </c>
      <c r="R641" s="7">
        <v>37454</v>
      </c>
      <c r="T641" t="s">
        <v>119</v>
      </c>
      <c r="W641" s="15">
        <v>6.6108889</v>
      </c>
      <c r="X641" s="15">
        <v>-75.666138900000007</v>
      </c>
      <c r="AF641" t="s">
        <v>50</v>
      </c>
      <c r="AG641" t="s">
        <v>402</v>
      </c>
      <c r="AH641" t="s">
        <v>1710</v>
      </c>
      <c r="AI641" t="s">
        <v>4577</v>
      </c>
      <c r="AJ641">
        <v>690</v>
      </c>
    </row>
    <row r="642" spans="1:36">
      <c r="A642" t="s">
        <v>4131</v>
      </c>
      <c r="B642" t="s">
        <v>4132</v>
      </c>
      <c r="C642" t="s">
        <v>4588</v>
      </c>
      <c r="D642" t="s">
        <v>4589</v>
      </c>
      <c r="E642" t="s">
        <v>4590</v>
      </c>
      <c r="F642">
        <v>2500</v>
      </c>
      <c r="G642">
        <v>2500</v>
      </c>
      <c r="H642">
        <v>2500</v>
      </c>
      <c r="I642" t="s">
        <v>893</v>
      </c>
      <c r="J642" t="s">
        <v>894</v>
      </c>
      <c r="K642" t="s">
        <v>895</v>
      </c>
      <c r="L642" t="s">
        <v>896</v>
      </c>
      <c r="M642" t="s">
        <v>897</v>
      </c>
      <c r="N642" t="s">
        <v>898</v>
      </c>
      <c r="O642" t="s">
        <v>899</v>
      </c>
      <c r="P642" t="s">
        <v>900</v>
      </c>
      <c r="R642" s="7">
        <v>37526</v>
      </c>
      <c r="T642" t="s">
        <v>119</v>
      </c>
      <c r="W642" s="15">
        <v>6.7727778000000001</v>
      </c>
      <c r="X642" s="15">
        <v>-75.7920278</v>
      </c>
      <c r="AF642" t="s">
        <v>50</v>
      </c>
      <c r="AG642" t="s">
        <v>402</v>
      </c>
      <c r="AH642" t="s">
        <v>902</v>
      </c>
      <c r="AI642" t="s">
        <v>4591</v>
      </c>
      <c r="AJ642">
        <v>691</v>
      </c>
    </row>
    <row r="643" spans="1:36">
      <c r="A643" t="s">
        <v>4131</v>
      </c>
      <c r="B643" t="s">
        <v>4132</v>
      </c>
      <c r="C643" t="s">
        <v>4592</v>
      </c>
      <c r="D643" t="s">
        <v>4593</v>
      </c>
      <c r="E643" t="s">
        <v>4594</v>
      </c>
      <c r="F643">
        <v>2500</v>
      </c>
      <c r="G643">
        <v>2500</v>
      </c>
      <c r="H643">
        <v>2500</v>
      </c>
      <c r="I643" t="s">
        <v>4595</v>
      </c>
      <c r="J643" t="s">
        <v>974</v>
      </c>
      <c r="K643" t="s">
        <v>4596</v>
      </c>
      <c r="L643" t="s">
        <v>975</v>
      </c>
      <c r="M643" t="s">
        <v>976</v>
      </c>
      <c r="N643" t="s">
        <v>977</v>
      </c>
      <c r="O643" t="s">
        <v>978</v>
      </c>
      <c r="P643" t="s">
        <v>979</v>
      </c>
      <c r="R643" s="7">
        <v>37667</v>
      </c>
      <c r="T643" t="s">
        <v>119</v>
      </c>
      <c r="W643" s="15">
        <v>6.2133333000000004</v>
      </c>
      <c r="X643" s="15">
        <v>-75.492277799999997</v>
      </c>
      <c r="AF643" t="s">
        <v>50</v>
      </c>
      <c r="AG643" t="s">
        <v>402</v>
      </c>
      <c r="AH643" t="s">
        <v>855</v>
      </c>
      <c r="AI643" t="s">
        <v>4597</v>
      </c>
      <c r="AJ643">
        <v>692</v>
      </c>
    </row>
    <row r="644" spans="1:36">
      <c r="A644" t="s">
        <v>4131</v>
      </c>
      <c r="B644" t="s">
        <v>4132</v>
      </c>
      <c r="C644" t="s">
        <v>4598</v>
      </c>
      <c r="D644" t="s">
        <v>4599</v>
      </c>
      <c r="E644" t="s">
        <v>4600</v>
      </c>
      <c r="F644">
        <v>2700</v>
      </c>
      <c r="G644">
        <v>2700</v>
      </c>
      <c r="H644">
        <v>2700</v>
      </c>
      <c r="I644" t="s">
        <v>4601</v>
      </c>
      <c r="J644" t="s">
        <v>4602</v>
      </c>
      <c r="K644" t="s">
        <v>4603</v>
      </c>
      <c r="L644" t="s">
        <v>4604</v>
      </c>
      <c r="M644" t="s">
        <v>4605</v>
      </c>
      <c r="N644" t="s">
        <v>4606</v>
      </c>
      <c r="O644" t="s">
        <v>4607</v>
      </c>
      <c r="P644" t="s">
        <v>4608</v>
      </c>
      <c r="R644" s="7">
        <v>38058</v>
      </c>
      <c r="T644" t="s">
        <v>119</v>
      </c>
      <c r="W644" s="15">
        <v>6.7679900000000002</v>
      </c>
      <c r="X644" s="15">
        <v>-75.492189999999994</v>
      </c>
      <c r="Y644">
        <v>5268.8440000000001</v>
      </c>
      <c r="Z644">
        <v>2765</v>
      </c>
      <c r="AB644" t="s">
        <v>4609</v>
      </c>
      <c r="AF644" t="s">
        <v>50</v>
      </c>
      <c r="AG644" t="s">
        <v>402</v>
      </c>
      <c r="AH644" t="s">
        <v>887</v>
      </c>
      <c r="AI644" t="s">
        <v>4610</v>
      </c>
      <c r="AJ644">
        <v>693</v>
      </c>
    </row>
    <row r="645" spans="1:36">
      <c r="A645" t="s">
        <v>4131</v>
      </c>
      <c r="B645" t="s">
        <v>4132</v>
      </c>
      <c r="C645" t="s">
        <v>4611</v>
      </c>
      <c r="D645" t="s">
        <v>4612</v>
      </c>
      <c r="E645" t="s">
        <v>4613</v>
      </c>
      <c r="F645" t="s">
        <v>1025</v>
      </c>
      <c r="G645">
        <v>2150</v>
      </c>
      <c r="H645">
        <v>2250</v>
      </c>
      <c r="I645" t="s">
        <v>4614</v>
      </c>
      <c r="J645" t="s">
        <v>4615</v>
      </c>
      <c r="K645" t="s">
        <v>4616</v>
      </c>
      <c r="L645" t="s">
        <v>4617</v>
      </c>
      <c r="M645" t="s">
        <v>4618</v>
      </c>
      <c r="N645" t="s">
        <v>4619</v>
      </c>
      <c r="O645" t="s">
        <v>2603</v>
      </c>
      <c r="P645" t="s">
        <v>4620</v>
      </c>
      <c r="R645" s="7">
        <v>38342</v>
      </c>
      <c r="W645" s="15">
        <v>5.9856943999999999</v>
      </c>
      <c r="X645" s="15">
        <v>-75.635222200000001</v>
      </c>
      <c r="AF645" t="s">
        <v>50</v>
      </c>
      <c r="AG645" t="s">
        <v>402</v>
      </c>
      <c r="AH645" t="s">
        <v>1034</v>
      </c>
      <c r="AI645" t="s">
        <v>4621</v>
      </c>
      <c r="AJ645">
        <v>694</v>
      </c>
    </row>
    <row r="646" spans="1:36">
      <c r="A646" t="s">
        <v>4131</v>
      </c>
      <c r="B646" t="s">
        <v>4132</v>
      </c>
      <c r="C646" t="s">
        <v>4622</v>
      </c>
      <c r="D646" t="s">
        <v>4623</v>
      </c>
      <c r="E646" t="s">
        <v>4624</v>
      </c>
      <c r="F646">
        <v>2870</v>
      </c>
      <c r="G646">
        <v>2870</v>
      </c>
      <c r="H646">
        <v>2870</v>
      </c>
      <c r="I646" t="s">
        <v>4625</v>
      </c>
      <c r="J646" t="s">
        <v>4626</v>
      </c>
      <c r="K646" t="s">
        <v>4627</v>
      </c>
      <c r="L646" t="s">
        <v>4628</v>
      </c>
      <c r="M646" t="s">
        <v>4629</v>
      </c>
      <c r="N646" t="s">
        <v>4630</v>
      </c>
      <c r="O646" t="s">
        <v>4631</v>
      </c>
      <c r="P646" t="s">
        <v>4632</v>
      </c>
      <c r="R646" s="7">
        <v>38364</v>
      </c>
      <c r="T646" t="s">
        <v>119</v>
      </c>
      <c r="W646" s="15">
        <v>5.5417778000000002</v>
      </c>
      <c r="X646" s="15">
        <v>-75.807527800000003</v>
      </c>
      <c r="AF646" t="s">
        <v>50</v>
      </c>
      <c r="AG646" t="s">
        <v>402</v>
      </c>
      <c r="AH646" t="s">
        <v>627</v>
      </c>
      <c r="AI646" t="s">
        <v>4633</v>
      </c>
      <c r="AJ646">
        <v>695</v>
      </c>
    </row>
    <row r="647" spans="1:36">
      <c r="A647" t="s">
        <v>4131</v>
      </c>
      <c r="B647" t="s">
        <v>4132</v>
      </c>
      <c r="C647" t="s">
        <v>4634</v>
      </c>
      <c r="D647" t="s">
        <v>4635</v>
      </c>
      <c r="E647" t="s">
        <v>4636</v>
      </c>
      <c r="F647" t="s">
        <v>4637</v>
      </c>
      <c r="G647">
        <v>2950</v>
      </c>
      <c r="H647">
        <v>3050</v>
      </c>
      <c r="I647" t="s">
        <v>4638</v>
      </c>
      <c r="J647" t="s">
        <v>4639</v>
      </c>
      <c r="K647" t="s">
        <v>4640</v>
      </c>
      <c r="L647" t="s">
        <v>4641</v>
      </c>
      <c r="M647" t="s">
        <v>4642</v>
      </c>
      <c r="N647" t="s">
        <v>4643</v>
      </c>
      <c r="O647" t="s">
        <v>4644</v>
      </c>
      <c r="P647" t="s">
        <v>4645</v>
      </c>
      <c r="R647" s="7">
        <v>38625</v>
      </c>
      <c r="T647" t="s">
        <v>119</v>
      </c>
      <c r="W647" s="15">
        <v>6.3416667000000002</v>
      </c>
      <c r="X647" s="15">
        <v>-75.647222200000002</v>
      </c>
      <c r="AF647" t="s">
        <v>50</v>
      </c>
      <c r="AG647" t="s">
        <v>402</v>
      </c>
      <c r="AH647" t="s">
        <v>2263</v>
      </c>
      <c r="AI647" t="s">
        <v>4646</v>
      </c>
      <c r="AJ647">
        <v>696</v>
      </c>
    </row>
    <row r="648" spans="1:36">
      <c r="A648" t="s">
        <v>4131</v>
      </c>
      <c r="B648" t="s">
        <v>4132</v>
      </c>
      <c r="C648" t="s">
        <v>4647</v>
      </c>
      <c r="D648" t="s">
        <v>4648</v>
      </c>
      <c r="E648" t="s">
        <v>4649</v>
      </c>
      <c r="F648" t="s">
        <v>2633</v>
      </c>
      <c r="G648">
        <v>2100</v>
      </c>
      <c r="H648">
        <v>2200</v>
      </c>
      <c r="I648" t="s">
        <v>4650</v>
      </c>
      <c r="J648" t="s">
        <v>4651</v>
      </c>
      <c r="K648" t="s">
        <v>4652</v>
      </c>
      <c r="L648" t="s">
        <v>4653</v>
      </c>
      <c r="M648" t="s">
        <v>4654</v>
      </c>
      <c r="N648" t="s">
        <v>2637</v>
      </c>
      <c r="O648" t="s">
        <v>2638</v>
      </c>
      <c r="P648" t="s">
        <v>2639</v>
      </c>
      <c r="R648" s="7">
        <v>38653</v>
      </c>
      <c r="T648" t="s">
        <v>119</v>
      </c>
      <c r="W648" s="15">
        <v>6.1580556</v>
      </c>
      <c r="X648" s="15">
        <v>-75.701388899999998</v>
      </c>
      <c r="AF648" t="s">
        <v>50</v>
      </c>
      <c r="AG648" t="s">
        <v>402</v>
      </c>
      <c r="AH648" t="s">
        <v>4655</v>
      </c>
      <c r="AI648" t="s">
        <v>4656</v>
      </c>
      <c r="AJ648">
        <v>697</v>
      </c>
    </row>
    <row r="649" spans="1:36">
      <c r="A649" t="s">
        <v>4131</v>
      </c>
      <c r="B649" t="s">
        <v>4132</v>
      </c>
      <c r="C649" t="s">
        <v>4657</v>
      </c>
      <c r="D649" t="s">
        <v>4658</v>
      </c>
      <c r="E649" t="s">
        <v>4659</v>
      </c>
      <c r="F649">
        <v>2725</v>
      </c>
      <c r="G649">
        <v>2725</v>
      </c>
      <c r="H649">
        <v>2725</v>
      </c>
      <c r="I649" t="s">
        <v>4660</v>
      </c>
      <c r="J649" t="s">
        <v>4661</v>
      </c>
      <c r="K649" t="s">
        <v>4662</v>
      </c>
      <c r="L649" t="s">
        <v>4663</v>
      </c>
      <c r="M649" t="s">
        <v>4664</v>
      </c>
      <c r="N649" t="s">
        <v>4665</v>
      </c>
      <c r="O649" t="s">
        <v>4666</v>
      </c>
      <c r="P649" t="s">
        <v>4667</v>
      </c>
      <c r="R649" s="7">
        <v>39015</v>
      </c>
      <c r="W649" s="15">
        <v>6.2551443999999998</v>
      </c>
      <c r="X649" s="15">
        <v>-75.7112889</v>
      </c>
      <c r="AF649" t="s">
        <v>50</v>
      </c>
      <c r="AG649" t="s">
        <v>402</v>
      </c>
      <c r="AH649" t="s">
        <v>855</v>
      </c>
      <c r="AI649" t="s">
        <v>4668</v>
      </c>
      <c r="AJ649">
        <v>698</v>
      </c>
    </row>
    <row r="650" spans="1:36">
      <c r="A650" t="s">
        <v>4131</v>
      </c>
      <c r="B650" t="s">
        <v>4132</v>
      </c>
      <c r="C650" t="s">
        <v>4669</v>
      </c>
      <c r="D650" t="s">
        <v>4670</v>
      </c>
      <c r="E650" t="s">
        <v>4671</v>
      </c>
      <c r="P650" t="s">
        <v>80</v>
      </c>
      <c r="R650" s="7">
        <v>39203</v>
      </c>
      <c r="T650" t="s">
        <v>119</v>
      </c>
      <c r="W650" s="15">
        <v>6.2181800000000003</v>
      </c>
      <c r="X650" s="15">
        <v>-75.500299999999996</v>
      </c>
      <c r="Y650">
        <v>1038.25</v>
      </c>
      <c r="Z650">
        <v>2504</v>
      </c>
      <c r="AB650" t="s">
        <v>4672</v>
      </c>
      <c r="AF650" t="s">
        <v>50</v>
      </c>
      <c r="AG650" t="s">
        <v>402</v>
      </c>
      <c r="AH650" t="s">
        <v>855</v>
      </c>
      <c r="AI650" t="s">
        <v>4673</v>
      </c>
      <c r="AJ650">
        <v>699</v>
      </c>
    </row>
    <row r="651" spans="1:36">
      <c r="A651" t="s">
        <v>4131</v>
      </c>
      <c r="B651" t="s">
        <v>4132</v>
      </c>
      <c r="C651" t="s">
        <v>4674</v>
      </c>
      <c r="D651" t="s">
        <v>2657</v>
      </c>
      <c r="E651" t="s">
        <v>4675</v>
      </c>
      <c r="P651" t="s">
        <v>80</v>
      </c>
      <c r="R651" s="7">
        <v>40755</v>
      </c>
      <c r="T651" t="s">
        <v>119</v>
      </c>
      <c r="W651" s="15">
        <v>6.5078800000000001</v>
      </c>
      <c r="X651" s="15">
        <v>-76.233369999999994</v>
      </c>
      <c r="Y651">
        <v>6554.527</v>
      </c>
      <c r="Z651">
        <v>1915</v>
      </c>
      <c r="AB651" t="s">
        <v>4676</v>
      </c>
      <c r="AF651" t="s">
        <v>50</v>
      </c>
      <c r="AG651" t="s">
        <v>402</v>
      </c>
      <c r="AH651" t="s">
        <v>1685</v>
      </c>
      <c r="AI651" t="s">
        <v>4677</v>
      </c>
      <c r="AJ651">
        <v>700</v>
      </c>
    </row>
    <row r="652" spans="1:36">
      <c r="A652" t="s">
        <v>4131</v>
      </c>
      <c r="B652" t="s">
        <v>4132</v>
      </c>
      <c r="C652" t="s">
        <v>4678</v>
      </c>
      <c r="D652" t="s">
        <v>4679</v>
      </c>
      <c r="E652" t="s">
        <v>4680</v>
      </c>
      <c r="F652">
        <v>3100</v>
      </c>
      <c r="G652">
        <v>3100</v>
      </c>
      <c r="H652">
        <v>3100</v>
      </c>
      <c r="P652" t="s">
        <v>80</v>
      </c>
      <c r="R652" s="7">
        <v>24798</v>
      </c>
      <c r="T652" t="s">
        <v>111</v>
      </c>
      <c r="W652" s="15">
        <v>6.3491799999999996</v>
      </c>
      <c r="X652" s="15">
        <v>-72.75461</v>
      </c>
      <c r="Y652">
        <v>1982.9739999999999</v>
      </c>
      <c r="Z652">
        <v>3106</v>
      </c>
      <c r="AB652" t="s">
        <v>4681</v>
      </c>
      <c r="AF652" t="s">
        <v>50</v>
      </c>
      <c r="AG652" t="s">
        <v>90</v>
      </c>
      <c r="AH652" t="s">
        <v>4682</v>
      </c>
      <c r="AJ652">
        <v>701</v>
      </c>
    </row>
    <row r="653" spans="1:36" s="2" customFormat="1">
      <c r="A653" t="s">
        <v>4131</v>
      </c>
      <c r="B653" t="s">
        <v>4132</v>
      </c>
      <c r="C653" t="s">
        <v>4683</v>
      </c>
      <c r="D653" t="s">
        <v>4684</v>
      </c>
      <c r="E653" t="s">
        <v>4685</v>
      </c>
      <c r="F653">
        <v>2975</v>
      </c>
      <c r="G653">
        <v>2975</v>
      </c>
      <c r="H653">
        <v>2975</v>
      </c>
      <c r="I653"/>
      <c r="J653"/>
      <c r="K653"/>
      <c r="L653"/>
      <c r="M653"/>
      <c r="N653"/>
      <c r="O653"/>
      <c r="P653" t="s">
        <v>80</v>
      </c>
      <c r="Q653"/>
      <c r="R653" s="7">
        <v>24800</v>
      </c>
      <c r="S653"/>
      <c r="T653" t="s">
        <v>111</v>
      </c>
      <c r="U653"/>
      <c r="V653"/>
      <c r="W653" s="15">
        <v>6.2628199999999996</v>
      </c>
      <c r="X653" s="15">
        <v>-72.556229999999999</v>
      </c>
      <c r="Y653">
        <v>2360.8919999999998</v>
      </c>
      <c r="Z653">
        <v>2951</v>
      </c>
      <c r="AA653"/>
      <c r="AB653" t="s">
        <v>4686</v>
      </c>
      <c r="AC653"/>
      <c r="AD653"/>
      <c r="AE653"/>
      <c r="AF653" t="s">
        <v>50</v>
      </c>
      <c r="AG653" t="s">
        <v>90</v>
      </c>
      <c r="AH653" t="s">
        <v>4687</v>
      </c>
      <c r="AI653" t="s">
        <v>4688</v>
      </c>
      <c r="AJ653">
        <v>702</v>
      </c>
    </row>
    <row r="654" spans="1:36">
      <c r="A654" t="s">
        <v>4131</v>
      </c>
      <c r="B654" t="s">
        <v>4132</v>
      </c>
      <c r="C654" t="s">
        <v>4689</v>
      </c>
      <c r="D654" t="s">
        <v>4690</v>
      </c>
      <c r="E654" t="s">
        <v>4691</v>
      </c>
      <c r="F654">
        <v>2483</v>
      </c>
      <c r="G654">
        <v>2483</v>
      </c>
      <c r="H654">
        <v>2483</v>
      </c>
      <c r="I654" t="s">
        <v>4692</v>
      </c>
      <c r="J654" t="s">
        <v>4693</v>
      </c>
      <c r="K654" t="s">
        <v>4694</v>
      </c>
      <c r="L654" t="s">
        <v>4695</v>
      </c>
      <c r="M654" t="s">
        <v>4696</v>
      </c>
      <c r="N654" t="s">
        <v>4697</v>
      </c>
      <c r="O654" t="s">
        <v>4698</v>
      </c>
      <c r="P654" t="s">
        <v>4699</v>
      </c>
      <c r="R654" s="7">
        <v>35257</v>
      </c>
      <c r="T654" t="s">
        <v>111</v>
      </c>
      <c r="W654" s="15">
        <v>5.6872221999999999</v>
      </c>
      <c r="X654" s="15">
        <v>-73.493055600000005</v>
      </c>
      <c r="AF654" t="s">
        <v>50</v>
      </c>
      <c r="AG654" t="s">
        <v>90</v>
      </c>
      <c r="AH654" t="s">
        <v>2680</v>
      </c>
      <c r="AI654" t="s">
        <v>4700</v>
      </c>
      <c r="AJ654">
        <v>703</v>
      </c>
    </row>
    <row r="655" spans="1:36">
      <c r="A655" t="s">
        <v>4131</v>
      </c>
      <c r="B655" t="s">
        <v>4132</v>
      </c>
      <c r="C655" t="s">
        <v>4701</v>
      </c>
      <c r="D655" t="s">
        <v>4702</v>
      </c>
      <c r="E655" t="s">
        <v>4703</v>
      </c>
      <c r="F655">
        <v>2400</v>
      </c>
      <c r="G655">
        <v>2400</v>
      </c>
      <c r="H655">
        <v>2400</v>
      </c>
      <c r="I655" t="s">
        <v>1133</v>
      </c>
      <c r="J655" t="s">
        <v>1134</v>
      </c>
      <c r="K655" t="s">
        <v>1135</v>
      </c>
      <c r="L655" t="s">
        <v>1136</v>
      </c>
      <c r="M655" t="s">
        <v>1137</v>
      </c>
      <c r="N655" t="s">
        <v>1138</v>
      </c>
      <c r="O655" t="s">
        <v>1139</v>
      </c>
      <c r="P655" t="s">
        <v>1140</v>
      </c>
      <c r="R655" s="7">
        <v>30143</v>
      </c>
      <c r="W655" s="15">
        <v>5.3858971999999996</v>
      </c>
      <c r="X655" s="15">
        <v>-75.160919399999997</v>
      </c>
      <c r="AF655" t="s">
        <v>50</v>
      </c>
      <c r="AG655" t="s">
        <v>167</v>
      </c>
      <c r="AH655" t="s">
        <v>1142</v>
      </c>
      <c r="AI655" t="s">
        <v>4704</v>
      </c>
      <c r="AJ655">
        <v>704</v>
      </c>
    </row>
    <row r="656" spans="1:36">
      <c r="A656" t="s">
        <v>4131</v>
      </c>
      <c r="B656" t="s">
        <v>4132</v>
      </c>
      <c r="C656" t="s">
        <v>4705</v>
      </c>
      <c r="D656" t="s">
        <v>4706</v>
      </c>
      <c r="E656" t="s">
        <v>4707</v>
      </c>
      <c r="F656">
        <v>2400</v>
      </c>
      <c r="G656">
        <v>2400</v>
      </c>
      <c r="H656">
        <v>2400</v>
      </c>
      <c r="I656" t="s">
        <v>1133</v>
      </c>
      <c r="J656" t="s">
        <v>1134</v>
      </c>
      <c r="K656" t="s">
        <v>1135</v>
      </c>
      <c r="L656" t="s">
        <v>1136</v>
      </c>
      <c r="M656" t="s">
        <v>1137</v>
      </c>
      <c r="N656" t="s">
        <v>1138</v>
      </c>
      <c r="O656" t="s">
        <v>1139</v>
      </c>
      <c r="P656" t="s">
        <v>1140</v>
      </c>
      <c r="R656" s="7">
        <v>30143</v>
      </c>
      <c r="T656" t="s">
        <v>119</v>
      </c>
      <c r="W656" s="15">
        <v>5.3858971999999996</v>
      </c>
      <c r="X656" s="15">
        <v>-75.160919399999997</v>
      </c>
      <c r="AF656" t="s">
        <v>50</v>
      </c>
      <c r="AG656" t="s">
        <v>167</v>
      </c>
      <c r="AH656" t="s">
        <v>1142</v>
      </c>
      <c r="AI656" t="s">
        <v>4708</v>
      </c>
      <c r="AJ656">
        <v>705</v>
      </c>
    </row>
    <row r="657" spans="1:36">
      <c r="A657" t="s">
        <v>4131</v>
      </c>
      <c r="B657" t="s">
        <v>4132</v>
      </c>
      <c r="C657" t="s">
        <v>4709</v>
      </c>
      <c r="D657" t="s">
        <v>4710</v>
      </c>
      <c r="E657" t="s">
        <v>4711</v>
      </c>
      <c r="F657">
        <v>2250</v>
      </c>
      <c r="G657">
        <v>2250</v>
      </c>
      <c r="H657">
        <v>2250</v>
      </c>
      <c r="I657" t="s">
        <v>572</v>
      </c>
      <c r="J657" t="s">
        <v>573</v>
      </c>
      <c r="K657" t="s">
        <v>574</v>
      </c>
      <c r="L657" t="s">
        <v>575</v>
      </c>
      <c r="M657" t="s">
        <v>576</v>
      </c>
      <c r="N657" t="s">
        <v>577</v>
      </c>
      <c r="O657" t="s">
        <v>578</v>
      </c>
      <c r="P657" t="s">
        <v>579</v>
      </c>
      <c r="R657" s="7">
        <v>31262</v>
      </c>
      <c r="W657" s="15">
        <v>5.0671333000000001</v>
      </c>
      <c r="X657" s="15">
        <v>-75.518288900000002</v>
      </c>
      <c r="AF657" t="s">
        <v>50</v>
      </c>
      <c r="AG657" t="s">
        <v>167</v>
      </c>
      <c r="AH657" t="s">
        <v>168</v>
      </c>
      <c r="AI657" t="s">
        <v>4712</v>
      </c>
      <c r="AJ657">
        <v>706</v>
      </c>
    </row>
    <row r="658" spans="1:36">
      <c r="A658" t="s">
        <v>4131</v>
      </c>
      <c r="B658" t="s">
        <v>4132</v>
      </c>
      <c r="C658" t="s">
        <v>4709</v>
      </c>
      <c r="D658" t="s">
        <v>4710</v>
      </c>
      <c r="E658" t="s">
        <v>4711</v>
      </c>
      <c r="F658">
        <v>2250</v>
      </c>
      <c r="G658">
        <v>2250</v>
      </c>
      <c r="H658">
        <v>2250</v>
      </c>
      <c r="I658" t="s">
        <v>572</v>
      </c>
      <c r="J658" t="s">
        <v>573</v>
      </c>
      <c r="K658" t="s">
        <v>574</v>
      </c>
      <c r="L658" t="s">
        <v>575</v>
      </c>
      <c r="M658" t="s">
        <v>576</v>
      </c>
      <c r="N658" t="s">
        <v>577</v>
      </c>
      <c r="O658" t="s">
        <v>578</v>
      </c>
      <c r="P658" t="s">
        <v>579</v>
      </c>
      <c r="R658" s="7">
        <v>31262</v>
      </c>
      <c r="T658" t="s">
        <v>119</v>
      </c>
      <c r="W658" s="15">
        <v>5.0671333000000001</v>
      </c>
      <c r="X658" s="15">
        <v>-75.518288900000002</v>
      </c>
      <c r="AF658" t="s">
        <v>50</v>
      </c>
      <c r="AG658" t="s">
        <v>167</v>
      </c>
      <c r="AH658" t="s">
        <v>168</v>
      </c>
      <c r="AI658" t="s">
        <v>4712</v>
      </c>
      <c r="AJ658">
        <v>707</v>
      </c>
    </row>
    <row r="659" spans="1:36">
      <c r="A659" t="s">
        <v>4131</v>
      </c>
      <c r="B659" t="s">
        <v>4132</v>
      </c>
      <c r="C659" t="s">
        <v>4709</v>
      </c>
      <c r="D659" t="s">
        <v>4713</v>
      </c>
      <c r="E659" t="s">
        <v>4711</v>
      </c>
      <c r="F659">
        <v>2250</v>
      </c>
      <c r="G659">
        <v>2250</v>
      </c>
      <c r="H659">
        <v>2250</v>
      </c>
      <c r="I659" t="s">
        <v>572</v>
      </c>
      <c r="J659" t="s">
        <v>573</v>
      </c>
      <c r="K659" t="s">
        <v>574</v>
      </c>
      <c r="L659" t="s">
        <v>575</v>
      </c>
      <c r="M659" t="s">
        <v>576</v>
      </c>
      <c r="N659" t="s">
        <v>577</v>
      </c>
      <c r="O659" t="s">
        <v>578</v>
      </c>
      <c r="P659" t="s">
        <v>579</v>
      </c>
      <c r="R659" s="7">
        <v>31262</v>
      </c>
      <c r="T659" t="s">
        <v>119</v>
      </c>
      <c r="W659" s="15">
        <v>5.0671333000000001</v>
      </c>
      <c r="X659" s="15">
        <v>-75.518288900000002</v>
      </c>
      <c r="AF659" t="s">
        <v>50</v>
      </c>
      <c r="AG659" t="s">
        <v>167</v>
      </c>
      <c r="AH659" t="s">
        <v>168</v>
      </c>
      <c r="AI659" t="s">
        <v>4712</v>
      </c>
      <c r="AJ659">
        <v>708</v>
      </c>
    </row>
    <row r="660" spans="1:36">
      <c r="A660" t="s">
        <v>4131</v>
      </c>
      <c r="B660" t="s">
        <v>4132</v>
      </c>
      <c r="C660" t="s">
        <v>4709</v>
      </c>
      <c r="D660" t="s">
        <v>4714</v>
      </c>
      <c r="E660" t="s">
        <v>4711</v>
      </c>
      <c r="F660">
        <v>2250</v>
      </c>
      <c r="G660">
        <v>2250</v>
      </c>
      <c r="H660">
        <v>2250</v>
      </c>
      <c r="I660" t="s">
        <v>572</v>
      </c>
      <c r="J660" t="s">
        <v>573</v>
      </c>
      <c r="K660" t="s">
        <v>574</v>
      </c>
      <c r="L660" t="s">
        <v>575</v>
      </c>
      <c r="M660" t="s">
        <v>576</v>
      </c>
      <c r="N660" t="s">
        <v>577</v>
      </c>
      <c r="O660" t="s">
        <v>578</v>
      </c>
      <c r="P660" t="s">
        <v>579</v>
      </c>
      <c r="R660" s="7">
        <v>31262</v>
      </c>
      <c r="T660" t="s">
        <v>119</v>
      </c>
      <c r="W660" s="15">
        <v>5.0671333000000001</v>
      </c>
      <c r="X660" s="15">
        <v>-75.518288900000002</v>
      </c>
      <c r="AF660" t="s">
        <v>50</v>
      </c>
      <c r="AG660" t="s">
        <v>167</v>
      </c>
      <c r="AH660" t="s">
        <v>168</v>
      </c>
      <c r="AI660" t="s">
        <v>4712</v>
      </c>
      <c r="AJ660">
        <v>709</v>
      </c>
    </row>
    <row r="661" spans="1:36">
      <c r="A661" t="s">
        <v>4131</v>
      </c>
      <c r="B661" t="s">
        <v>4132</v>
      </c>
      <c r="C661" t="s">
        <v>4715</v>
      </c>
      <c r="D661" t="s">
        <v>4716</v>
      </c>
      <c r="E661" t="s">
        <v>4717</v>
      </c>
      <c r="F661" t="s">
        <v>4718</v>
      </c>
      <c r="G661">
        <v>2700</v>
      </c>
      <c r="H661">
        <v>2750</v>
      </c>
      <c r="I661" t="s">
        <v>4719</v>
      </c>
      <c r="J661" t="s">
        <v>4720</v>
      </c>
      <c r="K661" t="s">
        <v>4721</v>
      </c>
      <c r="L661" t="s">
        <v>4722</v>
      </c>
      <c r="M661" t="s">
        <v>4723</v>
      </c>
      <c r="N661" t="s">
        <v>4724</v>
      </c>
      <c r="O661" t="s">
        <v>4725</v>
      </c>
      <c r="P661" t="s">
        <v>4726</v>
      </c>
      <c r="R661" s="7">
        <v>36384</v>
      </c>
      <c r="T661" t="s">
        <v>119</v>
      </c>
      <c r="W661" s="15">
        <v>5.0294444</v>
      </c>
      <c r="X661" s="15">
        <v>-75.390555599999999</v>
      </c>
      <c r="AF661" t="s">
        <v>50</v>
      </c>
      <c r="AG661" t="s">
        <v>167</v>
      </c>
      <c r="AH661" t="s">
        <v>168</v>
      </c>
      <c r="AI661" t="s">
        <v>4727</v>
      </c>
      <c r="AJ661">
        <v>710</v>
      </c>
    </row>
    <row r="662" spans="1:36">
      <c r="A662" t="s">
        <v>4131</v>
      </c>
      <c r="B662" t="s">
        <v>4132</v>
      </c>
      <c r="C662" t="s">
        <v>4728</v>
      </c>
      <c r="D662" t="s">
        <v>4729</v>
      </c>
      <c r="E662" t="s">
        <v>4730</v>
      </c>
      <c r="F662">
        <v>2697</v>
      </c>
      <c r="G662">
        <v>2697</v>
      </c>
      <c r="H662">
        <v>2697</v>
      </c>
      <c r="I662" t="s">
        <v>4731</v>
      </c>
      <c r="J662" t="s">
        <v>4732</v>
      </c>
      <c r="K662" t="s">
        <v>4733</v>
      </c>
      <c r="L662" t="s">
        <v>4734</v>
      </c>
      <c r="M662" t="s">
        <v>4735</v>
      </c>
      <c r="N662" t="s">
        <v>4736</v>
      </c>
      <c r="O662" t="s">
        <v>4737</v>
      </c>
      <c r="P662" t="s">
        <v>4738</v>
      </c>
      <c r="R662" s="7">
        <v>38057</v>
      </c>
      <c r="T662" t="s">
        <v>65</v>
      </c>
      <c r="W662" s="15">
        <v>5.0821056000000002</v>
      </c>
      <c r="X662" s="15">
        <v>-75.463380599999994</v>
      </c>
      <c r="AF662" t="s">
        <v>50</v>
      </c>
      <c r="AG662" t="s">
        <v>167</v>
      </c>
      <c r="AH662" t="s">
        <v>168</v>
      </c>
      <c r="AI662" t="s">
        <v>4739</v>
      </c>
      <c r="AJ662">
        <v>711</v>
      </c>
    </row>
    <row r="663" spans="1:36">
      <c r="A663" t="s">
        <v>4131</v>
      </c>
      <c r="B663" t="s">
        <v>4132</v>
      </c>
      <c r="C663" t="s">
        <v>4740</v>
      </c>
      <c r="D663" t="s">
        <v>4741</v>
      </c>
      <c r="E663" t="s">
        <v>4742</v>
      </c>
      <c r="F663">
        <v>2530</v>
      </c>
      <c r="G663">
        <v>2530</v>
      </c>
      <c r="H663">
        <v>2530</v>
      </c>
      <c r="I663" t="s">
        <v>4743</v>
      </c>
      <c r="J663" t="s">
        <v>4744</v>
      </c>
      <c r="K663" t="s">
        <v>4745</v>
      </c>
      <c r="L663" t="s">
        <v>4746</v>
      </c>
      <c r="M663" t="s">
        <v>4747</v>
      </c>
      <c r="N663" t="s">
        <v>1003</v>
      </c>
      <c r="O663" t="s">
        <v>4748</v>
      </c>
      <c r="P663" t="s">
        <v>4749</v>
      </c>
      <c r="R663" s="7">
        <v>38239</v>
      </c>
      <c r="T663" t="s">
        <v>119</v>
      </c>
      <c r="W663" s="15">
        <v>5.1661666999999998</v>
      </c>
      <c r="X663" s="15">
        <v>-75.411305600000006</v>
      </c>
      <c r="AF663" t="s">
        <v>50</v>
      </c>
      <c r="AG663" t="s">
        <v>167</v>
      </c>
      <c r="AH663" t="s">
        <v>238</v>
      </c>
      <c r="AI663" t="s">
        <v>4750</v>
      </c>
      <c r="AJ663">
        <v>712</v>
      </c>
    </row>
    <row r="664" spans="1:36">
      <c r="A664" t="s">
        <v>4131</v>
      </c>
      <c r="B664" t="s">
        <v>4132</v>
      </c>
      <c r="C664" t="s">
        <v>4751</v>
      </c>
      <c r="D664" t="s">
        <v>4752</v>
      </c>
      <c r="E664" t="s">
        <v>4753</v>
      </c>
      <c r="F664" t="s">
        <v>96</v>
      </c>
      <c r="G664">
        <v>1500</v>
      </c>
      <c r="H664">
        <v>1800</v>
      </c>
      <c r="P664" t="s">
        <v>80</v>
      </c>
      <c r="R664" s="7">
        <v>39111</v>
      </c>
      <c r="T664" t="s">
        <v>119</v>
      </c>
      <c r="W664" s="15">
        <v>5.3628900000000002</v>
      </c>
      <c r="X664" s="15">
        <v>-75.680869999999999</v>
      </c>
      <c r="Y664">
        <v>956.60199999999998</v>
      </c>
      <c r="Z664">
        <v>1486</v>
      </c>
      <c r="AA664" t="s">
        <v>1062</v>
      </c>
      <c r="AB664" t="s">
        <v>1063</v>
      </c>
      <c r="AF664" t="s">
        <v>50</v>
      </c>
      <c r="AG664" t="s">
        <v>167</v>
      </c>
      <c r="AH664" t="s">
        <v>1064</v>
      </c>
      <c r="AI664" t="s">
        <v>1065</v>
      </c>
      <c r="AJ664">
        <v>713</v>
      </c>
    </row>
    <row r="665" spans="1:36">
      <c r="A665" t="s">
        <v>4131</v>
      </c>
      <c r="B665" t="s">
        <v>4132</v>
      </c>
      <c r="C665" t="s">
        <v>4754</v>
      </c>
      <c r="D665" t="s">
        <v>1060</v>
      </c>
      <c r="E665" t="s">
        <v>4755</v>
      </c>
      <c r="F665" t="s">
        <v>4756</v>
      </c>
      <c r="G665">
        <v>2500</v>
      </c>
      <c r="H665">
        <v>2800</v>
      </c>
      <c r="I665" t="s">
        <v>4757</v>
      </c>
      <c r="J665" t="s">
        <v>4758</v>
      </c>
      <c r="K665" t="s">
        <v>799</v>
      </c>
      <c r="L665" t="s">
        <v>419</v>
      </c>
      <c r="M665" t="s">
        <v>4759</v>
      </c>
      <c r="N665" t="s">
        <v>4009</v>
      </c>
      <c r="O665" t="s">
        <v>422</v>
      </c>
      <c r="P665" t="s">
        <v>4760</v>
      </c>
      <c r="R665" s="7">
        <v>39526</v>
      </c>
      <c r="W665" s="15">
        <v>5</v>
      </c>
      <c r="X665" s="15">
        <v>-75.5</v>
      </c>
      <c r="AF665" t="s">
        <v>50</v>
      </c>
      <c r="AG665" t="s">
        <v>167</v>
      </c>
      <c r="AH665" t="s">
        <v>993</v>
      </c>
      <c r="AI665" t="s">
        <v>4761</v>
      </c>
      <c r="AJ665">
        <v>714</v>
      </c>
    </row>
    <row r="666" spans="1:36">
      <c r="A666" t="s">
        <v>4131</v>
      </c>
      <c r="B666" t="s">
        <v>4132</v>
      </c>
      <c r="C666" t="s">
        <v>4762</v>
      </c>
      <c r="D666" t="s">
        <v>1060</v>
      </c>
      <c r="E666" t="s">
        <v>4763</v>
      </c>
      <c r="F666">
        <v>2649</v>
      </c>
      <c r="G666">
        <v>2649</v>
      </c>
      <c r="H666">
        <v>2649</v>
      </c>
      <c r="I666" t="s">
        <v>4764</v>
      </c>
      <c r="J666" t="s">
        <v>4765</v>
      </c>
      <c r="K666" t="s">
        <v>4766</v>
      </c>
      <c r="L666" t="s">
        <v>4767</v>
      </c>
      <c r="M666" t="s">
        <v>4768</v>
      </c>
      <c r="N666" t="s">
        <v>4769</v>
      </c>
      <c r="O666" t="s">
        <v>4770</v>
      </c>
      <c r="P666" t="s">
        <v>4771</v>
      </c>
      <c r="R666" s="7">
        <v>40016</v>
      </c>
      <c r="T666" t="s">
        <v>119</v>
      </c>
      <c r="W666" s="15">
        <v>5.2603055999999997</v>
      </c>
      <c r="X666" s="15">
        <v>-75.425388900000002</v>
      </c>
      <c r="AF666" t="s">
        <v>50</v>
      </c>
      <c r="AG666" t="s">
        <v>167</v>
      </c>
      <c r="AH666" t="s">
        <v>4772</v>
      </c>
      <c r="AI666" t="s">
        <v>4773</v>
      </c>
      <c r="AJ666">
        <v>715</v>
      </c>
    </row>
    <row r="667" spans="1:36">
      <c r="A667" t="s">
        <v>4131</v>
      </c>
      <c r="B667" t="s">
        <v>4132</v>
      </c>
      <c r="C667" t="s">
        <v>4774</v>
      </c>
      <c r="D667" t="s">
        <v>1060</v>
      </c>
      <c r="E667" t="s">
        <v>4775</v>
      </c>
      <c r="F667">
        <v>2526</v>
      </c>
      <c r="G667">
        <v>2526</v>
      </c>
      <c r="H667">
        <v>2526</v>
      </c>
      <c r="I667" t="s">
        <v>4776</v>
      </c>
      <c r="J667" t="s">
        <v>1124</v>
      </c>
      <c r="K667" t="s">
        <v>4777</v>
      </c>
      <c r="L667" t="s">
        <v>1125</v>
      </c>
      <c r="M667" t="s">
        <v>1126</v>
      </c>
      <c r="N667" t="s">
        <v>304</v>
      </c>
      <c r="O667" t="s">
        <v>305</v>
      </c>
      <c r="P667" t="s">
        <v>306</v>
      </c>
      <c r="R667" s="7">
        <v>40032</v>
      </c>
      <c r="T667" t="s">
        <v>111</v>
      </c>
      <c r="W667" s="15">
        <v>4.9848806000000003</v>
      </c>
      <c r="X667" s="15">
        <v>-75.451138900000004</v>
      </c>
      <c r="AF667" t="s">
        <v>50</v>
      </c>
      <c r="AG667" t="s">
        <v>167</v>
      </c>
      <c r="AH667" t="s">
        <v>168</v>
      </c>
      <c r="AI667" t="s">
        <v>4778</v>
      </c>
      <c r="AJ667">
        <v>716</v>
      </c>
    </row>
    <row r="668" spans="1:36">
      <c r="A668" t="s">
        <v>4131</v>
      </c>
      <c r="B668" t="s">
        <v>4132</v>
      </c>
      <c r="C668" t="s">
        <v>4779</v>
      </c>
      <c r="D668" t="s">
        <v>1060</v>
      </c>
      <c r="E668" t="s">
        <v>4780</v>
      </c>
      <c r="F668">
        <v>2200</v>
      </c>
      <c r="G668">
        <v>2200</v>
      </c>
      <c r="H668">
        <v>2200</v>
      </c>
      <c r="I668" t="s">
        <v>4781</v>
      </c>
      <c r="J668" t="s">
        <v>4782</v>
      </c>
      <c r="K668" t="s">
        <v>4783</v>
      </c>
      <c r="L668" t="s">
        <v>4784</v>
      </c>
      <c r="M668" t="s">
        <v>4785</v>
      </c>
      <c r="N668" t="s">
        <v>4786</v>
      </c>
      <c r="O668" t="s">
        <v>4787</v>
      </c>
      <c r="P668" t="s">
        <v>4788</v>
      </c>
      <c r="R668" s="7">
        <v>41123</v>
      </c>
      <c r="T668" t="s">
        <v>119</v>
      </c>
      <c r="W668" s="15">
        <v>5.0433583000000004</v>
      </c>
      <c r="X668" s="15">
        <v>-75.483552799999998</v>
      </c>
      <c r="AF668" t="s">
        <v>50</v>
      </c>
      <c r="AG668" t="s">
        <v>167</v>
      </c>
      <c r="AH668" t="s">
        <v>168</v>
      </c>
      <c r="AI668" t="s">
        <v>4789</v>
      </c>
      <c r="AJ668">
        <v>717</v>
      </c>
    </row>
    <row r="669" spans="1:36">
      <c r="A669" t="s">
        <v>4131</v>
      </c>
      <c r="B669" t="s">
        <v>4132</v>
      </c>
      <c r="C669" t="s">
        <v>4790</v>
      </c>
      <c r="D669" t="s">
        <v>4791</v>
      </c>
      <c r="E669" t="s">
        <v>4792</v>
      </c>
      <c r="F669">
        <v>1740</v>
      </c>
      <c r="G669">
        <v>1740</v>
      </c>
      <c r="H669">
        <v>1740</v>
      </c>
      <c r="P669" t="s">
        <v>80</v>
      </c>
      <c r="R669" s="7">
        <v>16216</v>
      </c>
      <c r="W669" s="15">
        <v>2.58873</v>
      </c>
      <c r="X669" s="15">
        <v>-76.640439999999998</v>
      </c>
      <c r="Y669">
        <v>580.51199999999994</v>
      </c>
      <c r="Z669">
        <v>1743</v>
      </c>
      <c r="AB669" t="s">
        <v>4793</v>
      </c>
      <c r="AF669" t="s">
        <v>50</v>
      </c>
      <c r="AG669" t="s">
        <v>283</v>
      </c>
      <c r="AH669" t="s">
        <v>4794</v>
      </c>
      <c r="AI669" t="s">
        <v>4795</v>
      </c>
      <c r="AJ669">
        <v>718</v>
      </c>
    </row>
    <row r="670" spans="1:36">
      <c r="A670" t="s">
        <v>4131</v>
      </c>
      <c r="B670" t="s">
        <v>4132</v>
      </c>
      <c r="C670" t="s">
        <v>4796</v>
      </c>
      <c r="D670" t="s">
        <v>4797</v>
      </c>
      <c r="E670" t="s">
        <v>4798</v>
      </c>
      <c r="F670">
        <v>2050</v>
      </c>
      <c r="G670">
        <v>2050</v>
      </c>
      <c r="H670">
        <v>2050</v>
      </c>
      <c r="P670" t="s">
        <v>80</v>
      </c>
      <c r="R670" s="7">
        <v>16435</v>
      </c>
      <c r="W670" s="15">
        <v>2.36016</v>
      </c>
      <c r="X670" s="15">
        <v>-76.615369999999999</v>
      </c>
      <c r="Y670">
        <v>5003.701</v>
      </c>
      <c r="Z670">
        <v>2098</v>
      </c>
      <c r="AB670" t="s">
        <v>4799</v>
      </c>
      <c r="AF670" t="s">
        <v>50</v>
      </c>
      <c r="AG670" t="s">
        <v>283</v>
      </c>
      <c r="AH670" t="s">
        <v>4800</v>
      </c>
      <c r="AJ670">
        <v>719</v>
      </c>
    </row>
    <row r="671" spans="1:36">
      <c r="A671" t="s">
        <v>4131</v>
      </c>
      <c r="B671" t="s">
        <v>4132</v>
      </c>
      <c r="C671" t="s">
        <v>4801</v>
      </c>
      <c r="D671" t="s">
        <v>4802</v>
      </c>
      <c r="E671" t="s">
        <v>4803</v>
      </c>
      <c r="F671" t="s">
        <v>416</v>
      </c>
      <c r="G671">
        <v>2300</v>
      </c>
      <c r="H671">
        <v>2500</v>
      </c>
      <c r="I671" t="s">
        <v>4804</v>
      </c>
      <c r="J671" t="s">
        <v>4805</v>
      </c>
      <c r="K671" t="s">
        <v>4806</v>
      </c>
      <c r="L671" t="s">
        <v>4807</v>
      </c>
      <c r="M671" t="s">
        <v>4808</v>
      </c>
      <c r="N671" t="s">
        <v>4809</v>
      </c>
      <c r="O671" t="s">
        <v>4810</v>
      </c>
      <c r="P671" t="s">
        <v>4811</v>
      </c>
      <c r="R671" s="7">
        <v>31721</v>
      </c>
      <c r="W671" s="15">
        <v>2.4912299999999998</v>
      </c>
      <c r="X671" s="15">
        <v>-76.972350000000006</v>
      </c>
      <c r="Y671">
        <v>2514.1149999999998</v>
      </c>
      <c r="Z671">
        <v>2712</v>
      </c>
      <c r="AB671" t="s">
        <v>4812</v>
      </c>
      <c r="AF671" t="s">
        <v>50</v>
      </c>
      <c r="AG671" t="s">
        <v>283</v>
      </c>
      <c r="AH671" t="s">
        <v>4813</v>
      </c>
      <c r="AJ671">
        <v>720</v>
      </c>
    </row>
    <row r="672" spans="1:36">
      <c r="A672" t="s">
        <v>4131</v>
      </c>
      <c r="B672" t="s">
        <v>4132</v>
      </c>
      <c r="C672" t="s">
        <v>4814</v>
      </c>
      <c r="D672" t="s">
        <v>4815</v>
      </c>
      <c r="E672" t="s">
        <v>4816</v>
      </c>
      <c r="F672">
        <v>2230</v>
      </c>
      <c r="G672">
        <v>2230</v>
      </c>
      <c r="H672">
        <v>2230</v>
      </c>
      <c r="I672" t="s">
        <v>1555</v>
      </c>
      <c r="J672" t="s">
        <v>1556</v>
      </c>
      <c r="K672" t="s">
        <v>1557</v>
      </c>
      <c r="L672" t="s">
        <v>1558</v>
      </c>
      <c r="M672" t="s">
        <v>1559</v>
      </c>
      <c r="N672" t="s">
        <v>1560</v>
      </c>
      <c r="O672" t="s">
        <v>1561</v>
      </c>
      <c r="P672" t="s">
        <v>1562</v>
      </c>
      <c r="R672" s="7">
        <v>34231</v>
      </c>
      <c r="T672" t="s">
        <v>119</v>
      </c>
      <c r="W672" s="15">
        <v>2.4582082999999999</v>
      </c>
      <c r="X672" s="15">
        <v>-76.808661099999995</v>
      </c>
      <c r="AF672" t="s">
        <v>50</v>
      </c>
      <c r="AG672" t="s">
        <v>283</v>
      </c>
      <c r="AH672" t="s">
        <v>4817</v>
      </c>
      <c r="AI672" t="s">
        <v>4818</v>
      </c>
      <c r="AJ672">
        <v>721</v>
      </c>
    </row>
    <row r="673" spans="1:36">
      <c r="A673" t="s">
        <v>4131</v>
      </c>
      <c r="B673" t="s">
        <v>4132</v>
      </c>
      <c r="C673" t="s">
        <v>4819</v>
      </c>
      <c r="D673" t="s">
        <v>4820</v>
      </c>
      <c r="E673" t="s">
        <v>4821</v>
      </c>
      <c r="F673">
        <v>2600</v>
      </c>
      <c r="G673">
        <v>2600</v>
      </c>
      <c r="H673">
        <v>2600</v>
      </c>
      <c r="I673" t="s">
        <v>4822</v>
      </c>
      <c r="J673" t="s">
        <v>4823</v>
      </c>
      <c r="K673" t="s">
        <v>4824</v>
      </c>
      <c r="L673" t="s">
        <v>4825</v>
      </c>
      <c r="M673" t="s">
        <v>4826</v>
      </c>
      <c r="N673" t="s">
        <v>4827</v>
      </c>
      <c r="O673" t="s">
        <v>4828</v>
      </c>
      <c r="P673" t="s">
        <v>4829</v>
      </c>
      <c r="R673" s="7">
        <v>34551</v>
      </c>
      <c r="W673" s="15">
        <v>2.2559333000000001</v>
      </c>
      <c r="X673" s="15">
        <v>-77.248416700000007</v>
      </c>
      <c r="AF673" t="s">
        <v>50</v>
      </c>
      <c r="AG673" t="s">
        <v>283</v>
      </c>
      <c r="AH673" t="s">
        <v>146</v>
      </c>
      <c r="AI673" t="s">
        <v>4830</v>
      </c>
      <c r="AJ673">
        <v>722</v>
      </c>
    </row>
    <row r="674" spans="1:36">
      <c r="A674" t="s">
        <v>4131</v>
      </c>
      <c r="B674" t="s">
        <v>4132</v>
      </c>
      <c r="C674" t="s">
        <v>4831</v>
      </c>
      <c r="D674" t="s">
        <v>4832</v>
      </c>
      <c r="E674" t="s">
        <v>4833</v>
      </c>
      <c r="F674">
        <v>1900</v>
      </c>
      <c r="G674">
        <v>1900</v>
      </c>
      <c r="H674">
        <v>1900</v>
      </c>
      <c r="I674" t="s">
        <v>4834</v>
      </c>
      <c r="J674" t="s">
        <v>4835</v>
      </c>
      <c r="K674" t="s">
        <v>4836</v>
      </c>
      <c r="L674" t="s">
        <v>4837</v>
      </c>
      <c r="M674" t="s">
        <v>4838</v>
      </c>
      <c r="N674" t="s">
        <v>4839</v>
      </c>
      <c r="O674" t="s">
        <v>4840</v>
      </c>
      <c r="P674" t="s">
        <v>4841</v>
      </c>
      <c r="R674" s="7">
        <v>36008</v>
      </c>
      <c r="T674" t="s">
        <v>119</v>
      </c>
      <c r="W674" s="15">
        <v>2.9580555999999998</v>
      </c>
      <c r="X674" s="15">
        <v>-76.271388900000005</v>
      </c>
      <c r="AF674" t="s">
        <v>50</v>
      </c>
      <c r="AG674" t="s">
        <v>283</v>
      </c>
      <c r="AH674" t="s">
        <v>4842</v>
      </c>
      <c r="AJ674">
        <v>723</v>
      </c>
    </row>
    <row r="675" spans="1:36">
      <c r="A675" t="s">
        <v>4131</v>
      </c>
      <c r="B675" t="s">
        <v>4132</v>
      </c>
      <c r="C675" t="s">
        <v>4843</v>
      </c>
      <c r="D675" t="s">
        <v>4844</v>
      </c>
      <c r="E675" t="s">
        <v>4845</v>
      </c>
      <c r="F675">
        <v>2425</v>
      </c>
      <c r="G675">
        <v>2425</v>
      </c>
      <c r="H675">
        <v>2425</v>
      </c>
      <c r="P675" t="s">
        <v>80</v>
      </c>
      <c r="R675" s="7">
        <v>36123</v>
      </c>
      <c r="W675" s="15">
        <v>2.46374</v>
      </c>
      <c r="X675" s="15">
        <v>-76.006590000000003</v>
      </c>
      <c r="Y675">
        <v>2936.3879999999999</v>
      </c>
      <c r="Z675">
        <v>1660</v>
      </c>
      <c r="AB675" t="s">
        <v>4846</v>
      </c>
      <c r="AF675" t="s">
        <v>50</v>
      </c>
      <c r="AG675" t="s">
        <v>283</v>
      </c>
      <c r="AH675" t="s">
        <v>4847</v>
      </c>
      <c r="AI675" t="s">
        <v>4848</v>
      </c>
      <c r="AJ675">
        <v>724</v>
      </c>
    </row>
    <row r="676" spans="1:36">
      <c r="A676" t="s">
        <v>4131</v>
      </c>
      <c r="B676" t="s">
        <v>4132</v>
      </c>
      <c r="C676" t="s">
        <v>4849</v>
      </c>
      <c r="D676" t="s">
        <v>4850</v>
      </c>
      <c r="E676" t="s">
        <v>4851</v>
      </c>
      <c r="F676">
        <v>2710</v>
      </c>
      <c r="G676">
        <v>2710</v>
      </c>
      <c r="H676">
        <v>2710</v>
      </c>
      <c r="I676" t="s">
        <v>4852</v>
      </c>
      <c r="J676" t="s">
        <v>4853</v>
      </c>
      <c r="K676" t="s">
        <v>4854</v>
      </c>
      <c r="L676" t="s">
        <v>4855</v>
      </c>
      <c r="M676" t="s">
        <v>4856</v>
      </c>
      <c r="N676" t="s">
        <v>4857</v>
      </c>
      <c r="O676" t="s">
        <v>4858</v>
      </c>
      <c r="P676" t="s">
        <v>4859</v>
      </c>
      <c r="R676" s="7">
        <v>36324</v>
      </c>
      <c r="T676" t="s">
        <v>119</v>
      </c>
      <c r="W676" s="15">
        <v>2.3853333000000001</v>
      </c>
      <c r="X676" s="15">
        <v>-76.441666699999999</v>
      </c>
      <c r="AF676" t="s">
        <v>50</v>
      </c>
      <c r="AG676" t="s">
        <v>283</v>
      </c>
      <c r="AH676" t="s">
        <v>1864</v>
      </c>
      <c r="AI676" t="s">
        <v>4860</v>
      </c>
      <c r="AJ676">
        <v>725</v>
      </c>
    </row>
    <row r="677" spans="1:36">
      <c r="A677" t="s">
        <v>4131</v>
      </c>
      <c r="B677" t="s">
        <v>4132</v>
      </c>
      <c r="C677" t="s">
        <v>4861</v>
      </c>
      <c r="D677" t="s">
        <v>4862</v>
      </c>
      <c r="E677" t="s">
        <v>4863</v>
      </c>
      <c r="F677">
        <v>2100</v>
      </c>
      <c r="G677">
        <v>2100</v>
      </c>
      <c r="H677">
        <v>2100</v>
      </c>
      <c r="I677" t="s">
        <v>1555</v>
      </c>
      <c r="J677" t="s">
        <v>1556</v>
      </c>
      <c r="K677" t="s">
        <v>1557</v>
      </c>
      <c r="L677" t="s">
        <v>1558</v>
      </c>
      <c r="M677" t="s">
        <v>1559</v>
      </c>
      <c r="N677" t="s">
        <v>1560</v>
      </c>
      <c r="O677" t="s">
        <v>1561</v>
      </c>
      <c r="P677" t="s">
        <v>1562</v>
      </c>
      <c r="R677" s="7">
        <v>36796</v>
      </c>
      <c r="T677" t="s">
        <v>119</v>
      </c>
      <c r="W677" s="15">
        <v>2.4582082999999999</v>
      </c>
      <c r="X677" s="15">
        <v>-76.808661099999995</v>
      </c>
      <c r="AF677" t="s">
        <v>50</v>
      </c>
      <c r="AG677" t="s">
        <v>283</v>
      </c>
      <c r="AH677" t="s">
        <v>4817</v>
      </c>
      <c r="AI677" t="s">
        <v>4864</v>
      </c>
      <c r="AJ677">
        <v>726</v>
      </c>
    </row>
    <row r="678" spans="1:36">
      <c r="A678" t="s">
        <v>4131</v>
      </c>
      <c r="B678" t="s">
        <v>4132</v>
      </c>
      <c r="C678" t="s">
        <v>4865</v>
      </c>
      <c r="D678" t="s">
        <v>4866</v>
      </c>
      <c r="E678" t="s">
        <v>4867</v>
      </c>
      <c r="F678">
        <v>2980</v>
      </c>
      <c r="G678">
        <v>2980</v>
      </c>
      <c r="H678">
        <v>2980</v>
      </c>
      <c r="I678" t="s">
        <v>4868</v>
      </c>
      <c r="J678" t="s">
        <v>4869</v>
      </c>
      <c r="K678" t="s">
        <v>4870</v>
      </c>
      <c r="L678" t="s">
        <v>4871</v>
      </c>
      <c r="M678" t="s">
        <v>4872</v>
      </c>
      <c r="N678" t="s">
        <v>4873</v>
      </c>
      <c r="O678" t="s">
        <v>4874</v>
      </c>
      <c r="P678" t="s">
        <v>4875</v>
      </c>
      <c r="R678" s="7">
        <v>37391</v>
      </c>
      <c r="T678" t="s">
        <v>119</v>
      </c>
      <c r="W678" s="15">
        <v>2.4373889000000002</v>
      </c>
      <c r="X678" s="15">
        <v>-76.430472199999997</v>
      </c>
      <c r="AF678" t="s">
        <v>50</v>
      </c>
      <c r="AG678" t="s">
        <v>283</v>
      </c>
      <c r="AH678" t="s">
        <v>703</v>
      </c>
      <c r="AI678" t="s">
        <v>4876</v>
      </c>
      <c r="AJ678">
        <v>727</v>
      </c>
    </row>
    <row r="679" spans="1:36">
      <c r="A679" t="s">
        <v>4131</v>
      </c>
      <c r="B679" t="s">
        <v>4132</v>
      </c>
      <c r="C679" t="s">
        <v>4877</v>
      </c>
      <c r="D679" t="s">
        <v>4878</v>
      </c>
      <c r="E679" t="s">
        <v>4879</v>
      </c>
      <c r="F679" t="s">
        <v>4880</v>
      </c>
      <c r="G679">
        <v>2650</v>
      </c>
      <c r="H679">
        <v>3044</v>
      </c>
      <c r="I679" t="s">
        <v>4868</v>
      </c>
      <c r="J679" t="s">
        <v>4869</v>
      </c>
      <c r="K679" t="s">
        <v>4870</v>
      </c>
      <c r="L679" t="s">
        <v>4871</v>
      </c>
      <c r="M679" t="s">
        <v>4872</v>
      </c>
      <c r="N679" t="s">
        <v>4873</v>
      </c>
      <c r="O679" t="s">
        <v>4874</v>
      </c>
      <c r="P679" t="s">
        <v>4875</v>
      </c>
      <c r="R679" s="7">
        <v>37703</v>
      </c>
      <c r="T679" t="s">
        <v>119</v>
      </c>
      <c r="W679" s="15">
        <v>2.4373889000000002</v>
      </c>
      <c r="X679" s="15">
        <v>-76.430472199999997</v>
      </c>
      <c r="AF679" t="s">
        <v>50</v>
      </c>
      <c r="AG679" t="s">
        <v>283</v>
      </c>
      <c r="AH679" t="s">
        <v>703</v>
      </c>
      <c r="AI679" t="s">
        <v>4881</v>
      </c>
      <c r="AJ679">
        <v>728</v>
      </c>
    </row>
    <row r="680" spans="1:36">
      <c r="A680" t="s">
        <v>4131</v>
      </c>
      <c r="B680" t="s">
        <v>4132</v>
      </c>
      <c r="C680" t="s">
        <v>4882</v>
      </c>
      <c r="D680" t="s">
        <v>4883</v>
      </c>
      <c r="E680" t="s">
        <v>4884</v>
      </c>
      <c r="F680" t="s">
        <v>1913</v>
      </c>
      <c r="G680">
        <v>2500</v>
      </c>
      <c r="H680">
        <v>3000</v>
      </c>
      <c r="I680" t="s">
        <v>1914</v>
      </c>
      <c r="J680" t="s">
        <v>1915</v>
      </c>
      <c r="K680" t="s">
        <v>1916</v>
      </c>
      <c r="L680" t="s">
        <v>1917</v>
      </c>
      <c r="M680" t="s">
        <v>1918</v>
      </c>
      <c r="N680" t="s">
        <v>1919</v>
      </c>
      <c r="O680" t="s">
        <v>1920</v>
      </c>
      <c r="P680" t="s">
        <v>1921</v>
      </c>
      <c r="R680" s="7">
        <v>37865</v>
      </c>
      <c r="T680" t="s">
        <v>119</v>
      </c>
      <c r="W680" s="15">
        <v>1.7598611</v>
      </c>
      <c r="X680" s="15">
        <v>-76.905833299999998</v>
      </c>
      <c r="AF680" t="s">
        <v>50</v>
      </c>
      <c r="AG680" t="s">
        <v>283</v>
      </c>
      <c r="AH680" t="s">
        <v>1922</v>
      </c>
      <c r="AI680" t="s">
        <v>4885</v>
      </c>
      <c r="AJ680">
        <v>729</v>
      </c>
    </row>
    <row r="681" spans="1:36">
      <c r="A681" t="s">
        <v>4131</v>
      </c>
      <c r="B681" t="s">
        <v>4132</v>
      </c>
      <c r="C681" t="s">
        <v>4886</v>
      </c>
      <c r="D681" t="s">
        <v>4887</v>
      </c>
      <c r="E681" t="s">
        <v>4888</v>
      </c>
      <c r="F681" t="s">
        <v>1445</v>
      </c>
      <c r="G681">
        <v>2700</v>
      </c>
      <c r="H681">
        <v>2800</v>
      </c>
      <c r="I681" t="s">
        <v>4889</v>
      </c>
      <c r="J681" t="s">
        <v>4890</v>
      </c>
      <c r="K681" t="s">
        <v>4891</v>
      </c>
      <c r="L681" t="s">
        <v>4892</v>
      </c>
      <c r="M681" t="s">
        <v>4893</v>
      </c>
      <c r="N681" t="s">
        <v>4894</v>
      </c>
      <c r="O681" t="s">
        <v>4895</v>
      </c>
      <c r="P681" t="s">
        <v>4896</v>
      </c>
      <c r="R681" s="7">
        <v>37882</v>
      </c>
      <c r="T681" t="s">
        <v>119</v>
      </c>
      <c r="W681" s="15">
        <v>2.5499999999999998</v>
      </c>
      <c r="X681" s="15">
        <v>-76.066666699999999</v>
      </c>
      <c r="AF681" t="s">
        <v>50</v>
      </c>
      <c r="AG681" t="s">
        <v>283</v>
      </c>
      <c r="AH681" t="s">
        <v>4847</v>
      </c>
      <c r="AI681" t="s">
        <v>4897</v>
      </c>
      <c r="AJ681">
        <v>730</v>
      </c>
    </row>
    <row r="682" spans="1:36">
      <c r="A682" t="s">
        <v>4131</v>
      </c>
      <c r="B682" t="s">
        <v>4132</v>
      </c>
      <c r="C682" t="s">
        <v>4898</v>
      </c>
      <c r="D682" t="s">
        <v>4899</v>
      </c>
      <c r="E682" t="s">
        <v>4900</v>
      </c>
      <c r="F682">
        <v>2100</v>
      </c>
      <c r="G682">
        <v>2100</v>
      </c>
      <c r="H682">
        <v>2100</v>
      </c>
      <c r="P682" t="s">
        <v>80</v>
      </c>
      <c r="R682" s="7">
        <v>28000</v>
      </c>
      <c r="T682" t="s">
        <v>111</v>
      </c>
      <c r="W682" s="15">
        <v>4.8353799999999998</v>
      </c>
      <c r="X682" s="15">
        <v>-76.189430000000002</v>
      </c>
      <c r="Y682">
        <v>157.548</v>
      </c>
      <c r="Z682">
        <v>1896</v>
      </c>
      <c r="AB682" t="s">
        <v>4901</v>
      </c>
      <c r="AF682" t="s">
        <v>50</v>
      </c>
      <c r="AG682" t="s">
        <v>374</v>
      </c>
      <c r="AH682" t="s">
        <v>4902</v>
      </c>
      <c r="AI682" t="s">
        <v>4903</v>
      </c>
      <c r="AJ682">
        <v>731</v>
      </c>
    </row>
    <row r="683" spans="1:36">
      <c r="A683" t="s">
        <v>4131</v>
      </c>
      <c r="B683" t="s">
        <v>4132</v>
      </c>
      <c r="C683" t="s">
        <v>4904</v>
      </c>
      <c r="D683" t="s">
        <v>4905</v>
      </c>
      <c r="E683" t="s">
        <v>4906</v>
      </c>
      <c r="F683">
        <v>1950</v>
      </c>
      <c r="G683">
        <v>1950</v>
      </c>
      <c r="H683">
        <v>1950</v>
      </c>
      <c r="P683" t="s">
        <v>80</v>
      </c>
      <c r="R683" s="7">
        <v>30335</v>
      </c>
      <c r="T683" t="s">
        <v>119</v>
      </c>
      <c r="W683" s="15">
        <v>4.8820100000000002</v>
      </c>
      <c r="X683" s="15">
        <v>-76.182869999999994</v>
      </c>
      <c r="Y683">
        <v>2042.473</v>
      </c>
      <c r="Z683">
        <v>1539</v>
      </c>
      <c r="AB683" t="s">
        <v>4907</v>
      </c>
      <c r="AF683" t="s">
        <v>50</v>
      </c>
      <c r="AG683" t="s">
        <v>374</v>
      </c>
      <c r="AH683" t="s">
        <v>1447</v>
      </c>
      <c r="AI683" t="s">
        <v>4908</v>
      </c>
      <c r="AJ683">
        <v>732</v>
      </c>
    </row>
    <row r="684" spans="1:36">
      <c r="A684" t="s">
        <v>4131</v>
      </c>
      <c r="B684" t="s">
        <v>4132</v>
      </c>
      <c r="C684" t="s">
        <v>4909</v>
      </c>
      <c r="D684" t="s">
        <v>4910</v>
      </c>
      <c r="E684" t="s">
        <v>4911</v>
      </c>
      <c r="F684">
        <v>2700</v>
      </c>
      <c r="G684">
        <v>2700</v>
      </c>
      <c r="H684">
        <v>2700</v>
      </c>
      <c r="P684" t="s">
        <v>80</v>
      </c>
      <c r="R684" s="7">
        <v>22384</v>
      </c>
      <c r="T684" t="s">
        <v>119</v>
      </c>
      <c r="W684" s="15">
        <v>4.8595100000000002</v>
      </c>
      <c r="X684" s="15">
        <v>-74.422460000000001</v>
      </c>
      <c r="Y684">
        <v>1645.644</v>
      </c>
      <c r="Z684">
        <v>2623</v>
      </c>
      <c r="AA684" t="s">
        <v>4912</v>
      </c>
      <c r="AB684" t="s">
        <v>4913</v>
      </c>
      <c r="AF684" t="s">
        <v>50</v>
      </c>
      <c r="AG684" t="s">
        <v>98</v>
      </c>
      <c r="AH684" t="s">
        <v>2050</v>
      </c>
      <c r="AI684" t="s">
        <v>4914</v>
      </c>
      <c r="AJ684">
        <v>733</v>
      </c>
    </row>
    <row r="685" spans="1:36">
      <c r="A685" t="s">
        <v>4131</v>
      </c>
      <c r="B685" t="s">
        <v>4132</v>
      </c>
      <c r="C685" t="s">
        <v>4915</v>
      </c>
      <c r="D685" t="s">
        <v>4916</v>
      </c>
      <c r="E685" t="s">
        <v>4917</v>
      </c>
      <c r="P685" t="s">
        <v>80</v>
      </c>
      <c r="R685" s="7">
        <v>27040</v>
      </c>
      <c r="T685" t="s">
        <v>65</v>
      </c>
      <c r="W685" s="15">
        <v>4.9428000000000001</v>
      </c>
      <c r="X685" s="15">
        <v>-74.414770000000004</v>
      </c>
      <c r="Y685">
        <v>1700.413</v>
      </c>
      <c r="Z685">
        <v>1433</v>
      </c>
      <c r="AB685" t="s">
        <v>4918</v>
      </c>
      <c r="AF685" t="s">
        <v>50</v>
      </c>
      <c r="AG685" t="s">
        <v>98</v>
      </c>
      <c r="AH685" t="s">
        <v>1596</v>
      </c>
      <c r="AI685" t="s">
        <v>4919</v>
      </c>
      <c r="AJ685">
        <v>734</v>
      </c>
    </row>
    <row r="686" spans="1:36">
      <c r="A686" t="s">
        <v>4131</v>
      </c>
      <c r="B686" t="s">
        <v>4132</v>
      </c>
      <c r="C686" t="s">
        <v>4920</v>
      </c>
      <c r="D686" t="s">
        <v>4921</v>
      </c>
      <c r="E686" t="s">
        <v>4922</v>
      </c>
      <c r="F686">
        <v>2700</v>
      </c>
      <c r="G686">
        <v>2700</v>
      </c>
      <c r="H686">
        <v>2700</v>
      </c>
      <c r="P686" t="s">
        <v>80</v>
      </c>
      <c r="R686" s="7">
        <v>27051</v>
      </c>
      <c r="W686" s="15">
        <v>4.8465199999999999</v>
      </c>
      <c r="X686" s="15">
        <v>-73.796239999999997</v>
      </c>
      <c r="Y686">
        <v>2272.5300000000002</v>
      </c>
      <c r="Z686">
        <v>3312</v>
      </c>
      <c r="AA686" t="s">
        <v>2870</v>
      </c>
      <c r="AB686" t="s">
        <v>2871</v>
      </c>
      <c r="AF686" t="s">
        <v>50</v>
      </c>
      <c r="AG686" t="s">
        <v>98</v>
      </c>
      <c r="AH686" t="s">
        <v>4923</v>
      </c>
      <c r="AI686" t="s">
        <v>4924</v>
      </c>
      <c r="AJ686">
        <v>735</v>
      </c>
    </row>
    <row r="687" spans="1:36">
      <c r="A687" t="s">
        <v>4131</v>
      </c>
      <c r="B687" t="s">
        <v>4132</v>
      </c>
      <c r="C687" t="s">
        <v>4925</v>
      </c>
      <c r="D687" t="s">
        <v>4926</v>
      </c>
      <c r="E687" t="s">
        <v>4927</v>
      </c>
      <c r="F687">
        <v>2700</v>
      </c>
      <c r="G687">
        <v>2700</v>
      </c>
      <c r="H687">
        <v>2700</v>
      </c>
      <c r="P687" t="s">
        <v>80</v>
      </c>
      <c r="R687" s="7">
        <v>27188</v>
      </c>
      <c r="W687" s="15">
        <v>4.67415</v>
      </c>
      <c r="X687" s="15">
        <v>-74.038439999999994</v>
      </c>
      <c r="Y687">
        <v>1868.684</v>
      </c>
      <c r="Z687">
        <v>2781</v>
      </c>
      <c r="AB687" t="s">
        <v>4928</v>
      </c>
      <c r="AF687" t="s">
        <v>50</v>
      </c>
      <c r="AG687" t="s">
        <v>98</v>
      </c>
      <c r="AH687" t="s">
        <v>4929</v>
      </c>
      <c r="AI687" t="s">
        <v>4930</v>
      </c>
      <c r="AJ687">
        <v>736</v>
      </c>
    </row>
    <row r="688" spans="1:36">
      <c r="A688" t="s">
        <v>4131</v>
      </c>
      <c r="B688" t="s">
        <v>4132</v>
      </c>
      <c r="C688" t="s">
        <v>4931</v>
      </c>
      <c r="D688" t="s">
        <v>4932</v>
      </c>
      <c r="E688" t="s">
        <v>4933</v>
      </c>
      <c r="F688">
        <v>2300</v>
      </c>
      <c r="G688">
        <v>2300</v>
      </c>
      <c r="H688">
        <v>2300</v>
      </c>
      <c r="P688" t="s">
        <v>80</v>
      </c>
      <c r="R688" s="7">
        <v>29792</v>
      </c>
      <c r="T688" t="s">
        <v>119</v>
      </c>
      <c r="W688" s="15">
        <v>4.1100399999999997</v>
      </c>
      <c r="X688" s="15">
        <v>-74.435469999999995</v>
      </c>
      <c r="Y688">
        <v>1182.8</v>
      </c>
      <c r="Z688">
        <v>2191</v>
      </c>
      <c r="AB688" t="s">
        <v>4934</v>
      </c>
      <c r="AF688" t="s">
        <v>50</v>
      </c>
      <c r="AG688" t="s">
        <v>98</v>
      </c>
      <c r="AH688" t="s">
        <v>4935</v>
      </c>
      <c r="AI688" t="s">
        <v>4936</v>
      </c>
      <c r="AJ688">
        <v>737</v>
      </c>
    </row>
    <row r="689" spans="1:36">
      <c r="A689" t="s">
        <v>4131</v>
      </c>
      <c r="B689" t="s">
        <v>4132</v>
      </c>
      <c r="C689" t="s">
        <v>4937</v>
      </c>
      <c r="D689" t="s">
        <v>4938</v>
      </c>
      <c r="E689" t="s">
        <v>4939</v>
      </c>
      <c r="F689" t="s">
        <v>2224</v>
      </c>
      <c r="G689">
        <v>2000</v>
      </c>
      <c r="H689">
        <v>2200</v>
      </c>
      <c r="P689" t="s">
        <v>80</v>
      </c>
      <c r="R689" s="7">
        <v>32336</v>
      </c>
      <c r="T689" t="s">
        <v>119</v>
      </c>
      <c r="W689" s="15">
        <v>3.9637699999999998</v>
      </c>
      <c r="X689" s="15">
        <v>-74.498040000000003</v>
      </c>
      <c r="Y689">
        <v>3902.8119999999999</v>
      </c>
      <c r="Z689">
        <v>2347</v>
      </c>
      <c r="AB689" t="s">
        <v>4940</v>
      </c>
      <c r="AF689" t="s">
        <v>50</v>
      </c>
      <c r="AG689" t="s">
        <v>98</v>
      </c>
      <c r="AH689" t="s">
        <v>4941</v>
      </c>
      <c r="AI689" t="s">
        <v>4942</v>
      </c>
      <c r="AJ689">
        <v>738</v>
      </c>
    </row>
    <row r="690" spans="1:36">
      <c r="A690" t="s">
        <v>4131</v>
      </c>
      <c r="B690" t="s">
        <v>4132</v>
      </c>
      <c r="C690" t="s">
        <v>4943</v>
      </c>
      <c r="D690" t="s">
        <v>4944</v>
      </c>
      <c r="E690" t="s">
        <v>4945</v>
      </c>
      <c r="F690">
        <v>2960</v>
      </c>
      <c r="G690">
        <v>2960</v>
      </c>
      <c r="H690">
        <v>2960</v>
      </c>
      <c r="P690" t="s">
        <v>80</v>
      </c>
      <c r="R690" s="7">
        <v>36102</v>
      </c>
      <c r="T690" t="s">
        <v>119</v>
      </c>
      <c r="W690" s="15">
        <v>4.9978899999999999</v>
      </c>
      <c r="X690" s="15">
        <v>-74.149029999999996</v>
      </c>
      <c r="Y690">
        <v>231.68299999999999</v>
      </c>
      <c r="Z690">
        <v>2801</v>
      </c>
      <c r="AB690" t="s">
        <v>4946</v>
      </c>
      <c r="AF690" t="s">
        <v>50</v>
      </c>
      <c r="AG690" t="s">
        <v>98</v>
      </c>
      <c r="AH690" t="s">
        <v>4947</v>
      </c>
      <c r="AI690" t="s">
        <v>4948</v>
      </c>
      <c r="AJ690">
        <v>739</v>
      </c>
    </row>
    <row r="691" spans="1:36">
      <c r="A691" t="s">
        <v>4131</v>
      </c>
      <c r="B691" t="s">
        <v>4132</v>
      </c>
      <c r="C691" t="s">
        <v>4949</v>
      </c>
      <c r="D691" t="s">
        <v>4950</v>
      </c>
      <c r="E691" t="s">
        <v>4951</v>
      </c>
      <c r="F691" t="s">
        <v>2900</v>
      </c>
      <c r="G691">
        <v>1200</v>
      </c>
      <c r="H691">
        <v>1300</v>
      </c>
      <c r="P691" t="s">
        <v>80</v>
      </c>
      <c r="R691" s="7">
        <v>27589</v>
      </c>
      <c r="T691" t="s">
        <v>119</v>
      </c>
      <c r="W691" s="15">
        <v>2.2192799999999999</v>
      </c>
      <c r="X691" s="15">
        <v>-76.114530000000002</v>
      </c>
      <c r="Y691">
        <v>2876.982</v>
      </c>
      <c r="Z691">
        <v>2175</v>
      </c>
      <c r="AA691" t="s">
        <v>2901</v>
      </c>
      <c r="AB691" t="s">
        <v>2902</v>
      </c>
      <c r="AF691" t="s">
        <v>50</v>
      </c>
      <c r="AG691" t="s">
        <v>51</v>
      </c>
      <c r="AH691" t="s">
        <v>2903</v>
      </c>
      <c r="AI691" t="s">
        <v>4952</v>
      </c>
      <c r="AJ691">
        <v>741</v>
      </c>
    </row>
    <row r="692" spans="1:36">
      <c r="A692" t="s">
        <v>4131</v>
      </c>
      <c r="B692" t="s">
        <v>4132</v>
      </c>
      <c r="C692" t="s">
        <v>4953</v>
      </c>
      <c r="D692" t="s">
        <v>4954</v>
      </c>
      <c r="E692" t="s">
        <v>4955</v>
      </c>
      <c r="I692" t="s">
        <v>4956</v>
      </c>
      <c r="J692" t="s">
        <v>4957</v>
      </c>
      <c r="K692" t="s">
        <v>4958</v>
      </c>
      <c r="L692" t="s">
        <v>4959</v>
      </c>
      <c r="M692" t="s">
        <v>4960</v>
      </c>
      <c r="N692" t="s">
        <v>4961</v>
      </c>
      <c r="O692" t="s">
        <v>4962</v>
      </c>
      <c r="P692" t="s">
        <v>4963</v>
      </c>
      <c r="R692" s="7">
        <v>29063</v>
      </c>
      <c r="T692" t="s">
        <v>119</v>
      </c>
      <c r="W692" s="15">
        <v>2.3971694000000001</v>
      </c>
      <c r="X692" s="15">
        <v>-75.893180599999994</v>
      </c>
      <c r="AF692" t="s">
        <v>50</v>
      </c>
      <c r="AG692" t="s">
        <v>51</v>
      </c>
      <c r="AH692" t="s">
        <v>4964</v>
      </c>
      <c r="AJ692">
        <v>742</v>
      </c>
    </row>
    <row r="693" spans="1:36">
      <c r="A693" t="s">
        <v>4131</v>
      </c>
      <c r="B693" t="s">
        <v>4132</v>
      </c>
      <c r="C693" t="s">
        <v>4965</v>
      </c>
      <c r="D693" t="s">
        <v>4966</v>
      </c>
      <c r="E693" t="s">
        <v>4967</v>
      </c>
      <c r="F693">
        <v>1300</v>
      </c>
      <c r="G693">
        <v>1300</v>
      </c>
      <c r="H693">
        <v>1300</v>
      </c>
      <c r="P693" t="s">
        <v>80</v>
      </c>
      <c r="R693" s="7">
        <v>30410</v>
      </c>
      <c r="T693" t="s">
        <v>119</v>
      </c>
      <c r="W693" s="15">
        <v>1.7472300000000001</v>
      </c>
      <c r="X693" s="15">
        <v>-75.983379999999997</v>
      </c>
      <c r="Y693">
        <v>6145.1369999999997</v>
      </c>
      <c r="Z693">
        <v>1439</v>
      </c>
      <c r="AB693" t="s">
        <v>4968</v>
      </c>
      <c r="AF693" t="s">
        <v>50</v>
      </c>
      <c r="AG693" t="s">
        <v>51</v>
      </c>
      <c r="AH693" t="s">
        <v>1330</v>
      </c>
      <c r="AI693" t="s">
        <v>4969</v>
      </c>
      <c r="AJ693">
        <v>743</v>
      </c>
    </row>
    <row r="694" spans="1:36">
      <c r="A694" t="s">
        <v>4131</v>
      </c>
      <c r="B694" t="s">
        <v>4132</v>
      </c>
      <c r="C694" t="s">
        <v>4970</v>
      </c>
      <c r="D694" t="s">
        <v>4971</v>
      </c>
      <c r="E694" t="s">
        <v>4972</v>
      </c>
      <c r="F694" t="s">
        <v>4973</v>
      </c>
      <c r="G694">
        <v>2100</v>
      </c>
      <c r="H694">
        <v>2320</v>
      </c>
      <c r="P694" t="s">
        <v>80</v>
      </c>
      <c r="R694" s="7">
        <v>30953</v>
      </c>
      <c r="W694" s="15">
        <v>2.2186300000000001</v>
      </c>
      <c r="X694" s="15">
        <v>-75.934240000000003</v>
      </c>
      <c r="Y694">
        <v>1015.408</v>
      </c>
      <c r="Z694">
        <v>2035</v>
      </c>
      <c r="AA694" t="s">
        <v>4974</v>
      </c>
      <c r="AB694" t="s">
        <v>4975</v>
      </c>
      <c r="AF694" t="s">
        <v>50</v>
      </c>
      <c r="AG694" t="s">
        <v>51</v>
      </c>
      <c r="AH694" t="s">
        <v>263</v>
      </c>
      <c r="AI694" t="s">
        <v>4976</v>
      </c>
      <c r="AJ694">
        <v>744</v>
      </c>
    </row>
    <row r="695" spans="1:36">
      <c r="A695" t="s">
        <v>4131</v>
      </c>
      <c r="B695" t="s">
        <v>4132</v>
      </c>
      <c r="C695" t="s">
        <v>4977</v>
      </c>
      <c r="D695" t="s">
        <v>4978</v>
      </c>
      <c r="E695" t="s">
        <v>4951</v>
      </c>
      <c r="F695">
        <v>2300</v>
      </c>
      <c r="G695">
        <v>2300</v>
      </c>
      <c r="H695">
        <v>2300</v>
      </c>
      <c r="P695" t="s">
        <v>80</v>
      </c>
      <c r="R695" s="7">
        <v>30955</v>
      </c>
      <c r="T695" t="s">
        <v>119</v>
      </c>
      <c r="W695" s="15">
        <v>2.2192799999999999</v>
      </c>
      <c r="X695" s="15">
        <v>-76.114530000000002</v>
      </c>
      <c r="Y695">
        <v>2876.982</v>
      </c>
      <c r="Z695">
        <v>2175</v>
      </c>
      <c r="AA695" t="s">
        <v>2901</v>
      </c>
      <c r="AB695" t="s">
        <v>2902</v>
      </c>
      <c r="AF695" t="s">
        <v>50</v>
      </c>
      <c r="AG695" t="s">
        <v>51</v>
      </c>
      <c r="AH695" t="s">
        <v>2903</v>
      </c>
      <c r="AI695" t="s">
        <v>4952</v>
      </c>
      <c r="AJ695">
        <v>745</v>
      </c>
    </row>
    <row r="696" spans="1:36">
      <c r="A696" t="s">
        <v>4131</v>
      </c>
      <c r="B696" t="s">
        <v>4132</v>
      </c>
      <c r="C696" t="s">
        <v>4979</v>
      </c>
      <c r="D696" t="s">
        <v>4980</v>
      </c>
      <c r="E696" t="s">
        <v>4981</v>
      </c>
      <c r="F696">
        <v>1800</v>
      </c>
      <c r="G696">
        <v>1800</v>
      </c>
      <c r="H696">
        <v>1800</v>
      </c>
      <c r="I696" t="s">
        <v>41</v>
      </c>
      <c r="J696" t="s">
        <v>42</v>
      </c>
      <c r="K696" t="s">
        <v>43</v>
      </c>
      <c r="L696" t="s">
        <v>44</v>
      </c>
      <c r="M696" t="s">
        <v>45</v>
      </c>
      <c r="N696" t="s">
        <v>46</v>
      </c>
      <c r="O696" t="s">
        <v>47</v>
      </c>
      <c r="P696" t="s">
        <v>48</v>
      </c>
      <c r="R696" s="7">
        <v>38562</v>
      </c>
      <c r="T696" t="s">
        <v>111</v>
      </c>
      <c r="W696" s="15">
        <v>1.8767332999999999</v>
      </c>
      <c r="X696" s="15">
        <v>-76.268186099999994</v>
      </c>
      <c r="AF696" t="s">
        <v>50</v>
      </c>
      <c r="AG696" t="s">
        <v>51</v>
      </c>
      <c r="AH696" t="s">
        <v>296</v>
      </c>
      <c r="AI696" t="s">
        <v>4982</v>
      </c>
      <c r="AJ696">
        <v>746</v>
      </c>
    </row>
    <row r="697" spans="1:36">
      <c r="A697" t="s">
        <v>4131</v>
      </c>
      <c r="B697" t="s">
        <v>4132</v>
      </c>
      <c r="C697" t="s">
        <v>4983</v>
      </c>
      <c r="D697" t="s">
        <v>4984</v>
      </c>
      <c r="E697" t="s">
        <v>4985</v>
      </c>
      <c r="F697">
        <v>2050</v>
      </c>
      <c r="G697">
        <v>2050</v>
      </c>
      <c r="H697">
        <v>2050</v>
      </c>
      <c r="I697" t="s">
        <v>4986</v>
      </c>
      <c r="J697" t="s">
        <v>4987</v>
      </c>
      <c r="K697" t="s">
        <v>4988</v>
      </c>
      <c r="L697" t="s">
        <v>4989</v>
      </c>
      <c r="M697" t="s">
        <v>4990</v>
      </c>
      <c r="N697" t="s">
        <v>4991</v>
      </c>
      <c r="O697" t="s">
        <v>4992</v>
      </c>
      <c r="P697" t="s">
        <v>4993</v>
      </c>
      <c r="R697" s="7">
        <v>38910</v>
      </c>
      <c r="T697" t="s">
        <v>119</v>
      </c>
      <c r="W697" s="15">
        <v>2.5451221999999998</v>
      </c>
      <c r="X697" s="15">
        <v>-75.808361099999999</v>
      </c>
      <c r="AF697" t="s">
        <v>50</v>
      </c>
      <c r="AG697" t="s">
        <v>51</v>
      </c>
      <c r="AH697" t="s">
        <v>2951</v>
      </c>
      <c r="AI697" t="s">
        <v>4994</v>
      </c>
      <c r="AJ697">
        <v>747</v>
      </c>
    </row>
    <row r="698" spans="1:36">
      <c r="A698" t="s">
        <v>4131</v>
      </c>
      <c r="B698" t="s">
        <v>4132</v>
      </c>
      <c r="C698" t="s">
        <v>4995</v>
      </c>
      <c r="D698" t="s">
        <v>4996</v>
      </c>
      <c r="E698" t="s">
        <v>4985</v>
      </c>
      <c r="F698">
        <v>2050</v>
      </c>
      <c r="G698">
        <v>2050</v>
      </c>
      <c r="H698">
        <v>2050</v>
      </c>
      <c r="I698" t="s">
        <v>4986</v>
      </c>
      <c r="J698" t="s">
        <v>4987</v>
      </c>
      <c r="K698" t="s">
        <v>4988</v>
      </c>
      <c r="L698" t="s">
        <v>4989</v>
      </c>
      <c r="M698" t="s">
        <v>4990</v>
      </c>
      <c r="N698" t="s">
        <v>4991</v>
      </c>
      <c r="O698" t="s">
        <v>4992</v>
      </c>
      <c r="P698" t="s">
        <v>4993</v>
      </c>
      <c r="R698" s="7">
        <v>38980</v>
      </c>
      <c r="T698" t="s">
        <v>119</v>
      </c>
      <c r="W698" s="15">
        <v>2.5451221999999998</v>
      </c>
      <c r="X698" s="15">
        <v>-75.808361099999999</v>
      </c>
      <c r="AF698" t="s">
        <v>50</v>
      </c>
      <c r="AG698" t="s">
        <v>51</v>
      </c>
      <c r="AH698" t="s">
        <v>2951</v>
      </c>
      <c r="AI698" t="s">
        <v>4994</v>
      </c>
      <c r="AJ698">
        <v>748</v>
      </c>
    </row>
    <row r="699" spans="1:36">
      <c r="A699" t="s">
        <v>4131</v>
      </c>
      <c r="B699" t="s">
        <v>4132</v>
      </c>
      <c r="C699" t="s">
        <v>4997</v>
      </c>
      <c r="D699" t="s">
        <v>1060</v>
      </c>
      <c r="E699" t="s">
        <v>4998</v>
      </c>
      <c r="F699" t="s">
        <v>2967</v>
      </c>
      <c r="G699">
        <v>2147</v>
      </c>
      <c r="H699">
        <v>2150</v>
      </c>
      <c r="I699" t="s">
        <v>4999</v>
      </c>
      <c r="J699" t="s">
        <v>5000</v>
      </c>
      <c r="K699" t="s">
        <v>5001</v>
      </c>
      <c r="L699" t="s">
        <v>5002</v>
      </c>
      <c r="M699" t="s">
        <v>5003</v>
      </c>
      <c r="N699" t="s">
        <v>293</v>
      </c>
      <c r="O699" t="s">
        <v>294</v>
      </c>
      <c r="P699" t="s">
        <v>295</v>
      </c>
      <c r="R699" s="7">
        <v>39995</v>
      </c>
      <c r="T699" t="s">
        <v>119</v>
      </c>
      <c r="W699" s="15">
        <v>1.9849861</v>
      </c>
      <c r="X699" s="15">
        <v>-76.285502800000003</v>
      </c>
      <c r="AF699" t="s">
        <v>50</v>
      </c>
      <c r="AG699" t="s">
        <v>51</v>
      </c>
      <c r="AH699" t="s">
        <v>296</v>
      </c>
      <c r="AI699" t="s">
        <v>5004</v>
      </c>
      <c r="AJ699">
        <v>749</v>
      </c>
    </row>
    <row r="700" spans="1:36">
      <c r="A700" t="s">
        <v>4131</v>
      </c>
      <c r="B700" t="s">
        <v>4132</v>
      </c>
      <c r="C700" t="s">
        <v>5005</v>
      </c>
      <c r="D700" t="s">
        <v>1060</v>
      </c>
      <c r="E700" t="s">
        <v>5006</v>
      </c>
      <c r="F700">
        <v>1925</v>
      </c>
      <c r="G700">
        <v>1925</v>
      </c>
      <c r="H700">
        <v>1925</v>
      </c>
      <c r="I700" t="s">
        <v>5007</v>
      </c>
      <c r="J700" t="s">
        <v>5008</v>
      </c>
      <c r="K700" t="s">
        <v>5009</v>
      </c>
      <c r="L700" t="s">
        <v>5010</v>
      </c>
      <c r="M700" t="s">
        <v>5011</v>
      </c>
      <c r="N700" t="s">
        <v>2958</v>
      </c>
      <c r="O700" t="s">
        <v>329</v>
      </c>
      <c r="P700" t="s">
        <v>2959</v>
      </c>
      <c r="R700" s="7">
        <v>40022</v>
      </c>
      <c r="T700" t="s">
        <v>119</v>
      </c>
      <c r="W700" s="15">
        <v>1.7689805999999999</v>
      </c>
      <c r="X700" s="15">
        <v>-76.018733299999994</v>
      </c>
      <c r="AF700" t="s">
        <v>50</v>
      </c>
      <c r="AG700" t="s">
        <v>51</v>
      </c>
      <c r="AH700" t="s">
        <v>140</v>
      </c>
      <c r="AI700" t="s">
        <v>5012</v>
      </c>
      <c r="AJ700">
        <v>750</v>
      </c>
    </row>
    <row r="701" spans="1:36">
      <c r="A701" t="s">
        <v>4131</v>
      </c>
      <c r="B701" t="s">
        <v>4132</v>
      </c>
      <c r="C701" t="s">
        <v>5013</v>
      </c>
      <c r="D701" t="s">
        <v>5014</v>
      </c>
      <c r="E701" t="s">
        <v>5015</v>
      </c>
      <c r="F701">
        <v>2100</v>
      </c>
      <c r="G701">
        <v>2100</v>
      </c>
      <c r="H701">
        <v>2100</v>
      </c>
      <c r="P701" t="s">
        <v>80</v>
      </c>
      <c r="R701" s="7">
        <v>35228</v>
      </c>
      <c r="T701" t="s">
        <v>119</v>
      </c>
      <c r="W701" s="15">
        <v>2.8085399999999998</v>
      </c>
      <c r="X701" s="15">
        <v>-75.057770000000005</v>
      </c>
      <c r="Y701">
        <v>1834.6510000000001</v>
      </c>
      <c r="Z701">
        <v>2133</v>
      </c>
      <c r="AB701" t="s">
        <v>5016</v>
      </c>
      <c r="AF701" t="s">
        <v>50</v>
      </c>
      <c r="AG701" t="s">
        <v>51</v>
      </c>
      <c r="AH701" t="s">
        <v>5017</v>
      </c>
      <c r="AI701" t="s">
        <v>5018</v>
      </c>
      <c r="AJ701">
        <v>751</v>
      </c>
    </row>
    <row r="702" spans="1:36">
      <c r="A702" t="s">
        <v>4131</v>
      </c>
      <c r="B702" t="s">
        <v>4132</v>
      </c>
      <c r="C702" t="s">
        <v>5019</v>
      </c>
      <c r="D702" t="s">
        <v>5020</v>
      </c>
      <c r="E702" t="s">
        <v>5021</v>
      </c>
      <c r="F702">
        <v>2330</v>
      </c>
      <c r="G702">
        <v>2330</v>
      </c>
      <c r="H702">
        <v>2330</v>
      </c>
      <c r="I702" t="s">
        <v>5022</v>
      </c>
      <c r="J702" t="s">
        <v>5023</v>
      </c>
      <c r="K702" t="s">
        <v>5024</v>
      </c>
      <c r="L702" t="s">
        <v>5025</v>
      </c>
      <c r="M702" t="s">
        <v>5026</v>
      </c>
      <c r="N702" t="s">
        <v>5027</v>
      </c>
      <c r="O702" t="s">
        <v>5028</v>
      </c>
      <c r="P702" t="s">
        <v>5029</v>
      </c>
      <c r="R702" s="7">
        <v>37177</v>
      </c>
      <c r="W702" s="15">
        <v>2.6904805999999999</v>
      </c>
      <c r="X702" s="15">
        <v>-75.328269399999996</v>
      </c>
      <c r="AF702" t="s">
        <v>50</v>
      </c>
      <c r="AG702" t="s">
        <v>5030</v>
      </c>
      <c r="AH702" t="s">
        <v>2935</v>
      </c>
      <c r="AI702" t="s">
        <v>5031</v>
      </c>
      <c r="AJ702">
        <v>752</v>
      </c>
    </row>
    <row r="703" spans="1:36">
      <c r="A703" t="s">
        <v>4131</v>
      </c>
      <c r="B703" t="s">
        <v>4132</v>
      </c>
      <c r="C703" t="s">
        <v>5032</v>
      </c>
      <c r="D703" t="s">
        <v>5033</v>
      </c>
      <c r="E703" t="s">
        <v>5034</v>
      </c>
      <c r="F703" t="s">
        <v>5035</v>
      </c>
      <c r="G703">
        <v>2900</v>
      </c>
      <c r="H703">
        <v>3100</v>
      </c>
      <c r="I703" t="s">
        <v>5036</v>
      </c>
      <c r="J703" t="s">
        <v>5037</v>
      </c>
      <c r="K703" t="s">
        <v>5038</v>
      </c>
      <c r="L703" t="s">
        <v>5039</v>
      </c>
      <c r="M703" t="s">
        <v>5040</v>
      </c>
      <c r="N703" t="s">
        <v>5041</v>
      </c>
      <c r="O703" t="s">
        <v>5042</v>
      </c>
      <c r="P703" t="s">
        <v>5043</v>
      </c>
      <c r="R703" s="7">
        <v>36352</v>
      </c>
      <c r="T703" t="s">
        <v>119</v>
      </c>
      <c r="W703" s="15">
        <v>1.6010055999999999</v>
      </c>
      <c r="X703" s="15">
        <v>-76.971508299999996</v>
      </c>
      <c r="AF703" t="s">
        <v>50</v>
      </c>
      <c r="AG703" t="s">
        <v>5044</v>
      </c>
      <c r="AH703" t="s">
        <v>5045</v>
      </c>
      <c r="AI703" t="s">
        <v>5046</v>
      </c>
      <c r="AJ703">
        <v>753</v>
      </c>
    </row>
    <row r="704" spans="1:36">
      <c r="A704" t="s">
        <v>4131</v>
      </c>
      <c r="B704" t="s">
        <v>4132</v>
      </c>
      <c r="C704" t="s">
        <v>5047</v>
      </c>
      <c r="D704" t="s">
        <v>5048</v>
      </c>
      <c r="E704" t="s">
        <v>5049</v>
      </c>
      <c r="F704">
        <v>2400</v>
      </c>
      <c r="G704">
        <v>2400</v>
      </c>
      <c r="H704">
        <v>2400</v>
      </c>
      <c r="P704" t="s">
        <v>80</v>
      </c>
      <c r="R704" s="7">
        <v>21620</v>
      </c>
      <c r="T704" t="s">
        <v>119</v>
      </c>
      <c r="W704" s="15">
        <v>10.00286</v>
      </c>
      <c r="X704" s="15">
        <v>-73.01576</v>
      </c>
      <c r="Y704">
        <v>5650.83</v>
      </c>
      <c r="Z704">
        <v>2481</v>
      </c>
      <c r="AB704" t="s">
        <v>5050</v>
      </c>
      <c r="AF704" t="s">
        <v>50</v>
      </c>
      <c r="AG704" t="s">
        <v>1296</v>
      </c>
      <c r="AH704" t="s">
        <v>2050</v>
      </c>
      <c r="AI704" t="s">
        <v>5051</v>
      </c>
      <c r="AJ704">
        <v>754</v>
      </c>
    </row>
    <row r="705" spans="1:36">
      <c r="A705" t="s">
        <v>4131</v>
      </c>
      <c r="B705" t="s">
        <v>4132</v>
      </c>
      <c r="C705" t="s">
        <v>5052</v>
      </c>
      <c r="D705" t="s">
        <v>5053</v>
      </c>
      <c r="E705" t="s">
        <v>5054</v>
      </c>
      <c r="F705" t="s">
        <v>2455</v>
      </c>
      <c r="G705">
        <v>1900</v>
      </c>
      <c r="H705">
        <v>2200</v>
      </c>
      <c r="I705" t="s">
        <v>5055</v>
      </c>
      <c r="J705" t="s">
        <v>5056</v>
      </c>
      <c r="K705" t="s">
        <v>5057</v>
      </c>
      <c r="L705" t="s">
        <v>5058</v>
      </c>
      <c r="M705" t="s">
        <v>5059</v>
      </c>
      <c r="N705" t="s">
        <v>5060</v>
      </c>
      <c r="O705" t="s">
        <v>5061</v>
      </c>
      <c r="P705" t="s">
        <v>5062</v>
      </c>
      <c r="R705" s="7">
        <v>26516</v>
      </c>
      <c r="T705" t="s">
        <v>111</v>
      </c>
      <c r="W705" s="15">
        <v>10.8833333</v>
      </c>
      <c r="X705" s="15">
        <v>-74.016666700000002</v>
      </c>
      <c r="AF705" t="s">
        <v>50</v>
      </c>
      <c r="AG705" t="s">
        <v>1296</v>
      </c>
      <c r="AH705" t="s">
        <v>1297</v>
      </c>
      <c r="AI705" t="s">
        <v>5063</v>
      </c>
      <c r="AJ705">
        <v>755</v>
      </c>
    </row>
    <row r="706" spans="1:36">
      <c r="A706" t="s">
        <v>4131</v>
      </c>
      <c r="B706" t="s">
        <v>4132</v>
      </c>
      <c r="C706" t="s">
        <v>5064</v>
      </c>
      <c r="D706" t="s">
        <v>5065</v>
      </c>
      <c r="E706" t="s">
        <v>5066</v>
      </c>
      <c r="F706">
        <v>1700</v>
      </c>
      <c r="G706">
        <v>1700</v>
      </c>
      <c r="H706">
        <v>1700</v>
      </c>
      <c r="I706" t="s">
        <v>5067</v>
      </c>
      <c r="J706" t="s">
        <v>5068</v>
      </c>
      <c r="K706" t="s">
        <v>5069</v>
      </c>
      <c r="L706" t="s">
        <v>5070</v>
      </c>
      <c r="M706" t="s">
        <v>5071</v>
      </c>
      <c r="N706" t="s">
        <v>5072</v>
      </c>
      <c r="O706" t="s">
        <v>5073</v>
      </c>
      <c r="P706" t="s">
        <v>5074</v>
      </c>
      <c r="R706" s="7">
        <v>26543</v>
      </c>
      <c r="T706" t="s">
        <v>119</v>
      </c>
      <c r="W706" s="15">
        <v>10.9833333</v>
      </c>
      <c r="X706" s="15">
        <v>-73.983333299999998</v>
      </c>
      <c r="AF706" t="s">
        <v>50</v>
      </c>
      <c r="AG706" t="s">
        <v>1296</v>
      </c>
      <c r="AH706" t="s">
        <v>1297</v>
      </c>
      <c r="AI706" t="s">
        <v>5075</v>
      </c>
      <c r="AJ706">
        <v>756</v>
      </c>
    </row>
    <row r="707" spans="1:36">
      <c r="A707" t="s">
        <v>4131</v>
      </c>
      <c r="B707" t="s">
        <v>4132</v>
      </c>
      <c r="C707" t="s">
        <v>5076</v>
      </c>
      <c r="D707" t="s">
        <v>5077</v>
      </c>
      <c r="E707" t="s">
        <v>5078</v>
      </c>
      <c r="F707">
        <v>2100</v>
      </c>
      <c r="G707">
        <v>2100</v>
      </c>
      <c r="H707">
        <v>2100</v>
      </c>
      <c r="P707" t="s">
        <v>80</v>
      </c>
      <c r="R707" s="7">
        <v>28333</v>
      </c>
      <c r="T707" t="s">
        <v>119</v>
      </c>
      <c r="W707" s="15">
        <v>10.916600000000001</v>
      </c>
      <c r="X707" s="15">
        <v>-73.833290000000005</v>
      </c>
      <c r="Y707">
        <v>938.23099999999999</v>
      </c>
      <c r="Z707">
        <v>2318</v>
      </c>
      <c r="AB707" t="s">
        <v>3013</v>
      </c>
      <c r="AF707" t="s">
        <v>50</v>
      </c>
      <c r="AG707" t="s">
        <v>1296</v>
      </c>
      <c r="AH707" t="s">
        <v>1297</v>
      </c>
      <c r="AI707" t="s">
        <v>5079</v>
      </c>
      <c r="AJ707">
        <v>757</v>
      </c>
    </row>
    <row r="708" spans="1:36">
      <c r="A708" t="s">
        <v>4131</v>
      </c>
      <c r="B708" t="s">
        <v>4132</v>
      </c>
      <c r="C708" t="s">
        <v>5080</v>
      </c>
      <c r="D708" t="s">
        <v>1060</v>
      </c>
      <c r="E708" t="s">
        <v>5081</v>
      </c>
      <c r="F708">
        <v>2147</v>
      </c>
      <c r="G708">
        <v>2147</v>
      </c>
      <c r="H708">
        <v>2147</v>
      </c>
      <c r="I708" t="s">
        <v>5082</v>
      </c>
      <c r="J708" t="s">
        <v>5083</v>
      </c>
      <c r="K708" t="s">
        <v>5084</v>
      </c>
      <c r="L708" t="s">
        <v>5085</v>
      </c>
      <c r="M708" t="s">
        <v>5086</v>
      </c>
      <c r="N708" t="s">
        <v>5087</v>
      </c>
      <c r="O708" t="s">
        <v>5088</v>
      </c>
      <c r="P708" t="s">
        <v>5089</v>
      </c>
      <c r="R708" s="7">
        <v>37789</v>
      </c>
      <c r="T708" t="s">
        <v>119</v>
      </c>
      <c r="W708" s="15">
        <v>5.0295199999999998</v>
      </c>
      <c r="X708" s="15">
        <v>-75.434389999999993</v>
      </c>
      <c r="Y708">
        <v>184.25899999999999</v>
      </c>
      <c r="Z708">
        <v>2290</v>
      </c>
      <c r="AB708" t="s">
        <v>5090</v>
      </c>
      <c r="AF708" t="s">
        <v>50</v>
      </c>
      <c r="AG708" t="s">
        <v>168</v>
      </c>
      <c r="AH708" t="s">
        <v>5091</v>
      </c>
      <c r="AI708" t="s">
        <v>5092</v>
      </c>
      <c r="AJ708">
        <v>758</v>
      </c>
    </row>
    <row r="709" spans="1:36">
      <c r="A709" t="s">
        <v>4131</v>
      </c>
      <c r="B709" t="s">
        <v>4132</v>
      </c>
      <c r="C709" t="s">
        <v>5093</v>
      </c>
      <c r="D709" t="s">
        <v>5094</v>
      </c>
      <c r="E709" t="s">
        <v>5095</v>
      </c>
      <c r="F709">
        <v>890</v>
      </c>
      <c r="G709">
        <v>890</v>
      </c>
      <c r="H709">
        <v>890</v>
      </c>
      <c r="P709" t="s">
        <v>80</v>
      </c>
      <c r="R709" s="7">
        <v>16310</v>
      </c>
      <c r="T709" t="s">
        <v>65</v>
      </c>
      <c r="W709" s="15">
        <v>4.1123500000000002</v>
      </c>
      <c r="X709" s="15">
        <v>-73.766490000000005</v>
      </c>
      <c r="Y709">
        <v>8489.5499999999993</v>
      </c>
      <c r="Z709">
        <v>762</v>
      </c>
      <c r="AA709" t="s">
        <v>5096</v>
      </c>
      <c r="AB709" t="s">
        <v>5097</v>
      </c>
      <c r="AF709" t="s">
        <v>50</v>
      </c>
      <c r="AG709" t="s">
        <v>1336</v>
      </c>
      <c r="AH709" t="s">
        <v>5098</v>
      </c>
      <c r="AI709" t="s">
        <v>5099</v>
      </c>
      <c r="AJ709">
        <v>759</v>
      </c>
    </row>
    <row r="710" spans="1:36">
      <c r="A710" t="s">
        <v>4131</v>
      </c>
      <c r="B710" t="s">
        <v>4132</v>
      </c>
      <c r="C710" t="s">
        <v>5100</v>
      </c>
      <c r="D710" t="s">
        <v>5101</v>
      </c>
      <c r="E710" t="s">
        <v>5102</v>
      </c>
      <c r="F710">
        <v>890</v>
      </c>
      <c r="G710">
        <v>890</v>
      </c>
      <c r="H710">
        <v>890</v>
      </c>
      <c r="P710" t="s">
        <v>80</v>
      </c>
      <c r="R710" s="7">
        <v>16310</v>
      </c>
      <c r="T710" t="s">
        <v>65</v>
      </c>
      <c r="W710" s="15">
        <v>4.0848100000000001</v>
      </c>
      <c r="X710" s="15">
        <v>-73.768410000000003</v>
      </c>
      <c r="Y710">
        <v>3148.5529999999999</v>
      </c>
      <c r="Z710">
        <v>836</v>
      </c>
      <c r="AA710" t="s">
        <v>5096</v>
      </c>
      <c r="AB710" t="s">
        <v>5097</v>
      </c>
      <c r="AF710" t="s">
        <v>50</v>
      </c>
      <c r="AG710" t="s">
        <v>1336</v>
      </c>
      <c r="AH710" t="s">
        <v>5103</v>
      </c>
      <c r="AI710" t="s">
        <v>5104</v>
      </c>
      <c r="AJ710">
        <v>760</v>
      </c>
    </row>
    <row r="711" spans="1:36">
      <c r="A711" t="s">
        <v>4131</v>
      </c>
      <c r="B711" t="s">
        <v>4132</v>
      </c>
      <c r="C711" t="s">
        <v>5105</v>
      </c>
      <c r="D711" t="s">
        <v>5106</v>
      </c>
      <c r="E711" t="s">
        <v>5107</v>
      </c>
      <c r="F711" t="s">
        <v>3018</v>
      </c>
      <c r="G711">
        <v>1300</v>
      </c>
      <c r="H711">
        <v>1900</v>
      </c>
      <c r="P711" t="s">
        <v>80</v>
      </c>
      <c r="R711" s="7">
        <v>18634</v>
      </c>
      <c r="T711" t="s">
        <v>119</v>
      </c>
      <c r="W711" s="15">
        <v>2.9626999999999999</v>
      </c>
      <c r="X711" s="15">
        <v>-73.88673</v>
      </c>
      <c r="Y711">
        <v>4935.0150000000003</v>
      </c>
      <c r="Z711">
        <v>1289</v>
      </c>
      <c r="AB711" t="s">
        <v>3019</v>
      </c>
      <c r="AF711" t="s">
        <v>50</v>
      </c>
      <c r="AG711" t="s">
        <v>1336</v>
      </c>
      <c r="AH711" t="s">
        <v>5108</v>
      </c>
      <c r="AI711" t="s">
        <v>5109</v>
      </c>
      <c r="AJ711">
        <v>761</v>
      </c>
    </row>
    <row r="712" spans="1:36">
      <c r="A712" t="s">
        <v>4131</v>
      </c>
      <c r="B712" t="s">
        <v>4132</v>
      </c>
      <c r="C712" t="s">
        <v>5110</v>
      </c>
      <c r="D712" t="s">
        <v>5111</v>
      </c>
      <c r="E712" t="s">
        <v>5112</v>
      </c>
      <c r="F712">
        <v>1700</v>
      </c>
      <c r="G712">
        <v>1700</v>
      </c>
      <c r="H712">
        <v>1700</v>
      </c>
      <c r="P712" t="s">
        <v>80</v>
      </c>
      <c r="R712" s="7">
        <v>29804</v>
      </c>
      <c r="T712" t="s">
        <v>119</v>
      </c>
      <c r="W712" s="15">
        <v>4.0251900000000003</v>
      </c>
      <c r="X712" s="15">
        <v>-73.826499999999996</v>
      </c>
      <c r="Y712">
        <v>3368.5990000000002</v>
      </c>
      <c r="Z712">
        <v>1221</v>
      </c>
      <c r="AB712" t="s">
        <v>5113</v>
      </c>
      <c r="AF712" t="s">
        <v>50</v>
      </c>
      <c r="AG712" t="s">
        <v>1336</v>
      </c>
      <c r="AH712" t="s">
        <v>3026</v>
      </c>
      <c r="AI712" t="s">
        <v>5114</v>
      </c>
      <c r="AJ712">
        <v>762</v>
      </c>
    </row>
    <row r="713" spans="1:36">
      <c r="A713" t="s">
        <v>4131</v>
      </c>
      <c r="B713" t="s">
        <v>4132</v>
      </c>
      <c r="C713" t="s">
        <v>5115</v>
      </c>
      <c r="D713" t="s">
        <v>5116</v>
      </c>
      <c r="E713" t="s">
        <v>5112</v>
      </c>
      <c r="F713">
        <v>1700</v>
      </c>
      <c r="G713">
        <v>1700</v>
      </c>
      <c r="H713">
        <v>1700</v>
      </c>
      <c r="P713" t="s">
        <v>80</v>
      </c>
      <c r="R713" s="7">
        <v>29804</v>
      </c>
      <c r="T713" t="s">
        <v>119</v>
      </c>
      <c r="W713" s="15">
        <v>4.0251900000000003</v>
      </c>
      <c r="X713" s="15">
        <v>-73.826499999999996</v>
      </c>
      <c r="Y713">
        <v>3368.5990000000002</v>
      </c>
      <c r="Z713">
        <v>1221</v>
      </c>
      <c r="AB713" t="s">
        <v>5113</v>
      </c>
      <c r="AF713" t="s">
        <v>50</v>
      </c>
      <c r="AG713" t="s">
        <v>1336</v>
      </c>
      <c r="AH713" t="s">
        <v>3026</v>
      </c>
      <c r="AI713" t="s">
        <v>5114</v>
      </c>
      <c r="AJ713">
        <v>763</v>
      </c>
    </row>
    <row r="714" spans="1:36">
      <c r="A714" t="s">
        <v>4131</v>
      </c>
      <c r="B714" t="s">
        <v>4132</v>
      </c>
      <c r="C714" t="s">
        <v>5117</v>
      </c>
      <c r="D714" t="s">
        <v>5118</v>
      </c>
      <c r="E714" t="s">
        <v>5119</v>
      </c>
      <c r="I714" t="s">
        <v>1988</v>
      </c>
      <c r="J714" t="s">
        <v>1989</v>
      </c>
      <c r="K714" t="s">
        <v>1990</v>
      </c>
      <c r="L714" t="s">
        <v>1991</v>
      </c>
      <c r="M714" t="s">
        <v>1992</v>
      </c>
      <c r="N714" t="s">
        <v>1993</v>
      </c>
      <c r="O714" t="s">
        <v>1994</v>
      </c>
      <c r="P714" t="s">
        <v>1995</v>
      </c>
      <c r="R714" s="7">
        <v>21020</v>
      </c>
      <c r="W714" s="15">
        <v>1.2136917</v>
      </c>
      <c r="X714" s="15">
        <v>-77.2726361</v>
      </c>
      <c r="AF714" t="s">
        <v>50</v>
      </c>
      <c r="AG714" t="s">
        <v>127</v>
      </c>
      <c r="AH714" t="s">
        <v>5120</v>
      </c>
      <c r="AI714" t="s">
        <v>5121</v>
      </c>
      <c r="AJ714">
        <v>764</v>
      </c>
    </row>
    <row r="715" spans="1:36">
      <c r="A715" t="s">
        <v>4131</v>
      </c>
      <c r="B715" t="s">
        <v>4132</v>
      </c>
      <c r="C715" t="s">
        <v>5122</v>
      </c>
      <c r="D715" t="s">
        <v>5123</v>
      </c>
      <c r="E715" t="s">
        <v>5124</v>
      </c>
      <c r="F715">
        <v>3100</v>
      </c>
      <c r="G715">
        <v>3100</v>
      </c>
      <c r="H715">
        <v>3100</v>
      </c>
      <c r="I715" t="s">
        <v>5125</v>
      </c>
      <c r="J715" t="s">
        <v>5126</v>
      </c>
      <c r="K715" t="s">
        <v>5127</v>
      </c>
      <c r="L715" t="s">
        <v>5128</v>
      </c>
      <c r="M715" t="s">
        <v>5129</v>
      </c>
      <c r="N715" t="s">
        <v>5130</v>
      </c>
      <c r="O715" t="s">
        <v>5131</v>
      </c>
      <c r="P715" t="s">
        <v>5132</v>
      </c>
      <c r="R715" s="7">
        <v>26547</v>
      </c>
      <c r="W715" s="15">
        <v>0.82176110000000002</v>
      </c>
      <c r="X715" s="15">
        <v>-77.641677799999997</v>
      </c>
      <c r="AF715" t="s">
        <v>50</v>
      </c>
      <c r="AG715" t="s">
        <v>127</v>
      </c>
      <c r="AH715" t="s">
        <v>1440</v>
      </c>
      <c r="AI715" t="s">
        <v>5133</v>
      </c>
      <c r="AJ715">
        <v>765</v>
      </c>
    </row>
    <row r="716" spans="1:36">
      <c r="A716" t="s">
        <v>4131</v>
      </c>
      <c r="B716" t="s">
        <v>4132</v>
      </c>
      <c r="C716" t="s">
        <v>5134</v>
      </c>
      <c r="D716" t="s">
        <v>5135</v>
      </c>
      <c r="E716" t="s">
        <v>5136</v>
      </c>
      <c r="F716">
        <v>2500</v>
      </c>
      <c r="G716">
        <v>2500</v>
      </c>
      <c r="H716">
        <v>2500</v>
      </c>
      <c r="I716" t="s">
        <v>5125</v>
      </c>
      <c r="J716" t="s">
        <v>5126</v>
      </c>
      <c r="K716" t="s">
        <v>5127</v>
      </c>
      <c r="L716" t="s">
        <v>5128</v>
      </c>
      <c r="M716" t="s">
        <v>5129</v>
      </c>
      <c r="N716" t="s">
        <v>5130</v>
      </c>
      <c r="O716" t="s">
        <v>5131</v>
      </c>
      <c r="P716" t="s">
        <v>5132</v>
      </c>
      <c r="R716" s="7">
        <v>26674</v>
      </c>
      <c r="T716" t="s">
        <v>119</v>
      </c>
      <c r="W716" s="15">
        <v>0.82176110000000002</v>
      </c>
      <c r="X716" s="15">
        <v>-77.641677799999997</v>
      </c>
      <c r="AF716" t="s">
        <v>50</v>
      </c>
      <c r="AG716" t="s">
        <v>127</v>
      </c>
      <c r="AH716" t="s">
        <v>1440</v>
      </c>
      <c r="AI716" t="s">
        <v>5137</v>
      </c>
      <c r="AJ716">
        <v>766</v>
      </c>
    </row>
    <row r="717" spans="1:36">
      <c r="A717" t="s">
        <v>4131</v>
      </c>
      <c r="B717" t="s">
        <v>4132</v>
      </c>
      <c r="C717" t="s">
        <v>5134</v>
      </c>
      <c r="D717" t="s">
        <v>5138</v>
      </c>
      <c r="E717" t="s">
        <v>5136</v>
      </c>
      <c r="F717">
        <v>2500</v>
      </c>
      <c r="G717">
        <v>2500</v>
      </c>
      <c r="H717">
        <v>2500</v>
      </c>
      <c r="I717" t="s">
        <v>5125</v>
      </c>
      <c r="J717" t="s">
        <v>5126</v>
      </c>
      <c r="K717" t="s">
        <v>5127</v>
      </c>
      <c r="L717" t="s">
        <v>5128</v>
      </c>
      <c r="M717" t="s">
        <v>5129</v>
      </c>
      <c r="N717" t="s">
        <v>5130</v>
      </c>
      <c r="O717" t="s">
        <v>5131</v>
      </c>
      <c r="P717" t="s">
        <v>5132</v>
      </c>
      <c r="R717" s="7">
        <v>26674</v>
      </c>
      <c r="T717" t="s">
        <v>119</v>
      </c>
      <c r="W717" s="15">
        <v>0.82176110000000002</v>
      </c>
      <c r="X717" s="15">
        <v>-77.641677799999997</v>
      </c>
      <c r="AF717" t="s">
        <v>50</v>
      </c>
      <c r="AG717" t="s">
        <v>127</v>
      </c>
      <c r="AH717" t="s">
        <v>1440</v>
      </c>
      <c r="AI717" t="s">
        <v>5137</v>
      </c>
      <c r="AJ717">
        <v>767</v>
      </c>
    </row>
    <row r="718" spans="1:36" s="2" customFormat="1">
      <c r="A718" t="s">
        <v>4131</v>
      </c>
      <c r="B718" t="s">
        <v>4132</v>
      </c>
      <c r="C718" t="s">
        <v>5139</v>
      </c>
      <c r="D718" t="s">
        <v>5140</v>
      </c>
      <c r="E718" t="s">
        <v>5141</v>
      </c>
      <c r="F718">
        <v>2800</v>
      </c>
      <c r="G718">
        <v>2800</v>
      </c>
      <c r="H718">
        <v>2800</v>
      </c>
      <c r="I718" t="s">
        <v>1988</v>
      </c>
      <c r="J718" t="s">
        <v>1989</v>
      </c>
      <c r="K718" t="s">
        <v>1990</v>
      </c>
      <c r="L718" t="s">
        <v>1991</v>
      </c>
      <c r="M718" t="s">
        <v>1992</v>
      </c>
      <c r="N718" t="s">
        <v>1993</v>
      </c>
      <c r="O718" t="s">
        <v>1994</v>
      </c>
      <c r="P718" t="s">
        <v>1995</v>
      </c>
      <c r="Q718"/>
      <c r="R718" s="7">
        <v>27143</v>
      </c>
      <c r="S718"/>
      <c r="T718"/>
      <c r="U718"/>
      <c r="V718"/>
      <c r="W718" s="15">
        <v>1.12957</v>
      </c>
      <c r="X718" s="15">
        <v>-77.149439999999998</v>
      </c>
      <c r="Y718">
        <v>345.22699999999998</v>
      </c>
      <c r="Z718">
        <v>2792</v>
      </c>
      <c r="AA718"/>
      <c r="AB718" t="s">
        <v>5142</v>
      </c>
      <c r="AC718"/>
      <c r="AD718"/>
      <c r="AE718"/>
      <c r="AF718" t="s">
        <v>50</v>
      </c>
      <c r="AG718" t="s">
        <v>127</v>
      </c>
      <c r="AH718" t="s">
        <v>5143</v>
      </c>
      <c r="AI718" t="s">
        <v>5144</v>
      </c>
      <c r="AJ718">
        <v>768</v>
      </c>
    </row>
    <row r="719" spans="1:36">
      <c r="A719" t="s">
        <v>4131</v>
      </c>
      <c r="B719" t="s">
        <v>4132</v>
      </c>
      <c r="C719" t="s">
        <v>5145</v>
      </c>
      <c r="D719" t="s">
        <v>5146</v>
      </c>
      <c r="E719" t="s">
        <v>5141</v>
      </c>
      <c r="F719">
        <v>2800</v>
      </c>
      <c r="G719">
        <v>2800</v>
      </c>
      <c r="H719">
        <v>2800</v>
      </c>
      <c r="I719" t="s">
        <v>1988</v>
      </c>
      <c r="J719" t="s">
        <v>1989</v>
      </c>
      <c r="K719" t="s">
        <v>1990</v>
      </c>
      <c r="L719" t="s">
        <v>1991</v>
      </c>
      <c r="M719" t="s">
        <v>1992</v>
      </c>
      <c r="N719" t="s">
        <v>1993</v>
      </c>
      <c r="O719" t="s">
        <v>1994</v>
      </c>
      <c r="P719" t="s">
        <v>1995</v>
      </c>
      <c r="R719" s="7">
        <v>27143</v>
      </c>
      <c r="W719" s="15">
        <v>1.12957</v>
      </c>
      <c r="X719" s="15">
        <v>-77.149439999999998</v>
      </c>
      <c r="Y719">
        <v>345.22699999999998</v>
      </c>
      <c r="Z719">
        <v>2792</v>
      </c>
      <c r="AB719" t="s">
        <v>5142</v>
      </c>
      <c r="AF719" t="s">
        <v>50</v>
      </c>
      <c r="AG719" t="s">
        <v>127</v>
      </c>
      <c r="AH719" t="s">
        <v>5143</v>
      </c>
      <c r="AI719" t="s">
        <v>5144</v>
      </c>
      <c r="AJ719">
        <v>769</v>
      </c>
    </row>
    <row r="720" spans="1:36">
      <c r="A720" t="s">
        <v>4131</v>
      </c>
      <c r="B720" t="s">
        <v>4132</v>
      </c>
      <c r="C720" t="s">
        <v>5147</v>
      </c>
      <c r="D720" t="s">
        <v>5148</v>
      </c>
      <c r="E720" t="s">
        <v>5141</v>
      </c>
      <c r="F720">
        <v>2800</v>
      </c>
      <c r="G720">
        <v>2800</v>
      </c>
      <c r="H720">
        <v>2800</v>
      </c>
      <c r="I720" t="s">
        <v>1988</v>
      </c>
      <c r="J720" t="s">
        <v>1989</v>
      </c>
      <c r="K720" t="s">
        <v>1990</v>
      </c>
      <c r="L720" t="s">
        <v>1991</v>
      </c>
      <c r="M720" t="s">
        <v>1992</v>
      </c>
      <c r="N720" t="s">
        <v>1993</v>
      </c>
      <c r="O720" t="s">
        <v>1994</v>
      </c>
      <c r="P720" t="s">
        <v>1995</v>
      </c>
      <c r="R720" s="7">
        <v>27143</v>
      </c>
      <c r="W720" s="15">
        <v>1.12957</v>
      </c>
      <c r="X720" s="15">
        <v>-77.149439999999998</v>
      </c>
      <c r="Y720">
        <v>345.22699999999998</v>
      </c>
      <c r="Z720">
        <v>2792</v>
      </c>
      <c r="AB720" t="s">
        <v>5142</v>
      </c>
      <c r="AF720" t="s">
        <v>50</v>
      </c>
      <c r="AG720" t="s">
        <v>127</v>
      </c>
      <c r="AH720" t="s">
        <v>5143</v>
      </c>
      <c r="AI720" t="s">
        <v>5144</v>
      </c>
      <c r="AJ720">
        <v>770</v>
      </c>
    </row>
    <row r="721" spans="1:36">
      <c r="A721" t="s">
        <v>4131</v>
      </c>
      <c r="B721" t="s">
        <v>4132</v>
      </c>
      <c r="C721" t="s">
        <v>5149</v>
      </c>
      <c r="D721" t="s">
        <v>5150</v>
      </c>
      <c r="E721" t="s">
        <v>5141</v>
      </c>
      <c r="F721">
        <v>2800</v>
      </c>
      <c r="G721">
        <v>2800</v>
      </c>
      <c r="H721">
        <v>2800</v>
      </c>
      <c r="I721" t="s">
        <v>1988</v>
      </c>
      <c r="J721" t="s">
        <v>1989</v>
      </c>
      <c r="K721" t="s">
        <v>1990</v>
      </c>
      <c r="L721" t="s">
        <v>1991</v>
      </c>
      <c r="M721" t="s">
        <v>1992</v>
      </c>
      <c r="N721" t="s">
        <v>1993</v>
      </c>
      <c r="O721" t="s">
        <v>1994</v>
      </c>
      <c r="P721" t="s">
        <v>1995</v>
      </c>
      <c r="R721" s="7">
        <v>27143</v>
      </c>
      <c r="W721" s="15">
        <v>1.12957</v>
      </c>
      <c r="X721" s="15">
        <v>-77.149439999999998</v>
      </c>
      <c r="Y721">
        <v>345.22699999999998</v>
      </c>
      <c r="Z721">
        <v>2792</v>
      </c>
      <c r="AB721" t="s">
        <v>5142</v>
      </c>
      <c r="AF721" t="s">
        <v>50</v>
      </c>
      <c r="AG721" t="s">
        <v>127</v>
      </c>
      <c r="AH721" t="s">
        <v>5143</v>
      </c>
      <c r="AI721" t="s">
        <v>5144</v>
      </c>
      <c r="AJ721">
        <v>771</v>
      </c>
    </row>
    <row r="722" spans="1:36">
      <c r="A722" t="s">
        <v>4131</v>
      </c>
      <c r="B722" t="s">
        <v>4132</v>
      </c>
      <c r="C722" t="s">
        <v>5151</v>
      </c>
      <c r="D722" t="s">
        <v>5152</v>
      </c>
      <c r="E722" t="s">
        <v>5153</v>
      </c>
      <c r="F722">
        <v>2700</v>
      </c>
      <c r="G722">
        <v>2700</v>
      </c>
      <c r="H722">
        <v>2700</v>
      </c>
      <c r="P722" t="s">
        <v>80</v>
      </c>
      <c r="R722" s="7">
        <v>29167</v>
      </c>
      <c r="T722" t="s">
        <v>119</v>
      </c>
      <c r="W722" s="15">
        <v>1.12957</v>
      </c>
      <c r="X722" s="15">
        <v>-77.149439999999998</v>
      </c>
      <c r="Y722">
        <v>345.22699999999998</v>
      </c>
      <c r="Z722">
        <v>2792</v>
      </c>
      <c r="AB722" t="s">
        <v>5142</v>
      </c>
      <c r="AF722" t="s">
        <v>50</v>
      </c>
      <c r="AG722" t="s">
        <v>127</v>
      </c>
      <c r="AH722" t="s">
        <v>1996</v>
      </c>
      <c r="AI722" t="s">
        <v>5144</v>
      </c>
      <c r="AJ722">
        <v>772</v>
      </c>
    </row>
    <row r="723" spans="1:36">
      <c r="A723" t="s">
        <v>4131</v>
      </c>
      <c r="B723" t="s">
        <v>4132</v>
      </c>
      <c r="C723" t="s">
        <v>5154</v>
      </c>
      <c r="D723" t="s">
        <v>5152</v>
      </c>
      <c r="E723" t="s">
        <v>5141</v>
      </c>
      <c r="F723">
        <v>2700</v>
      </c>
      <c r="G723">
        <v>2700</v>
      </c>
      <c r="H723">
        <v>2700</v>
      </c>
      <c r="I723" t="s">
        <v>1988</v>
      </c>
      <c r="J723" t="s">
        <v>1989</v>
      </c>
      <c r="K723" t="s">
        <v>1990</v>
      </c>
      <c r="L723" t="s">
        <v>1991</v>
      </c>
      <c r="M723" t="s">
        <v>1992</v>
      </c>
      <c r="N723" t="s">
        <v>1993</v>
      </c>
      <c r="O723" t="s">
        <v>1994</v>
      </c>
      <c r="P723" t="s">
        <v>1995</v>
      </c>
      <c r="R723" s="7">
        <v>29167</v>
      </c>
      <c r="W723" s="15">
        <v>1.12957</v>
      </c>
      <c r="X723" s="15">
        <v>-77.149439999999998</v>
      </c>
      <c r="Y723">
        <v>345.22699999999998</v>
      </c>
      <c r="Z723">
        <v>2792</v>
      </c>
      <c r="AB723" t="s">
        <v>5142</v>
      </c>
      <c r="AF723" t="s">
        <v>50</v>
      </c>
      <c r="AG723" t="s">
        <v>127</v>
      </c>
      <c r="AH723" t="s">
        <v>5143</v>
      </c>
      <c r="AI723" t="s">
        <v>5144</v>
      </c>
      <c r="AJ723">
        <v>773</v>
      </c>
    </row>
    <row r="724" spans="1:36">
      <c r="A724" t="s">
        <v>4131</v>
      </c>
      <c r="B724" t="s">
        <v>4132</v>
      </c>
      <c r="C724" t="s">
        <v>5155</v>
      </c>
      <c r="D724" t="s">
        <v>5156</v>
      </c>
      <c r="E724" t="s">
        <v>5157</v>
      </c>
      <c r="F724" t="s">
        <v>5158</v>
      </c>
      <c r="G724">
        <v>2000</v>
      </c>
      <c r="H724">
        <v>2400</v>
      </c>
      <c r="I724" t="s">
        <v>5159</v>
      </c>
      <c r="J724" t="s">
        <v>5160</v>
      </c>
      <c r="K724" t="s">
        <v>5161</v>
      </c>
      <c r="L724" t="s">
        <v>5162</v>
      </c>
      <c r="M724" t="s">
        <v>5163</v>
      </c>
      <c r="N724" t="s">
        <v>5164</v>
      </c>
      <c r="O724" t="s">
        <v>5165</v>
      </c>
      <c r="P724" t="s">
        <v>5166</v>
      </c>
      <c r="R724" s="7">
        <v>33340</v>
      </c>
      <c r="T724" t="s">
        <v>119</v>
      </c>
      <c r="W724" s="15">
        <v>1.6051556</v>
      </c>
      <c r="X724" s="15">
        <v>-77.133636100000004</v>
      </c>
      <c r="AF724" t="s">
        <v>50</v>
      </c>
      <c r="AG724" t="s">
        <v>127</v>
      </c>
      <c r="AH724" t="s">
        <v>614</v>
      </c>
      <c r="AI724" t="s">
        <v>5167</v>
      </c>
      <c r="AJ724">
        <v>774</v>
      </c>
    </row>
    <row r="725" spans="1:36">
      <c r="A725" t="s">
        <v>4131</v>
      </c>
      <c r="B725" t="s">
        <v>4132</v>
      </c>
      <c r="C725" t="s">
        <v>5168</v>
      </c>
      <c r="D725" t="s">
        <v>5169</v>
      </c>
      <c r="E725" t="s">
        <v>5170</v>
      </c>
      <c r="F725">
        <v>2400</v>
      </c>
      <c r="G725">
        <v>2400</v>
      </c>
      <c r="H725">
        <v>2400</v>
      </c>
      <c r="I725" t="s">
        <v>1988</v>
      </c>
      <c r="J725" t="s">
        <v>1989</v>
      </c>
      <c r="K725" t="s">
        <v>1990</v>
      </c>
      <c r="L725" t="s">
        <v>1991</v>
      </c>
      <c r="M725" t="s">
        <v>1992</v>
      </c>
      <c r="N725" t="s">
        <v>1993</v>
      </c>
      <c r="O725" t="s">
        <v>1994</v>
      </c>
      <c r="P725" t="s">
        <v>1995</v>
      </c>
      <c r="R725" s="7">
        <v>33439</v>
      </c>
      <c r="T725" t="s">
        <v>119</v>
      </c>
      <c r="W725" s="15">
        <v>1.3266899999999999</v>
      </c>
      <c r="X725" s="15">
        <v>-77.259780000000006</v>
      </c>
      <c r="Y725">
        <v>1337.0219999999999</v>
      </c>
      <c r="Z725">
        <v>2422</v>
      </c>
      <c r="AB725" t="s">
        <v>5171</v>
      </c>
      <c r="AF725" t="s">
        <v>50</v>
      </c>
      <c r="AG725" t="s">
        <v>127</v>
      </c>
      <c r="AH725" t="s">
        <v>1996</v>
      </c>
      <c r="AI725" t="s">
        <v>5172</v>
      </c>
      <c r="AJ725">
        <v>775</v>
      </c>
    </row>
    <row r="726" spans="1:36">
      <c r="A726" t="s">
        <v>4131</v>
      </c>
      <c r="B726" t="s">
        <v>4132</v>
      </c>
      <c r="C726" t="s">
        <v>5173</v>
      </c>
      <c r="D726" t="s">
        <v>5174</v>
      </c>
      <c r="E726" t="s">
        <v>5175</v>
      </c>
      <c r="F726">
        <v>2200</v>
      </c>
      <c r="G726">
        <v>2200</v>
      </c>
      <c r="H726">
        <v>2200</v>
      </c>
      <c r="I726" t="s">
        <v>5176</v>
      </c>
      <c r="J726" t="s">
        <v>5177</v>
      </c>
      <c r="K726" t="s">
        <v>5178</v>
      </c>
      <c r="L726" t="s">
        <v>5179</v>
      </c>
      <c r="M726" t="s">
        <v>5180</v>
      </c>
      <c r="N726" t="s">
        <v>5181</v>
      </c>
      <c r="O726" t="s">
        <v>5182</v>
      </c>
      <c r="P726" t="s">
        <v>5183</v>
      </c>
      <c r="R726" s="7">
        <v>33670</v>
      </c>
      <c r="T726" t="s">
        <v>119</v>
      </c>
      <c r="W726" s="15">
        <v>1.2862777999999999</v>
      </c>
      <c r="X726" s="15">
        <v>-77.471052799999995</v>
      </c>
      <c r="AF726" t="s">
        <v>50</v>
      </c>
      <c r="AG726" t="s">
        <v>127</v>
      </c>
      <c r="AH726" t="s">
        <v>5184</v>
      </c>
      <c r="AI726" t="s">
        <v>5185</v>
      </c>
      <c r="AJ726">
        <v>776</v>
      </c>
    </row>
    <row r="727" spans="1:36">
      <c r="A727" t="s">
        <v>4131</v>
      </c>
      <c r="B727" t="s">
        <v>4132</v>
      </c>
      <c r="C727" t="s">
        <v>5186</v>
      </c>
      <c r="D727" t="s">
        <v>5187</v>
      </c>
      <c r="E727" t="s">
        <v>5170</v>
      </c>
      <c r="F727">
        <v>2450</v>
      </c>
      <c r="G727">
        <v>2450</v>
      </c>
      <c r="H727">
        <v>2450</v>
      </c>
      <c r="I727" t="s">
        <v>5188</v>
      </c>
      <c r="J727" t="s">
        <v>5189</v>
      </c>
      <c r="K727" t="s">
        <v>5190</v>
      </c>
      <c r="L727" t="s">
        <v>5191</v>
      </c>
      <c r="M727" t="s">
        <v>5192</v>
      </c>
      <c r="N727" t="s">
        <v>5193</v>
      </c>
      <c r="O727" t="s">
        <v>5194</v>
      </c>
      <c r="P727" t="s">
        <v>5195</v>
      </c>
      <c r="R727" s="7">
        <v>34405</v>
      </c>
      <c r="T727" t="s">
        <v>119</v>
      </c>
      <c r="W727" s="15">
        <v>1.3266899999999999</v>
      </c>
      <c r="X727" s="15">
        <v>-77.259780000000006</v>
      </c>
      <c r="Y727">
        <v>1337.0219999999999</v>
      </c>
      <c r="Z727">
        <v>2422</v>
      </c>
      <c r="AB727" t="s">
        <v>5171</v>
      </c>
      <c r="AF727" t="s">
        <v>50</v>
      </c>
      <c r="AG727" t="s">
        <v>127</v>
      </c>
      <c r="AH727" t="s">
        <v>1996</v>
      </c>
      <c r="AI727" t="s">
        <v>5172</v>
      </c>
      <c r="AJ727">
        <v>777</v>
      </c>
    </row>
    <row r="728" spans="1:36">
      <c r="A728" t="s">
        <v>4131</v>
      </c>
      <c r="B728" t="s">
        <v>4132</v>
      </c>
      <c r="C728" t="s">
        <v>5196</v>
      </c>
      <c r="D728" t="s">
        <v>5197</v>
      </c>
      <c r="E728" t="s">
        <v>5198</v>
      </c>
      <c r="F728">
        <v>2770</v>
      </c>
      <c r="G728">
        <v>2770</v>
      </c>
      <c r="H728">
        <v>2770</v>
      </c>
      <c r="I728" t="s">
        <v>5199</v>
      </c>
      <c r="J728" t="s">
        <v>5200</v>
      </c>
      <c r="K728" t="s">
        <v>5201</v>
      </c>
      <c r="L728" t="s">
        <v>5202</v>
      </c>
      <c r="M728" t="s">
        <v>5203</v>
      </c>
      <c r="N728" t="s">
        <v>5204</v>
      </c>
      <c r="O728" t="s">
        <v>5205</v>
      </c>
      <c r="P728" t="s">
        <v>5206</v>
      </c>
      <c r="R728" s="7">
        <v>35402</v>
      </c>
      <c r="T728" t="s">
        <v>119</v>
      </c>
      <c r="W728" s="15">
        <v>1.26251</v>
      </c>
      <c r="X728" s="15">
        <v>-77.260199999999998</v>
      </c>
      <c r="Y728">
        <v>2359.998</v>
      </c>
      <c r="Z728">
        <v>2864</v>
      </c>
      <c r="AB728" t="s">
        <v>5207</v>
      </c>
      <c r="AF728" t="s">
        <v>50</v>
      </c>
      <c r="AG728" t="s">
        <v>127</v>
      </c>
      <c r="AH728" t="s">
        <v>5208</v>
      </c>
      <c r="AI728" t="s">
        <v>5209</v>
      </c>
      <c r="AJ728">
        <v>778</v>
      </c>
    </row>
    <row r="729" spans="1:36">
      <c r="A729" t="s">
        <v>4131</v>
      </c>
      <c r="B729" t="s">
        <v>4132</v>
      </c>
      <c r="C729" t="s">
        <v>5210</v>
      </c>
      <c r="D729" t="s">
        <v>5211</v>
      </c>
      <c r="E729" t="s">
        <v>5212</v>
      </c>
      <c r="F729">
        <v>2900</v>
      </c>
      <c r="G729">
        <v>2900</v>
      </c>
      <c r="H729">
        <v>2900</v>
      </c>
      <c r="I729" t="s">
        <v>5036</v>
      </c>
      <c r="J729" t="s">
        <v>5037</v>
      </c>
      <c r="K729" t="s">
        <v>5038</v>
      </c>
      <c r="L729" t="s">
        <v>5039</v>
      </c>
      <c r="M729" t="s">
        <v>5040</v>
      </c>
      <c r="N729" t="s">
        <v>5041</v>
      </c>
      <c r="O729" t="s">
        <v>5042</v>
      </c>
      <c r="P729" t="s">
        <v>5043</v>
      </c>
      <c r="R729" s="7">
        <v>36352</v>
      </c>
      <c r="T729" t="s">
        <v>119</v>
      </c>
      <c r="W729" s="15">
        <v>1.6010055999999999</v>
      </c>
      <c r="X729" s="15">
        <v>-76.971508299999996</v>
      </c>
      <c r="AF729" t="s">
        <v>50</v>
      </c>
      <c r="AG729" t="s">
        <v>127</v>
      </c>
      <c r="AH729" t="s">
        <v>5044</v>
      </c>
      <c r="AI729" t="s">
        <v>5213</v>
      </c>
      <c r="AJ729">
        <v>779</v>
      </c>
    </row>
    <row r="730" spans="1:36">
      <c r="A730" t="s">
        <v>4131</v>
      </c>
      <c r="B730" t="s">
        <v>4132</v>
      </c>
      <c r="C730" t="s">
        <v>5214</v>
      </c>
      <c r="D730" t="s">
        <v>5215</v>
      </c>
      <c r="E730" t="s">
        <v>5157</v>
      </c>
      <c r="F730" t="s">
        <v>5216</v>
      </c>
      <c r="G730">
        <v>1990</v>
      </c>
      <c r="H730">
        <v>2440</v>
      </c>
      <c r="I730" t="s">
        <v>5159</v>
      </c>
      <c r="J730" t="s">
        <v>5160</v>
      </c>
      <c r="K730" t="s">
        <v>5161</v>
      </c>
      <c r="L730" t="s">
        <v>5162</v>
      </c>
      <c r="M730" t="s">
        <v>5163</v>
      </c>
      <c r="N730" t="s">
        <v>5164</v>
      </c>
      <c r="O730" t="s">
        <v>5165</v>
      </c>
      <c r="P730" t="s">
        <v>5166</v>
      </c>
      <c r="R730" s="7" t="s">
        <v>5217</v>
      </c>
      <c r="T730" t="s">
        <v>119</v>
      </c>
      <c r="W730" s="15">
        <v>1.6051556</v>
      </c>
      <c r="X730" s="15">
        <v>-77.133636100000004</v>
      </c>
      <c r="AF730" t="s">
        <v>50</v>
      </c>
      <c r="AG730" t="s">
        <v>127</v>
      </c>
      <c r="AH730" t="s">
        <v>614</v>
      </c>
      <c r="AI730" t="s">
        <v>5167</v>
      </c>
      <c r="AJ730">
        <v>780</v>
      </c>
    </row>
    <row r="731" spans="1:36">
      <c r="A731" t="s">
        <v>4131</v>
      </c>
      <c r="B731" t="s">
        <v>4132</v>
      </c>
      <c r="C731" t="s">
        <v>5218</v>
      </c>
      <c r="D731" t="s">
        <v>5219</v>
      </c>
      <c r="E731" t="s">
        <v>5220</v>
      </c>
      <c r="F731" t="s">
        <v>5221</v>
      </c>
      <c r="G731">
        <v>1300</v>
      </c>
      <c r="H731">
        <v>1600</v>
      </c>
      <c r="P731" t="s">
        <v>80</v>
      </c>
      <c r="R731" s="7">
        <v>21633</v>
      </c>
      <c r="T731" t="s">
        <v>119</v>
      </c>
      <c r="W731" s="15">
        <v>7.0247700000000002</v>
      </c>
      <c r="X731" s="15">
        <v>-72.033289999999994</v>
      </c>
      <c r="Y731">
        <v>851.68499999999995</v>
      </c>
      <c r="Z731">
        <v>282</v>
      </c>
      <c r="AB731" t="s">
        <v>5222</v>
      </c>
      <c r="AF731" t="s">
        <v>50</v>
      </c>
      <c r="AG731" t="s">
        <v>1306</v>
      </c>
      <c r="AH731" t="s">
        <v>1307</v>
      </c>
      <c r="AI731" t="s">
        <v>5223</v>
      </c>
      <c r="AJ731">
        <v>781</v>
      </c>
    </row>
    <row r="732" spans="1:36">
      <c r="A732" t="s">
        <v>4131</v>
      </c>
      <c r="B732" t="s">
        <v>4132</v>
      </c>
      <c r="C732" t="s">
        <v>5224</v>
      </c>
      <c r="D732" t="s">
        <v>5225</v>
      </c>
      <c r="E732" t="s">
        <v>5226</v>
      </c>
      <c r="F732" t="s">
        <v>5227</v>
      </c>
      <c r="G732">
        <v>2000</v>
      </c>
      <c r="H732">
        <v>2550</v>
      </c>
      <c r="P732" t="s">
        <v>80</v>
      </c>
      <c r="R732" s="7">
        <v>25060</v>
      </c>
      <c r="T732" t="s">
        <v>119</v>
      </c>
      <c r="W732" s="15">
        <v>7.2751999999999999</v>
      </c>
      <c r="X732" s="15">
        <v>-72.552760000000006</v>
      </c>
      <c r="Y732">
        <v>8150.28</v>
      </c>
      <c r="Z732">
        <v>2000</v>
      </c>
      <c r="AB732" t="s">
        <v>5228</v>
      </c>
      <c r="AF732" t="s">
        <v>50</v>
      </c>
      <c r="AG732" t="s">
        <v>1306</v>
      </c>
      <c r="AH732" t="s">
        <v>5229</v>
      </c>
      <c r="AJ732">
        <v>782</v>
      </c>
    </row>
    <row r="733" spans="1:36">
      <c r="A733" t="s">
        <v>4131</v>
      </c>
      <c r="B733" t="s">
        <v>4132</v>
      </c>
      <c r="C733" t="s">
        <v>5230</v>
      </c>
      <c r="D733" t="s">
        <v>5231</v>
      </c>
      <c r="E733" t="s">
        <v>5232</v>
      </c>
      <c r="F733">
        <v>2580</v>
      </c>
      <c r="G733">
        <v>2580</v>
      </c>
      <c r="H733">
        <v>2580</v>
      </c>
      <c r="I733" t="s">
        <v>5233</v>
      </c>
      <c r="J733" t="s">
        <v>5234</v>
      </c>
      <c r="K733" t="s">
        <v>5235</v>
      </c>
      <c r="L733" t="s">
        <v>5236</v>
      </c>
      <c r="M733" t="s">
        <v>5237</v>
      </c>
      <c r="N733" t="s">
        <v>5238</v>
      </c>
      <c r="O733" t="s">
        <v>5239</v>
      </c>
      <c r="P733" t="s">
        <v>5240</v>
      </c>
      <c r="R733" s="7">
        <v>30440</v>
      </c>
      <c r="W733" s="15">
        <v>7.3666666999999997</v>
      </c>
      <c r="X733" s="15">
        <v>-72.633333300000004</v>
      </c>
      <c r="AF733" t="s">
        <v>50</v>
      </c>
      <c r="AG733" t="s">
        <v>1306</v>
      </c>
      <c r="AH733" t="s">
        <v>5241</v>
      </c>
      <c r="AI733" t="s">
        <v>5242</v>
      </c>
      <c r="AJ733">
        <v>783</v>
      </c>
    </row>
    <row r="734" spans="1:36">
      <c r="A734" t="s">
        <v>4131</v>
      </c>
      <c r="B734" t="s">
        <v>4132</v>
      </c>
      <c r="C734" t="s">
        <v>5243</v>
      </c>
      <c r="D734" t="s">
        <v>5244</v>
      </c>
      <c r="E734" t="s">
        <v>5245</v>
      </c>
      <c r="F734">
        <v>1900</v>
      </c>
      <c r="G734">
        <v>1900</v>
      </c>
      <c r="H734">
        <v>1900</v>
      </c>
      <c r="P734" t="s">
        <v>80</v>
      </c>
      <c r="R734" s="7">
        <v>37028</v>
      </c>
      <c r="T734" t="s">
        <v>111</v>
      </c>
      <c r="W734" s="15">
        <v>8.2499699999999994</v>
      </c>
      <c r="X734" s="15">
        <v>-73.249979999999994</v>
      </c>
      <c r="Y734">
        <v>1197.203</v>
      </c>
      <c r="Z734">
        <v>1746</v>
      </c>
      <c r="AB734" t="s">
        <v>5246</v>
      </c>
      <c r="AF734" t="s">
        <v>50</v>
      </c>
      <c r="AG734" t="s">
        <v>1306</v>
      </c>
      <c r="AH734" t="s">
        <v>5247</v>
      </c>
      <c r="AI734" t="s">
        <v>5248</v>
      </c>
      <c r="AJ734">
        <v>784</v>
      </c>
    </row>
    <row r="735" spans="1:36">
      <c r="A735" t="s">
        <v>4131</v>
      </c>
      <c r="B735" t="s">
        <v>4132</v>
      </c>
      <c r="C735" t="s">
        <v>5249</v>
      </c>
      <c r="D735" t="s">
        <v>5250</v>
      </c>
      <c r="E735" t="s">
        <v>5251</v>
      </c>
      <c r="F735">
        <v>2200</v>
      </c>
      <c r="G735">
        <v>2200</v>
      </c>
      <c r="H735">
        <v>2200</v>
      </c>
      <c r="P735" t="s">
        <v>80</v>
      </c>
      <c r="R735" s="7">
        <v>14979</v>
      </c>
      <c r="W735" s="15">
        <v>1.11202</v>
      </c>
      <c r="X735" s="15">
        <v>-76.969679999999997</v>
      </c>
      <c r="Y735">
        <v>1039.55</v>
      </c>
      <c r="Z735">
        <v>2204</v>
      </c>
      <c r="AB735" t="s">
        <v>5252</v>
      </c>
      <c r="AF735" t="s">
        <v>50</v>
      </c>
      <c r="AG735" t="s">
        <v>67</v>
      </c>
      <c r="AH735" t="s">
        <v>5253</v>
      </c>
      <c r="AI735" t="s">
        <v>5254</v>
      </c>
      <c r="AJ735">
        <v>785</v>
      </c>
    </row>
    <row r="736" spans="1:36">
      <c r="A736" t="s">
        <v>4131</v>
      </c>
      <c r="B736" t="s">
        <v>4132</v>
      </c>
      <c r="C736" t="s">
        <v>5255</v>
      </c>
      <c r="D736" t="s">
        <v>5256</v>
      </c>
      <c r="E736" t="s">
        <v>5257</v>
      </c>
      <c r="F736">
        <v>2316</v>
      </c>
      <c r="G736">
        <v>2316</v>
      </c>
      <c r="H736">
        <v>2316</v>
      </c>
      <c r="I736" t="s">
        <v>5258</v>
      </c>
      <c r="J736" t="s">
        <v>5259</v>
      </c>
      <c r="K736" t="s">
        <v>5260</v>
      </c>
      <c r="L736" t="s">
        <v>5261</v>
      </c>
      <c r="M736" t="s">
        <v>5262</v>
      </c>
      <c r="N736" t="s">
        <v>5263</v>
      </c>
      <c r="O736" t="s">
        <v>5264</v>
      </c>
      <c r="P736" t="s">
        <v>5265</v>
      </c>
      <c r="R736" s="7">
        <v>17103</v>
      </c>
      <c r="W736" s="15">
        <v>1.2017416999999999</v>
      </c>
      <c r="X736" s="15">
        <v>-76.9153278</v>
      </c>
      <c r="AF736" t="s">
        <v>50</v>
      </c>
      <c r="AG736" t="s">
        <v>67</v>
      </c>
      <c r="AH736" t="s">
        <v>5266</v>
      </c>
      <c r="AJ736">
        <v>786</v>
      </c>
    </row>
    <row r="737" spans="1:36" s="2" customFormat="1">
      <c r="A737" t="s">
        <v>4131</v>
      </c>
      <c r="B737" t="s">
        <v>4132</v>
      </c>
      <c r="C737" t="s">
        <v>5267</v>
      </c>
      <c r="D737" t="s">
        <v>5268</v>
      </c>
      <c r="E737" t="s">
        <v>5257</v>
      </c>
      <c r="F737">
        <v>2200</v>
      </c>
      <c r="G737">
        <v>2200</v>
      </c>
      <c r="H737">
        <v>2200</v>
      </c>
      <c r="I737" t="s">
        <v>5258</v>
      </c>
      <c r="J737" t="s">
        <v>5259</v>
      </c>
      <c r="K737" t="s">
        <v>5260</v>
      </c>
      <c r="L737" t="s">
        <v>5261</v>
      </c>
      <c r="M737" t="s">
        <v>5262</v>
      </c>
      <c r="N737" t="s">
        <v>5263</v>
      </c>
      <c r="O737" t="s">
        <v>5264</v>
      </c>
      <c r="P737" t="s">
        <v>5265</v>
      </c>
      <c r="Q737"/>
      <c r="R737" s="7">
        <v>22985</v>
      </c>
      <c r="S737"/>
      <c r="T737" t="s">
        <v>119</v>
      </c>
      <c r="U737"/>
      <c r="V737"/>
      <c r="W737" s="15">
        <v>1.2017416999999999</v>
      </c>
      <c r="X737" s="15">
        <v>-76.9153278</v>
      </c>
      <c r="Y737"/>
      <c r="Z737"/>
      <c r="AA737"/>
      <c r="AB737"/>
      <c r="AC737"/>
      <c r="AD737"/>
      <c r="AE737"/>
      <c r="AF737" t="s">
        <v>50</v>
      </c>
      <c r="AG737" t="s">
        <v>67</v>
      </c>
      <c r="AH737" t="s">
        <v>5266</v>
      </c>
      <c r="AI737"/>
      <c r="AJ737">
        <v>787</v>
      </c>
    </row>
    <row r="738" spans="1:36">
      <c r="A738" t="s">
        <v>4131</v>
      </c>
      <c r="B738" t="s">
        <v>4132</v>
      </c>
      <c r="C738" t="s">
        <v>5267</v>
      </c>
      <c r="D738" t="s">
        <v>5269</v>
      </c>
      <c r="E738" t="s">
        <v>5257</v>
      </c>
      <c r="F738">
        <v>2200</v>
      </c>
      <c r="G738">
        <v>2200</v>
      </c>
      <c r="H738">
        <v>2200</v>
      </c>
      <c r="I738" t="s">
        <v>5258</v>
      </c>
      <c r="J738" t="s">
        <v>5259</v>
      </c>
      <c r="K738" t="s">
        <v>5260</v>
      </c>
      <c r="L738" t="s">
        <v>5261</v>
      </c>
      <c r="M738" t="s">
        <v>5262</v>
      </c>
      <c r="N738" t="s">
        <v>5263</v>
      </c>
      <c r="O738" t="s">
        <v>5264</v>
      </c>
      <c r="P738" t="s">
        <v>5265</v>
      </c>
      <c r="R738" s="7">
        <v>22985</v>
      </c>
      <c r="W738" s="15">
        <v>1.2017416999999999</v>
      </c>
      <c r="X738" s="15">
        <v>-76.9153278</v>
      </c>
      <c r="AF738" t="s">
        <v>50</v>
      </c>
      <c r="AG738" t="s">
        <v>67</v>
      </c>
      <c r="AH738" t="s">
        <v>5266</v>
      </c>
      <c r="AJ738">
        <v>788</v>
      </c>
    </row>
    <row r="739" spans="1:36">
      <c r="A739" t="s">
        <v>4131</v>
      </c>
      <c r="B739" t="s">
        <v>4132</v>
      </c>
      <c r="C739" t="s">
        <v>5270</v>
      </c>
      <c r="D739" t="s">
        <v>5271</v>
      </c>
      <c r="E739" t="s">
        <v>5257</v>
      </c>
      <c r="F739">
        <v>2200</v>
      </c>
      <c r="G739">
        <v>2200</v>
      </c>
      <c r="H739">
        <v>2200</v>
      </c>
      <c r="I739" t="s">
        <v>5258</v>
      </c>
      <c r="J739" t="s">
        <v>5259</v>
      </c>
      <c r="K739" t="s">
        <v>5260</v>
      </c>
      <c r="L739" t="s">
        <v>5261</v>
      </c>
      <c r="M739" t="s">
        <v>5262</v>
      </c>
      <c r="N739" t="s">
        <v>5263</v>
      </c>
      <c r="O739" t="s">
        <v>5264</v>
      </c>
      <c r="P739" t="s">
        <v>5265</v>
      </c>
      <c r="R739" s="7">
        <v>23008</v>
      </c>
      <c r="W739" s="15">
        <v>1.2017416999999999</v>
      </c>
      <c r="X739" s="15">
        <v>-76.9153278</v>
      </c>
      <c r="AF739" t="s">
        <v>50</v>
      </c>
      <c r="AG739" t="s">
        <v>67</v>
      </c>
      <c r="AH739" t="s">
        <v>5266</v>
      </c>
      <c r="AJ739">
        <v>789</v>
      </c>
    </row>
    <row r="740" spans="1:36">
      <c r="A740" t="s">
        <v>4131</v>
      </c>
      <c r="B740" t="s">
        <v>4132</v>
      </c>
      <c r="C740" t="s">
        <v>5270</v>
      </c>
      <c r="D740" t="s">
        <v>5272</v>
      </c>
      <c r="E740" t="s">
        <v>5257</v>
      </c>
      <c r="F740">
        <v>2200</v>
      </c>
      <c r="G740">
        <v>2200</v>
      </c>
      <c r="H740">
        <v>2200</v>
      </c>
      <c r="I740" t="s">
        <v>5258</v>
      </c>
      <c r="J740" t="s">
        <v>5259</v>
      </c>
      <c r="K740" t="s">
        <v>5260</v>
      </c>
      <c r="L740" t="s">
        <v>5261</v>
      </c>
      <c r="M740" t="s">
        <v>5262</v>
      </c>
      <c r="N740" t="s">
        <v>5263</v>
      </c>
      <c r="O740" t="s">
        <v>5264</v>
      </c>
      <c r="P740" t="s">
        <v>5265</v>
      </c>
      <c r="R740" s="7">
        <v>23008</v>
      </c>
      <c r="W740" s="15">
        <v>1.2017416999999999</v>
      </c>
      <c r="X740" s="15">
        <v>-76.9153278</v>
      </c>
      <c r="AF740" t="s">
        <v>50</v>
      </c>
      <c r="AG740" t="s">
        <v>67</v>
      </c>
      <c r="AH740" t="s">
        <v>5266</v>
      </c>
      <c r="AJ740">
        <v>790</v>
      </c>
    </row>
    <row r="741" spans="1:36">
      <c r="A741" t="s">
        <v>4131</v>
      </c>
      <c r="B741" t="s">
        <v>4132</v>
      </c>
      <c r="C741" t="s">
        <v>5273</v>
      </c>
      <c r="D741" t="s">
        <v>5274</v>
      </c>
      <c r="E741" t="s">
        <v>5275</v>
      </c>
      <c r="P741" t="s">
        <v>80</v>
      </c>
      <c r="R741" s="7">
        <v>23247</v>
      </c>
      <c r="W741" s="15">
        <v>1.1491800000000001</v>
      </c>
      <c r="X741" s="15">
        <v>-77.005430000000004</v>
      </c>
      <c r="Y741">
        <v>975.42100000000005</v>
      </c>
      <c r="Z741">
        <v>2130</v>
      </c>
      <c r="AB741" t="s">
        <v>5276</v>
      </c>
      <c r="AF741" t="s">
        <v>50</v>
      </c>
      <c r="AG741" t="s">
        <v>67</v>
      </c>
      <c r="AH741" t="s">
        <v>5253</v>
      </c>
      <c r="AI741" t="s">
        <v>5277</v>
      </c>
      <c r="AJ741">
        <v>791</v>
      </c>
    </row>
    <row r="742" spans="1:36">
      <c r="A742" t="s">
        <v>4131</v>
      </c>
      <c r="B742" t="s">
        <v>4132</v>
      </c>
      <c r="C742" t="s">
        <v>5278</v>
      </c>
      <c r="D742" t="s">
        <v>5279</v>
      </c>
      <c r="E742" t="s">
        <v>5280</v>
      </c>
      <c r="F742">
        <v>2050</v>
      </c>
      <c r="G742">
        <v>2050</v>
      </c>
      <c r="H742">
        <v>2050</v>
      </c>
      <c r="P742" t="s">
        <v>80</v>
      </c>
      <c r="R742" s="7">
        <v>26623</v>
      </c>
      <c r="T742" t="s">
        <v>65</v>
      </c>
      <c r="W742" s="15">
        <v>1.0825899999999999</v>
      </c>
      <c r="X742" s="15">
        <v>-76.664119999999997</v>
      </c>
      <c r="Y742">
        <v>2639.5639999999999</v>
      </c>
      <c r="Z742">
        <v>696</v>
      </c>
      <c r="AB742" t="s">
        <v>66</v>
      </c>
      <c r="AF742" t="s">
        <v>50</v>
      </c>
      <c r="AG742" t="s">
        <v>67</v>
      </c>
      <c r="AH742" t="s">
        <v>5281</v>
      </c>
      <c r="AJ742">
        <v>792</v>
      </c>
    </row>
    <row r="743" spans="1:36">
      <c r="A743" t="s">
        <v>4131</v>
      </c>
      <c r="B743" t="s">
        <v>4132</v>
      </c>
      <c r="C743" t="s">
        <v>5154</v>
      </c>
      <c r="D743" t="s">
        <v>5282</v>
      </c>
      <c r="E743" t="s">
        <v>5283</v>
      </c>
      <c r="F743">
        <v>3200</v>
      </c>
      <c r="G743">
        <v>3200</v>
      </c>
      <c r="H743">
        <v>3200</v>
      </c>
      <c r="I743" t="s">
        <v>5284</v>
      </c>
      <c r="J743" t="s">
        <v>5285</v>
      </c>
      <c r="K743" t="s">
        <v>5286</v>
      </c>
      <c r="L743" t="s">
        <v>5287</v>
      </c>
      <c r="M743" t="s">
        <v>5288</v>
      </c>
      <c r="N743" t="s">
        <v>5289</v>
      </c>
      <c r="O743" t="s">
        <v>5290</v>
      </c>
      <c r="P743" t="s">
        <v>5291</v>
      </c>
      <c r="R743" s="7">
        <v>29181</v>
      </c>
      <c r="W743" s="15">
        <v>1.1435999999999999</v>
      </c>
      <c r="X743" s="15">
        <v>-76.786230000000003</v>
      </c>
      <c r="Y743">
        <v>5369.4530000000004</v>
      </c>
      <c r="Z743">
        <v>3372</v>
      </c>
      <c r="AB743" t="s">
        <v>5292</v>
      </c>
      <c r="AF743" t="s">
        <v>50</v>
      </c>
      <c r="AG743" t="s">
        <v>67</v>
      </c>
      <c r="AH743" t="s">
        <v>5293</v>
      </c>
      <c r="AJ743">
        <v>793</v>
      </c>
    </row>
    <row r="744" spans="1:36">
      <c r="A744" t="s">
        <v>4131</v>
      </c>
      <c r="B744" t="s">
        <v>4132</v>
      </c>
      <c r="C744" t="s">
        <v>5294</v>
      </c>
      <c r="D744" t="s">
        <v>5295</v>
      </c>
      <c r="E744" t="s">
        <v>5296</v>
      </c>
      <c r="F744">
        <v>2250</v>
      </c>
      <c r="G744">
        <v>2250</v>
      </c>
      <c r="H744">
        <v>2250</v>
      </c>
      <c r="P744" t="s">
        <v>80</v>
      </c>
      <c r="R744" s="7">
        <v>30584</v>
      </c>
      <c r="W744" s="15">
        <v>4.4780800000000003</v>
      </c>
      <c r="X744" s="15">
        <v>-75.628749999999997</v>
      </c>
      <c r="Y744">
        <v>1283.905</v>
      </c>
      <c r="Z744">
        <v>2222</v>
      </c>
      <c r="AB744" t="s">
        <v>5297</v>
      </c>
      <c r="AF744" t="s">
        <v>50</v>
      </c>
      <c r="AG744" t="s">
        <v>182</v>
      </c>
      <c r="AH744" t="s">
        <v>3079</v>
      </c>
      <c r="AI744" t="s">
        <v>5298</v>
      </c>
      <c r="AJ744">
        <v>794</v>
      </c>
    </row>
    <row r="745" spans="1:36">
      <c r="A745" t="s">
        <v>4131</v>
      </c>
      <c r="B745" t="s">
        <v>4132</v>
      </c>
      <c r="C745" t="s">
        <v>5299</v>
      </c>
      <c r="D745" t="s">
        <v>5300</v>
      </c>
      <c r="E745" t="s">
        <v>5301</v>
      </c>
      <c r="F745">
        <v>2270</v>
      </c>
      <c r="G745">
        <v>2270</v>
      </c>
      <c r="H745">
        <v>2270</v>
      </c>
      <c r="I745" t="s">
        <v>5302</v>
      </c>
      <c r="J745" t="s">
        <v>2444</v>
      </c>
      <c r="K745" t="s">
        <v>4228</v>
      </c>
      <c r="L745" t="s">
        <v>4229</v>
      </c>
      <c r="M745" t="s">
        <v>5303</v>
      </c>
      <c r="N745" t="s">
        <v>2447</v>
      </c>
      <c r="O745" t="s">
        <v>2437</v>
      </c>
      <c r="P745" t="s">
        <v>5304</v>
      </c>
      <c r="R745" s="7">
        <v>31293</v>
      </c>
      <c r="W745" s="15">
        <v>4.6871799999999997</v>
      </c>
      <c r="X745" s="15">
        <v>-75.617509999999996</v>
      </c>
      <c r="Y745">
        <v>4102.8419999999996</v>
      </c>
      <c r="Z745">
        <v>1968</v>
      </c>
      <c r="AA745" t="s">
        <v>3049</v>
      </c>
      <c r="AB745" t="s">
        <v>3050</v>
      </c>
      <c r="AF745" t="s">
        <v>50</v>
      </c>
      <c r="AG745" t="s">
        <v>182</v>
      </c>
      <c r="AH745" t="s">
        <v>320</v>
      </c>
      <c r="AI745" t="s">
        <v>5305</v>
      </c>
      <c r="AJ745">
        <v>795</v>
      </c>
    </row>
    <row r="746" spans="1:36">
      <c r="A746" t="s">
        <v>4131</v>
      </c>
      <c r="B746" t="s">
        <v>4132</v>
      </c>
      <c r="C746" t="s">
        <v>5299</v>
      </c>
      <c r="D746" t="s">
        <v>5306</v>
      </c>
      <c r="E746" t="s">
        <v>5301</v>
      </c>
      <c r="F746">
        <v>2270</v>
      </c>
      <c r="G746">
        <v>2270</v>
      </c>
      <c r="H746">
        <v>2270</v>
      </c>
      <c r="I746" t="s">
        <v>5302</v>
      </c>
      <c r="J746" t="s">
        <v>2444</v>
      </c>
      <c r="K746" t="s">
        <v>4228</v>
      </c>
      <c r="L746" t="s">
        <v>4229</v>
      </c>
      <c r="M746" t="s">
        <v>5303</v>
      </c>
      <c r="N746" t="s">
        <v>2447</v>
      </c>
      <c r="O746" t="s">
        <v>2437</v>
      </c>
      <c r="P746" t="s">
        <v>5304</v>
      </c>
      <c r="R746" s="7">
        <v>31293</v>
      </c>
      <c r="T746" t="s">
        <v>119</v>
      </c>
      <c r="W746" s="15">
        <v>4.6871799999999997</v>
      </c>
      <c r="X746" s="15">
        <v>-75.617509999999996</v>
      </c>
      <c r="Y746">
        <v>4102.8419999999996</v>
      </c>
      <c r="Z746">
        <v>1968</v>
      </c>
      <c r="AA746" t="s">
        <v>3049</v>
      </c>
      <c r="AB746" t="s">
        <v>3050</v>
      </c>
      <c r="AF746" t="s">
        <v>50</v>
      </c>
      <c r="AG746" t="s">
        <v>182</v>
      </c>
      <c r="AH746" t="s">
        <v>320</v>
      </c>
      <c r="AI746" t="s">
        <v>5305</v>
      </c>
      <c r="AJ746">
        <v>796</v>
      </c>
    </row>
    <row r="747" spans="1:36">
      <c r="A747" t="s">
        <v>4131</v>
      </c>
      <c r="B747" t="s">
        <v>4132</v>
      </c>
      <c r="C747" t="s">
        <v>5307</v>
      </c>
      <c r="D747" t="s">
        <v>5308</v>
      </c>
      <c r="E747" t="s">
        <v>5309</v>
      </c>
      <c r="F747">
        <v>2590</v>
      </c>
      <c r="G747">
        <v>2590</v>
      </c>
      <c r="H747">
        <v>2590</v>
      </c>
      <c r="I747" t="s">
        <v>797</v>
      </c>
      <c r="J747" t="s">
        <v>798</v>
      </c>
      <c r="K747" t="s">
        <v>799</v>
      </c>
      <c r="L747" t="s">
        <v>419</v>
      </c>
      <c r="M747" t="s">
        <v>800</v>
      </c>
      <c r="N747" t="s">
        <v>801</v>
      </c>
      <c r="O747" t="s">
        <v>422</v>
      </c>
      <c r="P747" t="s">
        <v>802</v>
      </c>
      <c r="R747" s="7">
        <v>31393</v>
      </c>
      <c r="W747" s="15">
        <v>4.6666667000000004</v>
      </c>
      <c r="X747" s="15">
        <v>-75.5</v>
      </c>
      <c r="AF747" t="s">
        <v>50</v>
      </c>
      <c r="AG747" t="s">
        <v>182</v>
      </c>
      <c r="AH747" t="s">
        <v>803</v>
      </c>
      <c r="AI747" t="s">
        <v>5310</v>
      </c>
      <c r="AJ747">
        <v>797</v>
      </c>
    </row>
    <row r="748" spans="1:36">
      <c r="A748" t="s">
        <v>4131</v>
      </c>
      <c r="B748" t="s">
        <v>4132</v>
      </c>
      <c r="C748" t="s">
        <v>5307</v>
      </c>
      <c r="D748" t="s">
        <v>5311</v>
      </c>
      <c r="E748" t="s">
        <v>5309</v>
      </c>
      <c r="F748">
        <v>2590</v>
      </c>
      <c r="G748">
        <v>2590</v>
      </c>
      <c r="H748">
        <v>2590</v>
      </c>
      <c r="I748" t="s">
        <v>797</v>
      </c>
      <c r="J748" t="s">
        <v>798</v>
      </c>
      <c r="K748" t="s">
        <v>799</v>
      </c>
      <c r="L748" t="s">
        <v>419</v>
      </c>
      <c r="M748" t="s">
        <v>800</v>
      </c>
      <c r="N748" t="s">
        <v>801</v>
      </c>
      <c r="O748" t="s">
        <v>422</v>
      </c>
      <c r="P748" t="s">
        <v>802</v>
      </c>
      <c r="R748" s="7">
        <v>31393</v>
      </c>
      <c r="W748" s="15">
        <v>4.6666667000000004</v>
      </c>
      <c r="X748" s="15">
        <v>-75.5</v>
      </c>
      <c r="AF748" t="s">
        <v>50</v>
      </c>
      <c r="AG748" t="s">
        <v>182</v>
      </c>
      <c r="AH748" t="s">
        <v>803</v>
      </c>
      <c r="AI748" t="s">
        <v>5310</v>
      </c>
      <c r="AJ748">
        <v>798</v>
      </c>
    </row>
    <row r="749" spans="1:36">
      <c r="A749" t="s">
        <v>4131</v>
      </c>
      <c r="B749" t="s">
        <v>4132</v>
      </c>
      <c r="C749" t="s">
        <v>5312</v>
      </c>
      <c r="D749" t="s">
        <v>5313</v>
      </c>
      <c r="E749" t="s">
        <v>5309</v>
      </c>
      <c r="F749">
        <v>2880</v>
      </c>
      <c r="G749">
        <v>2880</v>
      </c>
      <c r="H749">
        <v>2880</v>
      </c>
      <c r="I749" t="s">
        <v>797</v>
      </c>
      <c r="J749" t="s">
        <v>798</v>
      </c>
      <c r="K749" t="s">
        <v>799</v>
      </c>
      <c r="L749" t="s">
        <v>419</v>
      </c>
      <c r="M749" t="s">
        <v>800</v>
      </c>
      <c r="N749" t="s">
        <v>801</v>
      </c>
      <c r="O749" t="s">
        <v>422</v>
      </c>
      <c r="P749" t="s">
        <v>802</v>
      </c>
      <c r="R749" s="7">
        <v>31741</v>
      </c>
      <c r="T749" t="s">
        <v>119</v>
      </c>
      <c r="W749" s="15">
        <v>4.6666667000000004</v>
      </c>
      <c r="X749" s="15">
        <v>-75.5</v>
      </c>
      <c r="AF749" t="s">
        <v>50</v>
      </c>
      <c r="AG749" t="s">
        <v>182</v>
      </c>
      <c r="AH749" t="s">
        <v>803</v>
      </c>
      <c r="AI749" t="s">
        <v>5310</v>
      </c>
      <c r="AJ749">
        <v>799</v>
      </c>
    </row>
    <row r="750" spans="1:36">
      <c r="A750" t="s">
        <v>4131</v>
      </c>
      <c r="B750" t="s">
        <v>4132</v>
      </c>
      <c r="C750" t="s">
        <v>5314</v>
      </c>
      <c r="D750" t="s">
        <v>5315</v>
      </c>
      <c r="E750" t="s">
        <v>5316</v>
      </c>
      <c r="F750">
        <v>2390</v>
      </c>
      <c r="G750">
        <v>2390</v>
      </c>
      <c r="H750">
        <v>2390</v>
      </c>
      <c r="I750" t="s">
        <v>5317</v>
      </c>
      <c r="J750" t="s">
        <v>5318</v>
      </c>
      <c r="K750" t="s">
        <v>5319</v>
      </c>
      <c r="L750" t="s">
        <v>5320</v>
      </c>
      <c r="M750" t="s">
        <v>5321</v>
      </c>
      <c r="N750" t="s">
        <v>5322</v>
      </c>
      <c r="O750" t="s">
        <v>5323</v>
      </c>
      <c r="P750" t="s">
        <v>5324</v>
      </c>
      <c r="R750" s="7">
        <v>31905</v>
      </c>
      <c r="W750" s="15">
        <v>4.3016699999999997</v>
      </c>
      <c r="X750" s="15">
        <v>-75.686549999999997</v>
      </c>
      <c r="Y750">
        <v>9373.0360000000001</v>
      </c>
      <c r="Z750">
        <v>2375</v>
      </c>
      <c r="AB750" t="s">
        <v>5325</v>
      </c>
      <c r="AF750" t="s">
        <v>50</v>
      </c>
      <c r="AG750" t="s">
        <v>182</v>
      </c>
      <c r="AH750" t="s">
        <v>3060</v>
      </c>
      <c r="AI750" t="s">
        <v>5326</v>
      </c>
      <c r="AJ750">
        <v>800</v>
      </c>
    </row>
    <row r="751" spans="1:36">
      <c r="A751" t="s">
        <v>4131</v>
      </c>
      <c r="B751" t="s">
        <v>4132</v>
      </c>
      <c r="C751" t="s">
        <v>5327</v>
      </c>
      <c r="D751" t="s">
        <v>5328</v>
      </c>
      <c r="E751" t="s">
        <v>5329</v>
      </c>
      <c r="F751">
        <v>2680</v>
      </c>
      <c r="G751">
        <v>2680</v>
      </c>
      <c r="H751">
        <v>2680</v>
      </c>
      <c r="I751" t="s">
        <v>797</v>
      </c>
      <c r="J751" t="s">
        <v>798</v>
      </c>
      <c r="K751" t="s">
        <v>799</v>
      </c>
      <c r="L751" t="s">
        <v>419</v>
      </c>
      <c r="M751" t="s">
        <v>800</v>
      </c>
      <c r="N751" t="s">
        <v>801</v>
      </c>
      <c r="O751" t="s">
        <v>422</v>
      </c>
      <c r="P751" t="s">
        <v>802</v>
      </c>
      <c r="R751" s="7">
        <v>33369</v>
      </c>
      <c r="W751" s="15">
        <v>4.6666667000000004</v>
      </c>
      <c r="X751" s="15">
        <v>-75.5</v>
      </c>
      <c r="AF751" t="s">
        <v>50</v>
      </c>
      <c r="AG751" t="s">
        <v>182</v>
      </c>
      <c r="AH751" t="s">
        <v>803</v>
      </c>
      <c r="AI751" t="s">
        <v>5330</v>
      </c>
      <c r="AJ751">
        <v>801</v>
      </c>
    </row>
    <row r="752" spans="1:36">
      <c r="A752" t="s">
        <v>4131</v>
      </c>
      <c r="B752" t="s">
        <v>4132</v>
      </c>
      <c r="C752" t="s">
        <v>5331</v>
      </c>
      <c r="D752" t="s">
        <v>5332</v>
      </c>
      <c r="E752" t="s">
        <v>5333</v>
      </c>
      <c r="F752">
        <v>2900</v>
      </c>
      <c r="G752">
        <v>2900</v>
      </c>
      <c r="H752">
        <v>2900</v>
      </c>
      <c r="I752" t="s">
        <v>5334</v>
      </c>
      <c r="J752" t="s">
        <v>5335</v>
      </c>
      <c r="K752" t="s">
        <v>5336</v>
      </c>
      <c r="L752" t="s">
        <v>5337</v>
      </c>
      <c r="M752" t="s">
        <v>5338</v>
      </c>
      <c r="N752" t="s">
        <v>5339</v>
      </c>
      <c r="O752" t="s">
        <v>5340</v>
      </c>
      <c r="P752" t="s">
        <v>5341</v>
      </c>
      <c r="R752" s="7">
        <v>34232</v>
      </c>
      <c r="W752" s="15">
        <v>4.5348249999999997</v>
      </c>
      <c r="X752" s="15">
        <v>-75.631522200000006</v>
      </c>
      <c r="AF752" t="s">
        <v>50</v>
      </c>
      <c r="AG752" t="s">
        <v>182</v>
      </c>
      <c r="AH752" t="s">
        <v>3079</v>
      </c>
      <c r="AI752" t="s">
        <v>5342</v>
      </c>
      <c r="AJ752">
        <v>802</v>
      </c>
    </row>
    <row r="753" spans="1:36">
      <c r="A753" t="s">
        <v>4131</v>
      </c>
      <c r="B753" t="s">
        <v>4132</v>
      </c>
      <c r="C753" t="s">
        <v>5343</v>
      </c>
      <c r="D753" t="s">
        <v>5344</v>
      </c>
      <c r="E753" t="s">
        <v>5345</v>
      </c>
      <c r="F753">
        <v>2800</v>
      </c>
      <c r="G753">
        <v>2800</v>
      </c>
      <c r="H753">
        <v>2800</v>
      </c>
      <c r="I753" t="s">
        <v>173</v>
      </c>
      <c r="J753" t="s">
        <v>174</v>
      </c>
      <c r="K753" t="s">
        <v>175</v>
      </c>
      <c r="L753" t="s">
        <v>176</v>
      </c>
      <c r="M753" t="s">
        <v>177</v>
      </c>
      <c r="N753" t="s">
        <v>178</v>
      </c>
      <c r="O753" t="s">
        <v>179</v>
      </c>
      <c r="P753" t="s">
        <v>180</v>
      </c>
      <c r="R753" s="7">
        <v>34317</v>
      </c>
      <c r="W753" s="15">
        <v>4.4012500000000001</v>
      </c>
      <c r="X753" s="15">
        <v>-75.600149999999999</v>
      </c>
      <c r="Y753">
        <v>4545.8310000000001</v>
      </c>
      <c r="Z753">
        <v>2938</v>
      </c>
      <c r="AB753" t="s">
        <v>181</v>
      </c>
      <c r="AF753" t="s">
        <v>50</v>
      </c>
      <c r="AG753" t="s">
        <v>182</v>
      </c>
      <c r="AH753" t="s">
        <v>183</v>
      </c>
      <c r="AI753" t="s">
        <v>5346</v>
      </c>
      <c r="AJ753">
        <v>803</v>
      </c>
    </row>
    <row r="754" spans="1:36">
      <c r="A754" t="s">
        <v>4131</v>
      </c>
      <c r="B754" t="s">
        <v>4132</v>
      </c>
      <c r="C754" t="s">
        <v>5347</v>
      </c>
      <c r="D754" t="s">
        <v>5348</v>
      </c>
      <c r="E754" t="s">
        <v>5349</v>
      </c>
      <c r="F754" t="s">
        <v>3084</v>
      </c>
      <c r="G754">
        <v>2500</v>
      </c>
      <c r="H754">
        <v>2780</v>
      </c>
      <c r="I754" t="s">
        <v>5350</v>
      </c>
      <c r="J754" t="s">
        <v>5351</v>
      </c>
      <c r="K754" t="s">
        <v>5352</v>
      </c>
      <c r="L754" t="s">
        <v>5353</v>
      </c>
      <c r="M754" t="s">
        <v>5354</v>
      </c>
      <c r="N754" t="s">
        <v>5355</v>
      </c>
      <c r="O754" t="s">
        <v>5356</v>
      </c>
      <c r="P754" t="s">
        <v>5357</v>
      </c>
      <c r="R754" s="7">
        <v>34777</v>
      </c>
      <c r="W754" s="15">
        <v>4.1099800000000002</v>
      </c>
      <c r="X754" s="15">
        <v>-75.808610000000002</v>
      </c>
      <c r="Y754">
        <v>641.95100000000002</v>
      </c>
      <c r="Z754">
        <v>2501</v>
      </c>
      <c r="AB754" t="s">
        <v>3085</v>
      </c>
      <c r="AF754" t="s">
        <v>50</v>
      </c>
      <c r="AG754" t="s">
        <v>182</v>
      </c>
      <c r="AH754" t="s">
        <v>3067</v>
      </c>
      <c r="AI754" t="s">
        <v>5358</v>
      </c>
      <c r="AJ754">
        <v>804</v>
      </c>
    </row>
    <row r="755" spans="1:36">
      <c r="A755" t="s">
        <v>4131</v>
      </c>
      <c r="B755" t="s">
        <v>4132</v>
      </c>
      <c r="C755" t="s">
        <v>5359</v>
      </c>
      <c r="D755" t="s">
        <v>5360</v>
      </c>
      <c r="E755" t="s">
        <v>5361</v>
      </c>
      <c r="F755">
        <v>3000</v>
      </c>
      <c r="G755">
        <v>3000</v>
      </c>
      <c r="H755">
        <v>3000</v>
      </c>
      <c r="I755" t="s">
        <v>5350</v>
      </c>
      <c r="J755" t="s">
        <v>5351</v>
      </c>
      <c r="K755" t="s">
        <v>5352</v>
      </c>
      <c r="L755" t="s">
        <v>5353</v>
      </c>
      <c r="M755" t="s">
        <v>5354</v>
      </c>
      <c r="N755" t="s">
        <v>5355</v>
      </c>
      <c r="O755" t="s">
        <v>5356</v>
      </c>
      <c r="P755" t="s">
        <v>5357</v>
      </c>
      <c r="R755" s="7">
        <v>35015</v>
      </c>
      <c r="W755" s="15">
        <v>4.1435000000000004</v>
      </c>
      <c r="X755" s="15">
        <v>-75.75188</v>
      </c>
      <c r="Y755">
        <v>6483.99</v>
      </c>
      <c r="Z755">
        <v>2417</v>
      </c>
      <c r="AB755" t="s">
        <v>5362</v>
      </c>
      <c r="AF755" t="s">
        <v>50</v>
      </c>
      <c r="AG755" t="s">
        <v>182</v>
      </c>
      <c r="AH755" t="s">
        <v>3067</v>
      </c>
      <c r="AI755" t="s">
        <v>5363</v>
      </c>
      <c r="AJ755">
        <v>805</v>
      </c>
    </row>
    <row r="756" spans="1:36">
      <c r="A756" t="s">
        <v>4131</v>
      </c>
      <c r="B756" t="s">
        <v>4132</v>
      </c>
      <c r="C756" t="s">
        <v>5359</v>
      </c>
      <c r="D756" t="s">
        <v>5364</v>
      </c>
      <c r="E756" t="s">
        <v>5361</v>
      </c>
      <c r="F756">
        <v>3000</v>
      </c>
      <c r="G756">
        <v>3000</v>
      </c>
      <c r="H756">
        <v>3000</v>
      </c>
      <c r="I756" t="s">
        <v>5350</v>
      </c>
      <c r="J756" t="s">
        <v>5351</v>
      </c>
      <c r="K756" t="s">
        <v>5352</v>
      </c>
      <c r="L756" t="s">
        <v>5353</v>
      </c>
      <c r="M756" t="s">
        <v>5354</v>
      </c>
      <c r="N756" t="s">
        <v>5355</v>
      </c>
      <c r="O756" t="s">
        <v>5356</v>
      </c>
      <c r="P756" t="s">
        <v>5357</v>
      </c>
      <c r="R756" s="7">
        <v>35015</v>
      </c>
      <c r="W756" s="15">
        <v>4.1435000000000004</v>
      </c>
      <c r="X756" s="15">
        <v>-75.75188</v>
      </c>
      <c r="Y756">
        <v>6483.99</v>
      </c>
      <c r="Z756">
        <v>2417</v>
      </c>
      <c r="AB756" t="s">
        <v>5362</v>
      </c>
      <c r="AF756" t="s">
        <v>50</v>
      </c>
      <c r="AG756" t="s">
        <v>182</v>
      </c>
      <c r="AH756" t="s">
        <v>3067</v>
      </c>
      <c r="AI756" t="s">
        <v>5363</v>
      </c>
      <c r="AJ756">
        <v>806</v>
      </c>
    </row>
    <row r="757" spans="1:36">
      <c r="A757" t="s">
        <v>4131</v>
      </c>
      <c r="B757" t="s">
        <v>4132</v>
      </c>
      <c r="C757" t="s">
        <v>5365</v>
      </c>
      <c r="D757" t="s">
        <v>5366</v>
      </c>
      <c r="E757" t="s">
        <v>5361</v>
      </c>
      <c r="F757">
        <v>2450</v>
      </c>
      <c r="G757">
        <v>2450</v>
      </c>
      <c r="H757">
        <v>2450</v>
      </c>
      <c r="I757" t="s">
        <v>5350</v>
      </c>
      <c r="J757" t="s">
        <v>5351</v>
      </c>
      <c r="K757" t="s">
        <v>5352</v>
      </c>
      <c r="L757" t="s">
        <v>5353</v>
      </c>
      <c r="M757" t="s">
        <v>5354</v>
      </c>
      <c r="N757" t="s">
        <v>5355</v>
      </c>
      <c r="O757" t="s">
        <v>5356</v>
      </c>
      <c r="P757" t="s">
        <v>5357</v>
      </c>
      <c r="R757" s="7">
        <v>35547</v>
      </c>
      <c r="T757" t="s">
        <v>119</v>
      </c>
      <c r="W757" s="15">
        <v>4.1435000000000004</v>
      </c>
      <c r="X757" s="15">
        <v>-75.75188</v>
      </c>
      <c r="Y757">
        <v>6483.99</v>
      </c>
      <c r="Z757">
        <v>2417</v>
      </c>
      <c r="AB757" t="s">
        <v>5362</v>
      </c>
      <c r="AF757" t="s">
        <v>50</v>
      </c>
      <c r="AG757" t="s">
        <v>182</v>
      </c>
      <c r="AH757" t="s">
        <v>3067</v>
      </c>
      <c r="AI757" t="s">
        <v>5363</v>
      </c>
      <c r="AJ757">
        <v>807</v>
      </c>
    </row>
    <row r="758" spans="1:36">
      <c r="A758" t="s">
        <v>4131</v>
      </c>
      <c r="B758" t="s">
        <v>4132</v>
      </c>
      <c r="C758" t="s">
        <v>5367</v>
      </c>
      <c r="D758" t="s">
        <v>5368</v>
      </c>
      <c r="E758" t="s">
        <v>5369</v>
      </c>
      <c r="F758">
        <v>1980</v>
      </c>
      <c r="G758">
        <v>1980</v>
      </c>
      <c r="H758">
        <v>1980</v>
      </c>
      <c r="I758" t="s">
        <v>5370</v>
      </c>
      <c r="J758" t="s">
        <v>5371</v>
      </c>
      <c r="K758" t="s">
        <v>5372</v>
      </c>
      <c r="L758" t="s">
        <v>5373</v>
      </c>
      <c r="M758" t="s">
        <v>5374</v>
      </c>
      <c r="N758" t="s">
        <v>5375</v>
      </c>
      <c r="O758" t="s">
        <v>5376</v>
      </c>
      <c r="P758" t="s">
        <v>5377</v>
      </c>
      <c r="R758" s="7">
        <v>40016</v>
      </c>
      <c r="T758" t="s">
        <v>119</v>
      </c>
      <c r="W758" s="15">
        <v>4.6857300000000004</v>
      </c>
      <c r="X758" s="15">
        <v>-75.578029999999998</v>
      </c>
      <c r="Y758">
        <v>5540.5119999999997</v>
      </c>
      <c r="Z758">
        <v>2087</v>
      </c>
      <c r="AB758" t="s">
        <v>1153</v>
      </c>
      <c r="AF758" t="s">
        <v>50</v>
      </c>
      <c r="AG758" t="s">
        <v>182</v>
      </c>
      <c r="AH758" t="s">
        <v>803</v>
      </c>
      <c r="AI758" t="s">
        <v>5378</v>
      </c>
      <c r="AJ758">
        <v>808</v>
      </c>
    </row>
    <row r="759" spans="1:36">
      <c r="A759" t="s">
        <v>4131</v>
      </c>
      <c r="B759" t="s">
        <v>4132</v>
      </c>
      <c r="C759" t="s">
        <v>5379</v>
      </c>
      <c r="D759" t="s">
        <v>1060</v>
      </c>
      <c r="E759" t="s">
        <v>5380</v>
      </c>
      <c r="F759" t="s">
        <v>2073</v>
      </c>
      <c r="G759">
        <v>2430</v>
      </c>
      <c r="H759">
        <v>3200</v>
      </c>
      <c r="I759" t="s">
        <v>2074</v>
      </c>
      <c r="J759" t="s">
        <v>2075</v>
      </c>
      <c r="K759" t="s">
        <v>2076</v>
      </c>
      <c r="L759" t="s">
        <v>2077</v>
      </c>
      <c r="M759" t="s">
        <v>2078</v>
      </c>
      <c r="N759" t="s">
        <v>2079</v>
      </c>
      <c r="O759" t="s">
        <v>2080</v>
      </c>
      <c r="P759" t="s">
        <v>2081</v>
      </c>
      <c r="R759" s="7">
        <v>40021</v>
      </c>
      <c r="T759" t="s">
        <v>119</v>
      </c>
      <c r="W759" s="15">
        <v>4.6414999999999997</v>
      </c>
      <c r="X759" s="15">
        <v>-75.486777799999999</v>
      </c>
      <c r="AF759" t="s">
        <v>50</v>
      </c>
      <c r="AG759" t="s">
        <v>1671</v>
      </c>
      <c r="AH759" t="s">
        <v>803</v>
      </c>
      <c r="AI759" t="s">
        <v>5381</v>
      </c>
      <c r="AJ759">
        <v>809</v>
      </c>
    </row>
    <row r="760" spans="1:36">
      <c r="A760" t="s">
        <v>4131</v>
      </c>
      <c r="B760" t="s">
        <v>4132</v>
      </c>
      <c r="C760" t="s">
        <v>5382</v>
      </c>
      <c r="D760" t="s">
        <v>5383</v>
      </c>
      <c r="E760" t="s">
        <v>5384</v>
      </c>
      <c r="F760">
        <v>2300</v>
      </c>
      <c r="G760">
        <v>2300</v>
      </c>
      <c r="H760">
        <v>2300</v>
      </c>
      <c r="I760" t="s">
        <v>5385</v>
      </c>
      <c r="J760" t="s">
        <v>5386</v>
      </c>
      <c r="K760" t="s">
        <v>4138</v>
      </c>
      <c r="L760" t="s">
        <v>530</v>
      </c>
      <c r="M760" t="s">
        <v>5387</v>
      </c>
      <c r="N760" t="s">
        <v>5388</v>
      </c>
      <c r="O760" t="s">
        <v>533</v>
      </c>
      <c r="P760" t="s">
        <v>5389</v>
      </c>
      <c r="R760" s="7">
        <v>32159</v>
      </c>
      <c r="W760" s="15">
        <v>4.8499999999999996</v>
      </c>
      <c r="X760" s="15">
        <v>-75.533333299999995</v>
      </c>
      <c r="AF760" t="s">
        <v>50</v>
      </c>
      <c r="AG760" t="s">
        <v>360</v>
      </c>
      <c r="AH760" t="s">
        <v>2116</v>
      </c>
      <c r="AI760" t="s">
        <v>5390</v>
      </c>
      <c r="AJ760">
        <v>810</v>
      </c>
    </row>
    <row r="761" spans="1:36">
      <c r="A761" t="s">
        <v>4131</v>
      </c>
      <c r="B761" t="s">
        <v>4132</v>
      </c>
      <c r="C761" t="s">
        <v>5391</v>
      </c>
      <c r="D761" t="s">
        <v>5392</v>
      </c>
      <c r="E761" t="s">
        <v>5393</v>
      </c>
      <c r="F761">
        <v>2070</v>
      </c>
      <c r="G761">
        <v>2070</v>
      </c>
      <c r="H761">
        <v>2070</v>
      </c>
      <c r="I761" t="s">
        <v>5394</v>
      </c>
      <c r="J761" t="s">
        <v>5395</v>
      </c>
      <c r="K761" t="s">
        <v>5396</v>
      </c>
      <c r="L761" t="s">
        <v>5397</v>
      </c>
      <c r="M761" t="s">
        <v>5398</v>
      </c>
      <c r="N761" t="s">
        <v>5399</v>
      </c>
      <c r="O761" t="s">
        <v>5400</v>
      </c>
      <c r="P761" t="s">
        <v>5401</v>
      </c>
      <c r="R761" s="7">
        <v>32429</v>
      </c>
      <c r="T761" t="s">
        <v>119</v>
      </c>
      <c r="W761" s="15">
        <v>4.9637833000000002</v>
      </c>
      <c r="X761" s="15">
        <v>-75.726972200000006</v>
      </c>
      <c r="AF761" t="s">
        <v>50</v>
      </c>
      <c r="AG761" t="s">
        <v>360</v>
      </c>
      <c r="AH761" t="s">
        <v>5402</v>
      </c>
      <c r="AI761" t="s">
        <v>5403</v>
      </c>
      <c r="AJ761">
        <v>811</v>
      </c>
    </row>
    <row r="762" spans="1:36" s="2" customFormat="1">
      <c r="A762" t="s">
        <v>4131</v>
      </c>
      <c r="B762" t="s">
        <v>4132</v>
      </c>
      <c r="C762" t="s">
        <v>5404</v>
      </c>
      <c r="D762" t="s">
        <v>5405</v>
      </c>
      <c r="E762" t="s">
        <v>5406</v>
      </c>
      <c r="F762">
        <v>1900</v>
      </c>
      <c r="G762">
        <v>1900</v>
      </c>
      <c r="H762">
        <v>1900</v>
      </c>
      <c r="I762" t="s">
        <v>5407</v>
      </c>
      <c r="J762" t="s">
        <v>5408</v>
      </c>
      <c r="K762" t="s">
        <v>799</v>
      </c>
      <c r="L762" t="s">
        <v>419</v>
      </c>
      <c r="M762" t="s">
        <v>5409</v>
      </c>
      <c r="N762" t="s">
        <v>5410</v>
      </c>
      <c r="O762" t="s">
        <v>422</v>
      </c>
      <c r="P762" t="s">
        <v>5411</v>
      </c>
      <c r="Q762"/>
      <c r="R762" s="7">
        <v>32923</v>
      </c>
      <c r="S762"/>
      <c r="T762" t="s">
        <v>119</v>
      </c>
      <c r="U762"/>
      <c r="V762"/>
      <c r="W762" s="15">
        <v>4.7076700000000002</v>
      </c>
      <c r="X762" s="15">
        <v>-75.492909999999995</v>
      </c>
      <c r="Y762">
        <v>3245.4160000000002</v>
      </c>
      <c r="Z762">
        <v>2543</v>
      </c>
      <c r="AA762"/>
      <c r="AB762" t="s">
        <v>3118</v>
      </c>
      <c r="AC762"/>
      <c r="AD762"/>
      <c r="AE762"/>
      <c r="AF762" t="s">
        <v>50</v>
      </c>
      <c r="AG762" t="s">
        <v>360</v>
      </c>
      <c r="AH762" t="s">
        <v>5412</v>
      </c>
      <c r="AI762" t="s">
        <v>5413</v>
      </c>
      <c r="AJ762">
        <v>812</v>
      </c>
    </row>
    <row r="763" spans="1:36" s="2" customFormat="1">
      <c r="A763" t="s">
        <v>4131</v>
      </c>
      <c r="B763" t="s">
        <v>4132</v>
      </c>
      <c r="C763" t="s">
        <v>5414</v>
      </c>
      <c r="D763" t="s">
        <v>5415</v>
      </c>
      <c r="E763" t="s">
        <v>5416</v>
      </c>
      <c r="F763" t="s">
        <v>5417</v>
      </c>
      <c r="G763">
        <v>1400</v>
      </c>
      <c r="H763">
        <v>1600</v>
      </c>
      <c r="I763" t="s">
        <v>5418</v>
      </c>
      <c r="J763" t="s">
        <v>5419</v>
      </c>
      <c r="K763" t="s">
        <v>5420</v>
      </c>
      <c r="L763" t="s">
        <v>5421</v>
      </c>
      <c r="M763" t="s">
        <v>5422</v>
      </c>
      <c r="N763" t="s">
        <v>5423</v>
      </c>
      <c r="O763" t="s">
        <v>5424</v>
      </c>
      <c r="P763" t="s">
        <v>5425</v>
      </c>
      <c r="Q763"/>
      <c r="R763" s="7">
        <v>35478</v>
      </c>
      <c r="S763"/>
      <c r="T763" t="s">
        <v>119</v>
      </c>
      <c r="U763"/>
      <c r="V763"/>
      <c r="W763" s="15">
        <v>4.7145299999999999</v>
      </c>
      <c r="X763" s="15">
        <v>-75.671970000000002</v>
      </c>
      <c r="Y763">
        <v>2123.4540000000002</v>
      </c>
      <c r="Z763">
        <v>1678</v>
      </c>
      <c r="AA763"/>
      <c r="AB763" t="s">
        <v>5426</v>
      </c>
      <c r="AC763"/>
      <c r="AD763"/>
      <c r="AE763"/>
      <c r="AF763" t="s">
        <v>50</v>
      </c>
      <c r="AG763" t="s">
        <v>360</v>
      </c>
      <c r="AH763" t="s">
        <v>361</v>
      </c>
      <c r="AI763" t="s">
        <v>5427</v>
      </c>
      <c r="AJ763">
        <v>813</v>
      </c>
    </row>
    <row r="764" spans="1:36">
      <c r="A764" t="s">
        <v>4131</v>
      </c>
      <c r="B764" t="s">
        <v>4132</v>
      </c>
      <c r="C764" t="s">
        <v>5428</v>
      </c>
      <c r="D764" t="s">
        <v>5429</v>
      </c>
      <c r="E764" t="s">
        <v>5430</v>
      </c>
      <c r="F764">
        <v>2710</v>
      </c>
      <c r="G764">
        <v>2710</v>
      </c>
      <c r="H764">
        <v>2710</v>
      </c>
      <c r="P764" t="s">
        <v>80</v>
      </c>
      <c r="R764" s="7">
        <v>37440</v>
      </c>
      <c r="T764" t="s">
        <v>119</v>
      </c>
      <c r="W764" s="15">
        <v>5.1135799999999998</v>
      </c>
      <c r="X764" s="15">
        <v>-76.058359999999993</v>
      </c>
      <c r="Y764">
        <v>946.33100000000002</v>
      </c>
      <c r="Z764">
        <v>3520</v>
      </c>
      <c r="AB764" t="s">
        <v>5431</v>
      </c>
      <c r="AF764" t="s">
        <v>50</v>
      </c>
      <c r="AG764" t="s">
        <v>360</v>
      </c>
      <c r="AH764" t="s">
        <v>367</v>
      </c>
      <c r="AI764" t="s">
        <v>5432</v>
      </c>
      <c r="AJ764">
        <v>814</v>
      </c>
    </row>
    <row r="765" spans="1:36">
      <c r="A765" t="s">
        <v>4131</v>
      </c>
      <c r="B765" t="s">
        <v>4132</v>
      </c>
      <c r="C765" t="s">
        <v>5433</v>
      </c>
      <c r="D765" t="s">
        <v>2736</v>
      </c>
      <c r="E765" t="s">
        <v>3133</v>
      </c>
      <c r="F765">
        <v>1897</v>
      </c>
      <c r="G765">
        <v>1897</v>
      </c>
      <c r="H765">
        <v>1897</v>
      </c>
      <c r="I765" t="s">
        <v>5434</v>
      </c>
      <c r="J765" t="s">
        <v>5435</v>
      </c>
      <c r="K765" t="s">
        <v>5436</v>
      </c>
      <c r="L765" t="s">
        <v>5437</v>
      </c>
      <c r="M765" t="s">
        <v>5438</v>
      </c>
      <c r="N765" t="s">
        <v>5439</v>
      </c>
      <c r="O765" t="s">
        <v>5440</v>
      </c>
      <c r="P765" t="s">
        <v>5441</v>
      </c>
      <c r="R765" s="7">
        <v>40006</v>
      </c>
      <c r="T765" t="s">
        <v>119</v>
      </c>
      <c r="W765" s="15">
        <v>4.72879</v>
      </c>
      <c r="X765" s="15">
        <v>-75.5779</v>
      </c>
      <c r="Y765">
        <v>611.64800000000002</v>
      </c>
      <c r="Z765">
        <v>1864</v>
      </c>
      <c r="AB765" t="s">
        <v>359</v>
      </c>
      <c r="AF765" t="s">
        <v>50</v>
      </c>
      <c r="AG765" t="s">
        <v>360</v>
      </c>
      <c r="AH765" t="s">
        <v>361</v>
      </c>
      <c r="AI765" t="s">
        <v>3139</v>
      </c>
      <c r="AJ765">
        <v>815</v>
      </c>
    </row>
    <row r="766" spans="1:36">
      <c r="A766" t="s">
        <v>4131</v>
      </c>
      <c r="B766" t="s">
        <v>4132</v>
      </c>
      <c r="C766" t="s">
        <v>5442</v>
      </c>
      <c r="D766" t="s">
        <v>5368</v>
      </c>
      <c r="E766" t="s">
        <v>5443</v>
      </c>
      <c r="F766" t="s">
        <v>5444</v>
      </c>
      <c r="G766">
        <v>2122</v>
      </c>
      <c r="H766">
        <v>2611</v>
      </c>
      <c r="I766" t="s">
        <v>5445</v>
      </c>
      <c r="J766" t="s">
        <v>5446</v>
      </c>
      <c r="K766" t="s">
        <v>5447</v>
      </c>
      <c r="L766" t="s">
        <v>5448</v>
      </c>
      <c r="M766" t="s">
        <v>5449</v>
      </c>
      <c r="N766" t="s">
        <v>5450</v>
      </c>
      <c r="O766" t="s">
        <v>5451</v>
      </c>
      <c r="P766" t="s">
        <v>5452</v>
      </c>
      <c r="R766" s="7">
        <v>40010</v>
      </c>
      <c r="T766" t="s">
        <v>119</v>
      </c>
      <c r="W766" s="15">
        <v>4.802236111</v>
      </c>
      <c r="X766" s="15">
        <v>-75.536008330000001</v>
      </c>
      <c r="AF766" t="s">
        <v>50</v>
      </c>
      <c r="AG766" t="s">
        <v>360</v>
      </c>
      <c r="AH766" t="s">
        <v>2116</v>
      </c>
      <c r="AI766" t="s">
        <v>5453</v>
      </c>
      <c r="AJ766">
        <v>816</v>
      </c>
    </row>
    <row r="767" spans="1:36">
      <c r="A767" t="s">
        <v>4131</v>
      </c>
      <c r="B767" t="s">
        <v>4132</v>
      </c>
      <c r="C767" t="s">
        <v>5454</v>
      </c>
      <c r="D767" t="s">
        <v>1060</v>
      </c>
      <c r="E767" t="s">
        <v>3161</v>
      </c>
      <c r="F767">
        <v>2824</v>
      </c>
      <c r="G767">
        <v>2824</v>
      </c>
      <c r="H767">
        <v>2824</v>
      </c>
      <c r="I767" t="s">
        <v>5455</v>
      </c>
      <c r="J767" t="s">
        <v>3162</v>
      </c>
      <c r="K767" t="s">
        <v>5456</v>
      </c>
      <c r="L767" t="s">
        <v>5457</v>
      </c>
      <c r="M767" t="s">
        <v>5458</v>
      </c>
      <c r="P767" t="s">
        <v>80</v>
      </c>
      <c r="R767" s="7">
        <v>40744</v>
      </c>
      <c r="T767" t="s">
        <v>119</v>
      </c>
      <c r="W767" s="15">
        <v>5.1244243999999997</v>
      </c>
      <c r="X767" s="15">
        <v>-76.041665399999999</v>
      </c>
      <c r="AF767" t="s">
        <v>50</v>
      </c>
      <c r="AG767" t="s">
        <v>360</v>
      </c>
      <c r="AH767" t="s">
        <v>367</v>
      </c>
      <c r="AI767" t="s">
        <v>3165</v>
      </c>
      <c r="AJ767">
        <v>817</v>
      </c>
    </row>
    <row r="768" spans="1:36">
      <c r="A768" t="s">
        <v>4131</v>
      </c>
      <c r="B768" t="s">
        <v>4132</v>
      </c>
      <c r="C768" t="s">
        <v>5459</v>
      </c>
      <c r="D768" t="s">
        <v>1529</v>
      </c>
      <c r="E768" t="s">
        <v>3161</v>
      </c>
      <c r="F768">
        <v>2840</v>
      </c>
      <c r="G768">
        <v>2840</v>
      </c>
      <c r="H768">
        <v>2840</v>
      </c>
      <c r="I768" t="s">
        <v>5455</v>
      </c>
      <c r="J768" t="s">
        <v>3162</v>
      </c>
      <c r="K768" t="s">
        <v>5460</v>
      </c>
      <c r="L768" t="s">
        <v>3163</v>
      </c>
      <c r="M768" t="s">
        <v>3164</v>
      </c>
      <c r="P768" t="s">
        <v>80</v>
      </c>
      <c r="R768" s="7">
        <v>40744</v>
      </c>
      <c r="T768" t="s">
        <v>119</v>
      </c>
      <c r="W768" s="15">
        <v>5.1244243999999997</v>
      </c>
      <c r="X768" s="15">
        <v>-76.041665399999999</v>
      </c>
      <c r="AF768" t="s">
        <v>50</v>
      </c>
      <c r="AG768" t="s">
        <v>360</v>
      </c>
      <c r="AH768" t="s">
        <v>367</v>
      </c>
      <c r="AI768" t="s">
        <v>3165</v>
      </c>
      <c r="AJ768">
        <v>818</v>
      </c>
    </row>
    <row r="769" spans="1:36">
      <c r="A769" t="s">
        <v>4131</v>
      </c>
      <c r="B769" t="s">
        <v>4132</v>
      </c>
      <c r="C769" t="s">
        <v>5461</v>
      </c>
      <c r="D769" t="s">
        <v>5462</v>
      </c>
      <c r="E769" t="s">
        <v>5463</v>
      </c>
      <c r="F769">
        <v>1500</v>
      </c>
      <c r="G769">
        <v>1500</v>
      </c>
      <c r="H769">
        <v>1500</v>
      </c>
      <c r="P769" t="s">
        <v>80</v>
      </c>
      <c r="R769" s="7">
        <v>9842</v>
      </c>
      <c r="W769" s="15">
        <v>6.7861900000000004</v>
      </c>
      <c r="X769" s="15">
        <v>-73.056880000000007</v>
      </c>
      <c r="Y769">
        <v>1056.7460000000001</v>
      </c>
      <c r="Z769">
        <v>1630</v>
      </c>
      <c r="AB769" t="s">
        <v>5464</v>
      </c>
      <c r="AF769" t="s">
        <v>50</v>
      </c>
      <c r="AG769" t="s">
        <v>224</v>
      </c>
      <c r="AH769" t="s">
        <v>5465</v>
      </c>
      <c r="AJ769">
        <v>819</v>
      </c>
    </row>
    <row r="770" spans="1:36">
      <c r="A770" t="s">
        <v>4131</v>
      </c>
      <c r="B770" t="s">
        <v>4132</v>
      </c>
      <c r="C770" t="s">
        <v>5466</v>
      </c>
      <c r="D770" t="s">
        <v>5467</v>
      </c>
      <c r="E770" t="s">
        <v>5468</v>
      </c>
      <c r="F770">
        <v>2500</v>
      </c>
      <c r="G770">
        <v>2500</v>
      </c>
      <c r="H770">
        <v>2500</v>
      </c>
      <c r="P770" t="s">
        <v>80</v>
      </c>
      <c r="R770" s="7">
        <v>25512</v>
      </c>
      <c r="W770" s="15">
        <v>7.1418900000000001</v>
      </c>
      <c r="X770" s="15">
        <v>-73.024690000000007</v>
      </c>
      <c r="Y770">
        <v>2437.4490000000001</v>
      </c>
      <c r="Z770">
        <v>1848</v>
      </c>
      <c r="AB770" t="s">
        <v>223</v>
      </c>
      <c r="AF770" t="s">
        <v>50</v>
      </c>
      <c r="AG770" t="s">
        <v>224</v>
      </c>
      <c r="AH770" t="s">
        <v>5469</v>
      </c>
      <c r="AI770" t="s">
        <v>5470</v>
      </c>
      <c r="AJ770">
        <v>820</v>
      </c>
    </row>
    <row r="771" spans="1:36">
      <c r="A771" t="s">
        <v>4131</v>
      </c>
      <c r="B771" t="s">
        <v>4132</v>
      </c>
      <c r="C771" t="s">
        <v>5471</v>
      </c>
      <c r="D771" t="s">
        <v>5472</v>
      </c>
      <c r="E771" t="s">
        <v>5473</v>
      </c>
      <c r="F771">
        <v>3077</v>
      </c>
      <c r="G771">
        <v>3077</v>
      </c>
      <c r="H771">
        <v>3077</v>
      </c>
      <c r="I771" t="s">
        <v>5474</v>
      </c>
      <c r="J771" t="s">
        <v>5475</v>
      </c>
      <c r="K771" t="s">
        <v>5476</v>
      </c>
      <c r="L771" t="s">
        <v>5477</v>
      </c>
      <c r="M771" t="s">
        <v>5478</v>
      </c>
      <c r="N771" t="s">
        <v>5479</v>
      </c>
      <c r="O771" t="s">
        <v>5480</v>
      </c>
      <c r="P771" t="s">
        <v>5481</v>
      </c>
      <c r="R771" s="7">
        <v>16912</v>
      </c>
      <c r="W771" s="15">
        <v>4.5959167000000001</v>
      </c>
      <c r="X771" s="15">
        <v>-75.161530600000006</v>
      </c>
      <c r="AF771" t="s">
        <v>50</v>
      </c>
      <c r="AG771" t="s">
        <v>133</v>
      </c>
      <c r="AH771" t="s">
        <v>5482</v>
      </c>
      <c r="AJ771">
        <v>821</v>
      </c>
    </row>
    <row r="772" spans="1:36">
      <c r="A772" t="s">
        <v>4131</v>
      </c>
      <c r="B772" t="s">
        <v>4132</v>
      </c>
      <c r="C772" t="s">
        <v>5483</v>
      </c>
      <c r="D772" t="s">
        <v>5484</v>
      </c>
      <c r="E772" t="s">
        <v>5485</v>
      </c>
      <c r="F772">
        <v>2540</v>
      </c>
      <c r="G772">
        <v>2540</v>
      </c>
      <c r="H772">
        <v>2540</v>
      </c>
      <c r="P772" t="s">
        <v>80</v>
      </c>
      <c r="R772" s="7">
        <v>29434</v>
      </c>
      <c r="W772" s="15">
        <v>4.7177100000000003</v>
      </c>
      <c r="X772" s="15">
        <v>-75.104140000000001</v>
      </c>
      <c r="Y772">
        <v>2997.92</v>
      </c>
      <c r="Z772">
        <v>2367</v>
      </c>
      <c r="AB772" t="s">
        <v>3227</v>
      </c>
      <c r="AF772" t="s">
        <v>50</v>
      </c>
      <c r="AG772" t="s">
        <v>133</v>
      </c>
      <c r="AH772" t="s">
        <v>134</v>
      </c>
      <c r="AI772" t="s">
        <v>5486</v>
      </c>
      <c r="AJ772">
        <v>822</v>
      </c>
    </row>
    <row r="773" spans="1:36">
      <c r="A773" t="s">
        <v>4131</v>
      </c>
      <c r="B773" t="s">
        <v>4132</v>
      </c>
      <c r="C773" t="s">
        <v>5483</v>
      </c>
      <c r="D773" t="s">
        <v>5487</v>
      </c>
      <c r="E773" t="s">
        <v>5488</v>
      </c>
      <c r="F773">
        <v>2340</v>
      </c>
      <c r="G773">
        <v>2340</v>
      </c>
      <c r="H773">
        <v>2340</v>
      </c>
      <c r="I773" t="s">
        <v>2144</v>
      </c>
      <c r="J773" t="s">
        <v>2145</v>
      </c>
      <c r="K773" t="s">
        <v>2146</v>
      </c>
      <c r="L773" t="s">
        <v>2147</v>
      </c>
      <c r="M773" t="s">
        <v>2148</v>
      </c>
      <c r="N773" t="s">
        <v>2149</v>
      </c>
      <c r="O773" t="s">
        <v>2150</v>
      </c>
      <c r="P773" t="s">
        <v>2151</v>
      </c>
      <c r="R773" s="7">
        <v>29435</v>
      </c>
      <c r="W773" s="15">
        <v>4.7189417000000002</v>
      </c>
      <c r="X773" s="15">
        <v>-75.100730600000006</v>
      </c>
      <c r="AF773" t="s">
        <v>50</v>
      </c>
      <c r="AG773" t="s">
        <v>133</v>
      </c>
      <c r="AH773" t="s">
        <v>134</v>
      </c>
      <c r="AI773" t="s">
        <v>5489</v>
      </c>
      <c r="AJ773">
        <v>823</v>
      </c>
    </row>
    <row r="774" spans="1:36">
      <c r="A774" t="s">
        <v>4131</v>
      </c>
      <c r="B774" t="s">
        <v>4132</v>
      </c>
      <c r="C774" t="s">
        <v>5490</v>
      </c>
      <c r="D774" t="s">
        <v>5491</v>
      </c>
      <c r="E774" t="s">
        <v>5492</v>
      </c>
      <c r="F774">
        <v>2320</v>
      </c>
      <c r="G774">
        <v>2320</v>
      </c>
      <c r="H774">
        <v>2320</v>
      </c>
      <c r="I774" t="s">
        <v>2164</v>
      </c>
      <c r="J774" t="s">
        <v>2165</v>
      </c>
      <c r="K774" t="s">
        <v>2166</v>
      </c>
      <c r="L774" t="s">
        <v>952</v>
      </c>
      <c r="M774" t="s">
        <v>2167</v>
      </c>
      <c r="N774" t="s">
        <v>2168</v>
      </c>
      <c r="O774" t="s">
        <v>955</v>
      </c>
      <c r="P774" t="s">
        <v>2169</v>
      </c>
      <c r="R774" s="7">
        <v>30780</v>
      </c>
      <c r="W774" s="15">
        <v>4.8697777999999996</v>
      </c>
      <c r="X774" s="15">
        <v>-75.177352799999994</v>
      </c>
      <c r="AF774" t="s">
        <v>50</v>
      </c>
      <c r="AG774" t="s">
        <v>133</v>
      </c>
      <c r="AH774" t="s">
        <v>5493</v>
      </c>
      <c r="AJ774">
        <v>824</v>
      </c>
    </row>
    <row r="775" spans="1:36">
      <c r="A775" t="s">
        <v>4131</v>
      </c>
      <c r="B775" t="s">
        <v>4132</v>
      </c>
      <c r="C775" t="s">
        <v>5494</v>
      </c>
      <c r="D775" t="s">
        <v>5495</v>
      </c>
      <c r="E775" t="s">
        <v>5496</v>
      </c>
      <c r="F775">
        <v>2780</v>
      </c>
      <c r="G775">
        <v>2780</v>
      </c>
      <c r="H775">
        <v>2780</v>
      </c>
      <c r="I775" t="s">
        <v>5497</v>
      </c>
      <c r="J775" t="s">
        <v>5498</v>
      </c>
      <c r="K775" t="s">
        <v>4317</v>
      </c>
      <c r="L775" t="s">
        <v>2307</v>
      </c>
      <c r="M775" t="s">
        <v>5499</v>
      </c>
      <c r="N775" t="s">
        <v>5500</v>
      </c>
      <c r="O775" t="s">
        <v>2310</v>
      </c>
      <c r="P775" t="s">
        <v>5501</v>
      </c>
      <c r="R775" s="7">
        <v>35243</v>
      </c>
      <c r="T775" t="s">
        <v>119</v>
      </c>
      <c r="W775" s="15">
        <v>4.5303699999999996</v>
      </c>
      <c r="X775" s="15">
        <v>-75.44538</v>
      </c>
      <c r="Y775">
        <v>4917.2030000000004</v>
      </c>
      <c r="Z775">
        <v>2542</v>
      </c>
      <c r="AB775" t="s">
        <v>5502</v>
      </c>
      <c r="AF775" t="s">
        <v>50</v>
      </c>
      <c r="AG775" t="s">
        <v>133</v>
      </c>
      <c r="AH775" t="s">
        <v>874</v>
      </c>
      <c r="AI775" t="s">
        <v>5503</v>
      </c>
      <c r="AJ775">
        <v>825</v>
      </c>
    </row>
    <row r="776" spans="1:36">
      <c r="A776" t="s">
        <v>4131</v>
      </c>
      <c r="B776" t="s">
        <v>4132</v>
      </c>
      <c r="C776" t="s">
        <v>5504</v>
      </c>
      <c r="D776" t="s">
        <v>5505</v>
      </c>
      <c r="E776" t="s">
        <v>5506</v>
      </c>
      <c r="F776" t="s">
        <v>5507</v>
      </c>
      <c r="G776">
        <v>2600</v>
      </c>
      <c r="H776">
        <v>2900</v>
      </c>
      <c r="I776" t="s">
        <v>5508</v>
      </c>
      <c r="J776" t="s">
        <v>5509</v>
      </c>
      <c r="K776" t="s">
        <v>4317</v>
      </c>
      <c r="L776" t="s">
        <v>2307</v>
      </c>
      <c r="M776" t="s">
        <v>5510</v>
      </c>
      <c r="N776" t="s">
        <v>5500</v>
      </c>
      <c r="O776" t="s">
        <v>2310</v>
      </c>
      <c r="P776" t="s">
        <v>5501</v>
      </c>
      <c r="R776" s="7">
        <v>35635</v>
      </c>
      <c r="T776" t="s">
        <v>119</v>
      </c>
      <c r="W776" s="15">
        <v>4.5367899999999999</v>
      </c>
      <c r="X776" s="15">
        <v>-75.450580000000002</v>
      </c>
      <c r="Y776">
        <v>1057.4179999999999</v>
      </c>
      <c r="Z776">
        <v>2940</v>
      </c>
      <c r="AB776" t="s">
        <v>5511</v>
      </c>
      <c r="AF776" t="s">
        <v>50</v>
      </c>
      <c r="AG776" t="s">
        <v>133</v>
      </c>
      <c r="AH776" t="s">
        <v>874</v>
      </c>
      <c r="AI776" t="s">
        <v>5512</v>
      </c>
      <c r="AJ776">
        <v>826</v>
      </c>
    </row>
    <row r="777" spans="1:36">
      <c r="A777" t="s">
        <v>4131</v>
      </c>
      <c r="B777" t="s">
        <v>4132</v>
      </c>
      <c r="C777" t="s">
        <v>5513</v>
      </c>
      <c r="D777" t="s">
        <v>5514</v>
      </c>
      <c r="E777" t="s">
        <v>5515</v>
      </c>
      <c r="I777" t="s">
        <v>5516</v>
      </c>
      <c r="J777" t="s">
        <v>5517</v>
      </c>
      <c r="K777" t="s">
        <v>5518</v>
      </c>
      <c r="L777" t="s">
        <v>5519</v>
      </c>
      <c r="M777" t="s">
        <v>5520</v>
      </c>
      <c r="N777" t="s">
        <v>5521</v>
      </c>
      <c r="O777" t="s">
        <v>5522</v>
      </c>
      <c r="P777" t="s">
        <v>5523</v>
      </c>
      <c r="R777" s="7">
        <v>37434</v>
      </c>
      <c r="W777" s="15">
        <v>4.5583499999999999</v>
      </c>
      <c r="X777" s="15">
        <v>-75.320210000000003</v>
      </c>
      <c r="Y777">
        <v>714.47500000000002</v>
      </c>
      <c r="Z777">
        <v>2033</v>
      </c>
      <c r="AB777" t="s">
        <v>350</v>
      </c>
      <c r="AF777" t="s">
        <v>50</v>
      </c>
      <c r="AG777" t="s">
        <v>133</v>
      </c>
      <c r="AH777" t="s">
        <v>874</v>
      </c>
      <c r="AI777" t="s">
        <v>5524</v>
      </c>
      <c r="AJ777">
        <v>827</v>
      </c>
    </row>
    <row r="778" spans="1:36">
      <c r="A778" t="s">
        <v>4131</v>
      </c>
      <c r="B778" t="s">
        <v>4132</v>
      </c>
      <c r="C778" t="s">
        <v>5525</v>
      </c>
      <c r="D778" t="s">
        <v>1060</v>
      </c>
      <c r="E778" t="s">
        <v>5526</v>
      </c>
      <c r="F778">
        <v>3696</v>
      </c>
      <c r="G778">
        <v>3696</v>
      </c>
      <c r="H778">
        <v>3696</v>
      </c>
      <c r="I778" t="s">
        <v>5527</v>
      </c>
      <c r="J778" t="s">
        <v>5528</v>
      </c>
      <c r="K778" t="s">
        <v>2190</v>
      </c>
      <c r="L778" t="s">
        <v>2191</v>
      </c>
      <c r="M778" t="s">
        <v>5529</v>
      </c>
      <c r="N778" t="s">
        <v>347</v>
      </c>
      <c r="O778" t="s">
        <v>348</v>
      </c>
      <c r="P778" t="s">
        <v>349</v>
      </c>
      <c r="R778" s="7">
        <v>40022</v>
      </c>
      <c r="T778" t="s">
        <v>119</v>
      </c>
      <c r="W778" s="15">
        <v>4.5583499999999999</v>
      </c>
      <c r="X778" s="15">
        <v>-75.320210000000003</v>
      </c>
      <c r="Y778">
        <v>714.47500000000002</v>
      </c>
      <c r="Z778">
        <v>2033</v>
      </c>
      <c r="AB778" t="s">
        <v>350</v>
      </c>
      <c r="AF778" t="s">
        <v>50</v>
      </c>
      <c r="AG778" t="s">
        <v>133</v>
      </c>
      <c r="AH778" t="s">
        <v>874</v>
      </c>
      <c r="AI778" t="s">
        <v>5530</v>
      </c>
      <c r="AJ778">
        <v>828</v>
      </c>
    </row>
    <row r="779" spans="1:36">
      <c r="A779" t="s">
        <v>4131</v>
      </c>
      <c r="B779" t="s">
        <v>4132</v>
      </c>
      <c r="C779" t="s">
        <v>5531</v>
      </c>
      <c r="D779" t="s">
        <v>5532</v>
      </c>
      <c r="E779" t="s">
        <v>5533</v>
      </c>
      <c r="F779">
        <v>2550</v>
      </c>
      <c r="G779">
        <v>2550</v>
      </c>
      <c r="H779">
        <v>2550</v>
      </c>
      <c r="I779" t="s">
        <v>5534</v>
      </c>
      <c r="J779" t="s">
        <v>5535</v>
      </c>
      <c r="K779" t="s">
        <v>5536</v>
      </c>
      <c r="L779" t="s">
        <v>5537</v>
      </c>
      <c r="M779" t="s">
        <v>5538</v>
      </c>
      <c r="N779" t="s">
        <v>5539</v>
      </c>
      <c r="O779" t="s">
        <v>5540</v>
      </c>
      <c r="P779" t="s">
        <v>5541</v>
      </c>
      <c r="R779" s="7">
        <v>33018</v>
      </c>
      <c r="T779" t="s">
        <v>119</v>
      </c>
      <c r="W779" s="15">
        <v>3.55349</v>
      </c>
      <c r="X779" s="15">
        <v>-76.114230000000006</v>
      </c>
      <c r="Y779">
        <v>1063.8399999999999</v>
      </c>
      <c r="Z779">
        <v>2456</v>
      </c>
      <c r="AB779" t="s">
        <v>5542</v>
      </c>
      <c r="AF779" t="s">
        <v>50</v>
      </c>
      <c r="AG779" t="s">
        <v>3251</v>
      </c>
      <c r="AH779" t="s">
        <v>3287</v>
      </c>
      <c r="AI779" t="s">
        <v>5543</v>
      </c>
      <c r="AJ779">
        <v>829</v>
      </c>
    </row>
    <row r="780" spans="1:36">
      <c r="A780" t="s">
        <v>4131</v>
      </c>
      <c r="B780" t="s">
        <v>4132</v>
      </c>
      <c r="C780" t="s">
        <v>5544</v>
      </c>
      <c r="D780" t="s">
        <v>5545</v>
      </c>
      <c r="E780" t="s">
        <v>5546</v>
      </c>
      <c r="F780">
        <v>2425</v>
      </c>
      <c r="G780">
        <v>2425</v>
      </c>
      <c r="H780">
        <v>2425</v>
      </c>
      <c r="I780" t="s">
        <v>5547</v>
      </c>
      <c r="J780" t="s">
        <v>5548</v>
      </c>
      <c r="K780" t="s">
        <v>5549</v>
      </c>
      <c r="L780" t="s">
        <v>5550</v>
      </c>
      <c r="M780" t="s">
        <v>5551</v>
      </c>
      <c r="N780" t="s">
        <v>5552</v>
      </c>
      <c r="O780" t="s">
        <v>5553</v>
      </c>
      <c r="P780" t="s">
        <v>5554</v>
      </c>
      <c r="R780" s="7">
        <v>33551</v>
      </c>
      <c r="W780" s="15">
        <v>3.8605399999999999</v>
      </c>
      <c r="X780" s="15">
        <v>-76.131280000000004</v>
      </c>
      <c r="Y780">
        <v>4469.9790000000003</v>
      </c>
      <c r="Z780">
        <v>2577</v>
      </c>
      <c r="AB780" t="s">
        <v>5555</v>
      </c>
      <c r="AF780" t="s">
        <v>50</v>
      </c>
      <c r="AG780" t="s">
        <v>3251</v>
      </c>
      <c r="AH780" t="s">
        <v>5556</v>
      </c>
      <c r="AI780" t="s">
        <v>5557</v>
      </c>
      <c r="AJ780">
        <v>830</v>
      </c>
    </row>
    <row r="781" spans="1:36">
      <c r="A781" t="s">
        <v>4131</v>
      </c>
      <c r="B781" t="s">
        <v>4132</v>
      </c>
      <c r="C781" t="s">
        <v>5558</v>
      </c>
      <c r="D781" t="s">
        <v>5559</v>
      </c>
      <c r="E781" t="s">
        <v>5560</v>
      </c>
      <c r="F781">
        <v>2000</v>
      </c>
      <c r="G781">
        <v>2000</v>
      </c>
      <c r="H781">
        <v>2000</v>
      </c>
      <c r="I781" t="s">
        <v>5561</v>
      </c>
      <c r="J781" t="s">
        <v>5562</v>
      </c>
      <c r="K781" t="s">
        <v>5563</v>
      </c>
      <c r="L781" t="s">
        <v>5564</v>
      </c>
      <c r="M781" t="s">
        <v>5565</v>
      </c>
      <c r="N781" t="s">
        <v>5566</v>
      </c>
      <c r="O781" t="s">
        <v>5567</v>
      </c>
      <c r="P781" t="s">
        <v>5568</v>
      </c>
      <c r="R781" s="7">
        <v>16216</v>
      </c>
      <c r="W781" s="15">
        <v>3.4614400000000001</v>
      </c>
      <c r="X781" s="15">
        <v>-76.637479999999996</v>
      </c>
      <c r="Y781">
        <v>4256.1009999999997</v>
      </c>
      <c r="Z781">
        <v>1800</v>
      </c>
      <c r="AB781" t="s">
        <v>3268</v>
      </c>
      <c r="AF781" t="s">
        <v>50</v>
      </c>
      <c r="AG781" t="s">
        <v>83</v>
      </c>
      <c r="AH781" t="s">
        <v>3269</v>
      </c>
      <c r="AI781" t="s">
        <v>3270</v>
      </c>
      <c r="AJ781">
        <v>831</v>
      </c>
    </row>
    <row r="782" spans="1:36">
      <c r="A782" t="s">
        <v>4131</v>
      </c>
      <c r="B782" t="s">
        <v>4132</v>
      </c>
      <c r="C782" t="s">
        <v>5569</v>
      </c>
      <c r="D782" t="s">
        <v>5570</v>
      </c>
      <c r="E782" t="s">
        <v>5571</v>
      </c>
      <c r="F782">
        <v>2500</v>
      </c>
      <c r="G782">
        <v>2500</v>
      </c>
      <c r="H782">
        <v>2500</v>
      </c>
      <c r="P782" t="s">
        <v>80</v>
      </c>
      <c r="R782" s="7">
        <v>33086</v>
      </c>
      <c r="T782" t="s">
        <v>119</v>
      </c>
      <c r="W782" s="15">
        <v>3.2276799999999999</v>
      </c>
      <c r="X782" s="15">
        <v>-76.139529999999993</v>
      </c>
      <c r="Y782">
        <v>1943.84</v>
      </c>
      <c r="Z782">
        <v>2455</v>
      </c>
      <c r="AB782" t="s">
        <v>5572</v>
      </c>
      <c r="AF782" t="s">
        <v>50</v>
      </c>
      <c r="AG782" t="s">
        <v>83</v>
      </c>
      <c r="AH782" t="s">
        <v>5573</v>
      </c>
      <c r="AI782" t="s">
        <v>5574</v>
      </c>
      <c r="AJ782">
        <v>832</v>
      </c>
    </row>
    <row r="783" spans="1:36">
      <c r="A783" t="s">
        <v>4131</v>
      </c>
      <c r="B783" t="s">
        <v>4132</v>
      </c>
      <c r="C783" t="s">
        <v>5575</v>
      </c>
      <c r="D783" t="s">
        <v>2736</v>
      </c>
      <c r="E783" t="s">
        <v>3295</v>
      </c>
      <c r="F783" t="s">
        <v>1913</v>
      </c>
      <c r="G783">
        <v>2500</v>
      </c>
      <c r="H783">
        <v>3000</v>
      </c>
      <c r="P783" t="s">
        <v>80</v>
      </c>
      <c r="R783" s="7">
        <v>39834</v>
      </c>
      <c r="W783" s="15">
        <v>3.34415</v>
      </c>
      <c r="X783" s="15">
        <v>-76.695809999999994</v>
      </c>
      <c r="Y783">
        <v>916.18299999999999</v>
      </c>
      <c r="Z783">
        <v>3944</v>
      </c>
      <c r="AB783" t="s">
        <v>3291</v>
      </c>
      <c r="AF783" t="s">
        <v>50</v>
      </c>
      <c r="AG783" t="s">
        <v>83</v>
      </c>
      <c r="AH783" t="s">
        <v>3296</v>
      </c>
      <c r="AI783" t="s">
        <v>3297</v>
      </c>
      <c r="AJ783">
        <v>834</v>
      </c>
    </row>
    <row r="784" spans="1:36">
      <c r="A784" t="s">
        <v>5576</v>
      </c>
      <c r="B784" t="s">
        <v>5577</v>
      </c>
      <c r="C784" t="s">
        <v>5578</v>
      </c>
      <c r="D784" t="s">
        <v>3420</v>
      </c>
      <c r="E784" t="s">
        <v>5579</v>
      </c>
      <c r="F784">
        <v>2340</v>
      </c>
      <c r="G784">
        <v>2340</v>
      </c>
      <c r="H784">
        <v>2340</v>
      </c>
      <c r="I784" t="s">
        <v>3413</v>
      </c>
      <c r="J784" t="s">
        <v>3413</v>
      </c>
      <c r="K784" t="s">
        <v>3415</v>
      </c>
      <c r="L784" t="s">
        <v>3415</v>
      </c>
      <c r="M784" t="s">
        <v>3416</v>
      </c>
      <c r="N784" t="s">
        <v>610</v>
      </c>
      <c r="O784" t="s">
        <v>611</v>
      </c>
      <c r="P784" t="s">
        <v>612</v>
      </c>
      <c r="R784" s="7">
        <v>31963</v>
      </c>
      <c r="W784" s="15">
        <v>5.9228800000000001</v>
      </c>
      <c r="X784" s="15">
        <v>-75.303579999999997</v>
      </c>
      <c r="Y784">
        <v>2835.0059999999999</v>
      </c>
      <c r="Z784">
        <v>2431</v>
      </c>
      <c r="AB784" t="s">
        <v>613</v>
      </c>
      <c r="AF784" t="s">
        <v>50</v>
      </c>
      <c r="AG784" t="s">
        <v>402</v>
      </c>
      <c r="AH784" t="s">
        <v>614</v>
      </c>
      <c r="AI784" t="s">
        <v>5580</v>
      </c>
      <c r="AJ784">
        <v>837</v>
      </c>
    </row>
    <row r="785" spans="1:36">
      <c r="A785" t="s">
        <v>5576</v>
      </c>
      <c r="B785" t="s">
        <v>5577</v>
      </c>
      <c r="C785" t="s">
        <v>5581</v>
      </c>
      <c r="D785" t="s">
        <v>5582</v>
      </c>
      <c r="E785" t="s">
        <v>5583</v>
      </c>
      <c r="P785" t="s">
        <v>80</v>
      </c>
      <c r="R785" s="7">
        <v>32119</v>
      </c>
      <c r="T785" t="s">
        <v>111</v>
      </c>
      <c r="W785" s="15">
        <v>4.9759700000000002</v>
      </c>
      <c r="X785" s="15">
        <v>-73.773009999999999</v>
      </c>
      <c r="Y785">
        <v>240.83500000000001</v>
      </c>
      <c r="Z785">
        <v>2992</v>
      </c>
      <c r="AB785" t="s">
        <v>5584</v>
      </c>
      <c r="AF785" t="s">
        <v>50</v>
      </c>
      <c r="AG785" t="s">
        <v>98</v>
      </c>
      <c r="AH785" t="s">
        <v>5585</v>
      </c>
      <c r="AJ785">
        <v>838</v>
      </c>
    </row>
    <row r="786" spans="1:36">
      <c r="A786" t="s">
        <v>5576</v>
      </c>
      <c r="B786" t="s">
        <v>5577</v>
      </c>
      <c r="C786" t="s">
        <v>5586</v>
      </c>
      <c r="D786" t="s">
        <v>5587</v>
      </c>
      <c r="E786" t="s">
        <v>5588</v>
      </c>
      <c r="F786" t="s">
        <v>5589</v>
      </c>
      <c r="G786">
        <v>2800</v>
      </c>
      <c r="H786">
        <v>32000</v>
      </c>
      <c r="P786" t="s">
        <v>80</v>
      </c>
      <c r="R786" s="7">
        <v>35739</v>
      </c>
      <c r="W786" s="15">
        <v>7.0433399999999997</v>
      </c>
      <c r="X786" s="15">
        <v>-73.003020000000006</v>
      </c>
      <c r="Y786">
        <v>7176.0649999999996</v>
      </c>
      <c r="Z786">
        <v>2462</v>
      </c>
      <c r="AB786" t="s">
        <v>5587</v>
      </c>
      <c r="AF786" t="s">
        <v>50</v>
      </c>
      <c r="AG786" t="s">
        <v>402</v>
      </c>
      <c r="AH786" t="s">
        <v>224</v>
      </c>
      <c r="AI786" t="s">
        <v>5590</v>
      </c>
      <c r="AJ786">
        <v>839</v>
      </c>
    </row>
    <row r="787" spans="1:36">
      <c r="A787" t="s">
        <v>5576</v>
      </c>
      <c r="B787" t="s">
        <v>5577</v>
      </c>
      <c r="C787" t="s">
        <v>5591</v>
      </c>
      <c r="D787" t="s">
        <v>228</v>
      </c>
      <c r="E787" t="s">
        <v>5592</v>
      </c>
      <c r="F787">
        <v>1925</v>
      </c>
      <c r="G787">
        <v>1925</v>
      </c>
      <c r="H787">
        <v>1925</v>
      </c>
      <c r="I787" t="s">
        <v>5007</v>
      </c>
      <c r="J787" t="s">
        <v>5008</v>
      </c>
      <c r="K787" t="s">
        <v>5009</v>
      </c>
      <c r="L787" t="s">
        <v>5010</v>
      </c>
      <c r="M787" t="s">
        <v>5011</v>
      </c>
      <c r="N787" t="s">
        <v>2958</v>
      </c>
      <c r="O787" t="s">
        <v>329</v>
      </c>
      <c r="P787" t="s">
        <v>2959</v>
      </c>
      <c r="R787" s="7">
        <v>40022</v>
      </c>
      <c r="T787" t="s">
        <v>119</v>
      </c>
      <c r="W787" s="15">
        <v>1.7689805999999999</v>
      </c>
      <c r="X787" s="15">
        <v>-76.018733299999994</v>
      </c>
      <c r="AF787" t="s">
        <v>50</v>
      </c>
      <c r="AG787" t="s">
        <v>51</v>
      </c>
      <c r="AH787" t="s">
        <v>140</v>
      </c>
      <c r="AI787" t="s">
        <v>5593</v>
      </c>
      <c r="AJ787">
        <v>840</v>
      </c>
    </row>
    <row r="788" spans="1:36">
      <c r="A788" t="s">
        <v>5576</v>
      </c>
      <c r="B788" t="s">
        <v>5577</v>
      </c>
      <c r="C788" t="s">
        <v>5591</v>
      </c>
      <c r="D788" t="s">
        <v>228</v>
      </c>
      <c r="E788" t="s">
        <v>5592</v>
      </c>
      <c r="F788">
        <v>1925</v>
      </c>
      <c r="G788">
        <v>1925</v>
      </c>
      <c r="H788">
        <v>1925</v>
      </c>
      <c r="I788" t="s">
        <v>5007</v>
      </c>
      <c r="J788" t="s">
        <v>5008</v>
      </c>
      <c r="K788" t="s">
        <v>5009</v>
      </c>
      <c r="L788" t="s">
        <v>5010</v>
      </c>
      <c r="M788" t="s">
        <v>5011</v>
      </c>
      <c r="N788" t="s">
        <v>2958</v>
      </c>
      <c r="O788" t="s">
        <v>329</v>
      </c>
      <c r="P788" t="s">
        <v>2959</v>
      </c>
      <c r="R788" s="7">
        <v>40022</v>
      </c>
      <c r="T788" t="s">
        <v>119</v>
      </c>
      <c r="W788" s="15">
        <v>1.7689805999999999</v>
      </c>
      <c r="X788" s="15">
        <v>-76.018733299999994</v>
      </c>
      <c r="AF788" t="s">
        <v>50</v>
      </c>
      <c r="AG788" t="s">
        <v>51</v>
      </c>
      <c r="AH788" t="s">
        <v>140</v>
      </c>
      <c r="AI788" t="s">
        <v>5593</v>
      </c>
      <c r="AJ788">
        <v>841</v>
      </c>
    </row>
    <row r="789" spans="1:36">
      <c r="A789" t="s">
        <v>5576</v>
      </c>
      <c r="B789" t="s">
        <v>5577</v>
      </c>
      <c r="C789" t="s">
        <v>5594</v>
      </c>
      <c r="D789" t="s">
        <v>228</v>
      </c>
      <c r="E789" t="s">
        <v>5592</v>
      </c>
      <c r="F789">
        <v>1925</v>
      </c>
      <c r="G789">
        <v>1925</v>
      </c>
      <c r="H789">
        <v>1925</v>
      </c>
      <c r="I789" t="s">
        <v>5007</v>
      </c>
      <c r="J789" t="s">
        <v>5008</v>
      </c>
      <c r="K789" t="s">
        <v>5009</v>
      </c>
      <c r="L789" t="s">
        <v>5010</v>
      </c>
      <c r="M789" t="s">
        <v>5011</v>
      </c>
      <c r="N789" t="s">
        <v>2958</v>
      </c>
      <c r="O789" t="s">
        <v>329</v>
      </c>
      <c r="P789" t="s">
        <v>2959</v>
      </c>
      <c r="R789" s="7">
        <v>40022</v>
      </c>
      <c r="T789" t="s">
        <v>119</v>
      </c>
      <c r="W789" s="15">
        <v>1.7689805999999999</v>
      </c>
      <c r="X789" s="15">
        <v>-76.018733299999994</v>
      </c>
      <c r="AF789" t="s">
        <v>50</v>
      </c>
      <c r="AG789" t="s">
        <v>51</v>
      </c>
      <c r="AH789" t="s">
        <v>140</v>
      </c>
      <c r="AI789" t="s">
        <v>5593</v>
      </c>
      <c r="AJ789">
        <v>842</v>
      </c>
    </row>
    <row r="790" spans="1:36">
      <c r="A790" t="s">
        <v>5576</v>
      </c>
      <c r="B790" t="s">
        <v>5577</v>
      </c>
      <c r="C790" t="s">
        <v>5595</v>
      </c>
      <c r="D790" t="s">
        <v>3160</v>
      </c>
      <c r="E790" t="s">
        <v>5596</v>
      </c>
      <c r="F790" t="s">
        <v>5597</v>
      </c>
      <c r="G790">
        <v>1000</v>
      </c>
      <c r="H790">
        <v>1300</v>
      </c>
      <c r="I790" t="s">
        <v>5598</v>
      </c>
      <c r="J790" t="s">
        <v>5599</v>
      </c>
      <c r="K790" t="s">
        <v>5600</v>
      </c>
      <c r="L790" t="s">
        <v>5601</v>
      </c>
      <c r="M790" t="s">
        <v>5602</v>
      </c>
      <c r="N790" t="s">
        <v>5603</v>
      </c>
      <c r="O790" t="s">
        <v>5604</v>
      </c>
      <c r="P790" t="s">
        <v>5605</v>
      </c>
      <c r="R790" s="7">
        <v>40751</v>
      </c>
      <c r="T790" t="s">
        <v>318</v>
      </c>
      <c r="W790" s="15">
        <v>6.5397221999999999</v>
      </c>
      <c r="X790" s="15">
        <v>-76.299722200000005</v>
      </c>
      <c r="AF790" t="s">
        <v>50</v>
      </c>
      <c r="AG790" t="s">
        <v>402</v>
      </c>
      <c r="AH790" t="s">
        <v>1356</v>
      </c>
      <c r="AI790" t="s">
        <v>5606</v>
      </c>
      <c r="AJ790">
        <v>843</v>
      </c>
    </row>
    <row r="791" spans="1:36">
      <c r="A791" t="s">
        <v>5576</v>
      </c>
      <c r="B791" t="s">
        <v>5577</v>
      </c>
      <c r="C791" t="s">
        <v>5607</v>
      </c>
      <c r="D791" t="s">
        <v>5608</v>
      </c>
      <c r="E791" t="s">
        <v>5609</v>
      </c>
      <c r="F791" t="s">
        <v>5610</v>
      </c>
      <c r="G791">
        <v>2650</v>
      </c>
      <c r="H791">
        <v>3020</v>
      </c>
      <c r="P791" t="s">
        <v>80</v>
      </c>
      <c r="R791" s="7">
        <v>31869</v>
      </c>
      <c r="T791" t="s">
        <v>119</v>
      </c>
      <c r="W791" s="15">
        <v>7.4399300000000004</v>
      </c>
      <c r="X791" s="15">
        <v>-72.450950000000006</v>
      </c>
      <c r="Y791">
        <v>840.05700000000002</v>
      </c>
      <c r="Z791">
        <v>2492</v>
      </c>
      <c r="AB791" t="s">
        <v>3401</v>
      </c>
      <c r="AF791" t="s">
        <v>50</v>
      </c>
      <c r="AG791" t="s">
        <v>1306</v>
      </c>
      <c r="AH791" t="s">
        <v>3402</v>
      </c>
      <c r="AI791" t="s">
        <v>5611</v>
      </c>
      <c r="AJ791">
        <v>844</v>
      </c>
    </row>
    <row r="792" spans="1:36">
      <c r="A792" t="s">
        <v>5576</v>
      </c>
      <c r="B792" t="s">
        <v>5577</v>
      </c>
      <c r="C792" t="s">
        <v>5612</v>
      </c>
      <c r="D792" t="s">
        <v>5613</v>
      </c>
      <c r="E792" t="s">
        <v>5614</v>
      </c>
      <c r="F792">
        <v>2000</v>
      </c>
      <c r="G792">
        <v>2000</v>
      </c>
      <c r="H792">
        <v>2000</v>
      </c>
      <c r="P792" t="s">
        <v>80</v>
      </c>
      <c r="R792" s="7">
        <v>29558</v>
      </c>
      <c r="T792" t="s">
        <v>119</v>
      </c>
      <c r="W792" s="15">
        <v>1.08283</v>
      </c>
      <c r="X792" s="15">
        <v>-76.821110000000004</v>
      </c>
      <c r="Y792">
        <v>958.05200000000002</v>
      </c>
      <c r="Z792">
        <v>2045</v>
      </c>
      <c r="AB792" t="s">
        <v>5615</v>
      </c>
      <c r="AF792" t="s">
        <v>50</v>
      </c>
      <c r="AG792" t="s">
        <v>67</v>
      </c>
      <c r="AH792" t="s">
        <v>5616</v>
      </c>
      <c r="AJ792">
        <v>845</v>
      </c>
    </row>
    <row r="793" spans="1:36">
      <c r="A793" t="s">
        <v>5617</v>
      </c>
      <c r="B793" t="s">
        <v>5618</v>
      </c>
      <c r="C793" t="s">
        <v>5619</v>
      </c>
      <c r="D793" t="s">
        <v>5620</v>
      </c>
      <c r="E793" t="s">
        <v>5621</v>
      </c>
      <c r="F793" t="s">
        <v>5622</v>
      </c>
      <c r="G793">
        <v>70</v>
      </c>
      <c r="H793">
        <v>100</v>
      </c>
      <c r="P793" t="s">
        <v>80</v>
      </c>
      <c r="R793" s="7">
        <v>14355</v>
      </c>
      <c r="W793" s="15">
        <v>5.0990200000000003</v>
      </c>
      <c r="X793" s="15">
        <v>-76.700630000000004</v>
      </c>
      <c r="Y793">
        <v>2064.3470000000002</v>
      </c>
      <c r="Z793">
        <v>79</v>
      </c>
      <c r="AB793" t="s">
        <v>5623</v>
      </c>
      <c r="AF793" t="s">
        <v>50</v>
      </c>
      <c r="AG793" t="s">
        <v>374</v>
      </c>
      <c r="AH793" t="s">
        <v>5624</v>
      </c>
      <c r="AJ793">
        <v>846</v>
      </c>
    </row>
    <row r="794" spans="1:36">
      <c r="A794" t="s">
        <v>5617</v>
      </c>
      <c r="B794" t="s">
        <v>5618</v>
      </c>
      <c r="C794" t="s">
        <v>5625</v>
      </c>
      <c r="D794" t="s">
        <v>5626</v>
      </c>
      <c r="E794" t="s">
        <v>5627</v>
      </c>
      <c r="F794">
        <v>1066</v>
      </c>
      <c r="G794">
        <v>1066</v>
      </c>
      <c r="H794">
        <v>1066</v>
      </c>
      <c r="I794" t="s">
        <v>4075</v>
      </c>
      <c r="J794" t="s">
        <v>4076</v>
      </c>
      <c r="K794" t="s">
        <v>4077</v>
      </c>
      <c r="L794" t="s">
        <v>4078</v>
      </c>
      <c r="M794" t="s">
        <v>4079</v>
      </c>
      <c r="N794" t="s">
        <v>4080</v>
      </c>
      <c r="O794" t="s">
        <v>4081</v>
      </c>
      <c r="P794" t="s">
        <v>4082</v>
      </c>
      <c r="R794" s="7">
        <v>17116</v>
      </c>
      <c r="W794" s="15">
        <v>1.25</v>
      </c>
      <c r="X794" s="15">
        <v>-78.116666699999996</v>
      </c>
      <c r="AF794" t="s">
        <v>50</v>
      </c>
      <c r="AG794" t="s">
        <v>127</v>
      </c>
      <c r="AH794" t="s">
        <v>5628</v>
      </c>
      <c r="AJ794">
        <v>847</v>
      </c>
    </row>
    <row r="795" spans="1:36">
      <c r="A795" t="s">
        <v>5617</v>
      </c>
      <c r="B795" t="s">
        <v>5618</v>
      </c>
      <c r="C795" t="s">
        <v>5629</v>
      </c>
      <c r="D795" t="s">
        <v>5630</v>
      </c>
      <c r="E795" t="s">
        <v>5631</v>
      </c>
      <c r="F795">
        <v>400</v>
      </c>
      <c r="G795">
        <v>400</v>
      </c>
      <c r="H795">
        <v>400</v>
      </c>
      <c r="P795" t="s">
        <v>80</v>
      </c>
      <c r="R795" s="7">
        <v>26608</v>
      </c>
      <c r="W795" s="15">
        <v>3.61633</v>
      </c>
      <c r="X795" s="15">
        <v>-76.898060000000001</v>
      </c>
      <c r="Y795">
        <v>690.23800000000006</v>
      </c>
      <c r="Z795">
        <v>330</v>
      </c>
      <c r="AB795" t="s">
        <v>5632</v>
      </c>
      <c r="AF795" t="s">
        <v>50</v>
      </c>
      <c r="AG795" t="s">
        <v>83</v>
      </c>
      <c r="AH795" t="s">
        <v>5633</v>
      </c>
      <c r="AJ795">
        <v>848</v>
      </c>
    </row>
    <row r="796" spans="1:36">
      <c r="A796" t="s">
        <v>5617</v>
      </c>
      <c r="B796" t="s">
        <v>5618</v>
      </c>
      <c r="C796" t="s">
        <v>5634</v>
      </c>
      <c r="D796" t="s">
        <v>5635</v>
      </c>
      <c r="E796" t="s">
        <v>5636</v>
      </c>
      <c r="F796">
        <v>900</v>
      </c>
      <c r="G796">
        <v>900</v>
      </c>
      <c r="H796">
        <v>900</v>
      </c>
      <c r="P796" t="s">
        <v>80</v>
      </c>
      <c r="R796" s="7">
        <v>26649</v>
      </c>
      <c r="W796" s="15">
        <v>1.36416</v>
      </c>
      <c r="X796" s="15">
        <v>-78.100560000000002</v>
      </c>
      <c r="Y796">
        <v>4999.3969999999999</v>
      </c>
      <c r="Z796">
        <v>1048</v>
      </c>
      <c r="AB796" t="s">
        <v>5637</v>
      </c>
      <c r="AF796" t="s">
        <v>50</v>
      </c>
      <c r="AG796" t="s">
        <v>127</v>
      </c>
      <c r="AH796" t="s">
        <v>5638</v>
      </c>
      <c r="AI796" t="s">
        <v>5639</v>
      </c>
      <c r="AJ796">
        <v>850</v>
      </c>
    </row>
    <row r="797" spans="1:36">
      <c r="A797" t="s">
        <v>5617</v>
      </c>
      <c r="B797" t="s">
        <v>5618</v>
      </c>
      <c r="C797" t="s">
        <v>5640</v>
      </c>
      <c r="D797" t="s">
        <v>5641</v>
      </c>
      <c r="E797" t="s">
        <v>5642</v>
      </c>
      <c r="F797">
        <v>1000</v>
      </c>
      <c r="G797">
        <v>1000</v>
      </c>
      <c r="H797">
        <v>1000</v>
      </c>
      <c r="P797" t="s">
        <v>80</v>
      </c>
      <c r="R797" s="7">
        <v>26653</v>
      </c>
      <c r="W797" s="15">
        <v>1.36416</v>
      </c>
      <c r="X797" s="15">
        <v>-78.100560000000002</v>
      </c>
      <c r="Y797">
        <v>4999.3969999999999</v>
      </c>
      <c r="Z797">
        <v>1048</v>
      </c>
      <c r="AB797" t="s">
        <v>5637</v>
      </c>
      <c r="AF797" t="s">
        <v>50</v>
      </c>
      <c r="AG797" t="s">
        <v>127</v>
      </c>
      <c r="AH797" t="s">
        <v>5643</v>
      </c>
      <c r="AJ797">
        <v>851</v>
      </c>
    </row>
    <row r="798" spans="1:36">
      <c r="A798" t="s">
        <v>5617</v>
      </c>
      <c r="B798" t="s">
        <v>5618</v>
      </c>
      <c r="C798" t="s">
        <v>5644</v>
      </c>
      <c r="D798" t="s">
        <v>5645</v>
      </c>
      <c r="E798" t="s">
        <v>5646</v>
      </c>
      <c r="F798">
        <v>350</v>
      </c>
      <c r="G798">
        <v>350</v>
      </c>
      <c r="H798">
        <v>350</v>
      </c>
      <c r="P798" t="s">
        <v>80</v>
      </c>
      <c r="R798" s="7">
        <v>26787</v>
      </c>
      <c r="W798" s="15">
        <v>1.53403</v>
      </c>
      <c r="X798" s="15">
        <v>-78.067689999999999</v>
      </c>
      <c r="Y798">
        <v>996.47500000000002</v>
      </c>
      <c r="Z798">
        <v>411</v>
      </c>
      <c r="AB798" t="s">
        <v>126</v>
      </c>
      <c r="AF798" t="s">
        <v>50</v>
      </c>
      <c r="AG798" t="s">
        <v>127</v>
      </c>
      <c r="AH798" t="s">
        <v>5638</v>
      </c>
      <c r="AI798" t="s">
        <v>5647</v>
      </c>
      <c r="AJ798">
        <v>852</v>
      </c>
    </row>
    <row r="799" spans="1:36">
      <c r="A799" t="s">
        <v>5617</v>
      </c>
      <c r="B799" t="s">
        <v>5618</v>
      </c>
      <c r="C799" t="s">
        <v>5648</v>
      </c>
      <c r="D799" t="s">
        <v>5649</v>
      </c>
      <c r="E799" t="s">
        <v>5650</v>
      </c>
      <c r="F799">
        <v>600</v>
      </c>
      <c r="G799">
        <v>600</v>
      </c>
      <c r="H799">
        <v>600</v>
      </c>
      <c r="P799" t="s">
        <v>80</v>
      </c>
      <c r="R799" s="7">
        <v>27609</v>
      </c>
      <c r="W799" s="15">
        <v>12.13776</v>
      </c>
      <c r="X799" s="15">
        <v>-71.338380000000001</v>
      </c>
      <c r="Y799">
        <v>3462.114</v>
      </c>
      <c r="Z799">
        <v>324</v>
      </c>
      <c r="AB799" t="s">
        <v>5651</v>
      </c>
      <c r="AF799" t="s">
        <v>50</v>
      </c>
      <c r="AG799" t="s">
        <v>5652</v>
      </c>
      <c r="AH799" t="s">
        <v>5653</v>
      </c>
      <c r="AJ799">
        <v>853</v>
      </c>
    </row>
    <row r="800" spans="1:36">
      <c r="A800" t="s">
        <v>5617</v>
      </c>
      <c r="B800" t="s">
        <v>5618</v>
      </c>
      <c r="C800" t="s">
        <v>5648</v>
      </c>
      <c r="D800" t="s">
        <v>5654</v>
      </c>
      <c r="E800" t="s">
        <v>5650</v>
      </c>
      <c r="F800">
        <v>600</v>
      </c>
      <c r="G800">
        <v>600</v>
      </c>
      <c r="H800">
        <v>600</v>
      </c>
      <c r="P800" t="s">
        <v>80</v>
      </c>
      <c r="R800" s="7">
        <v>27609</v>
      </c>
      <c r="W800" s="15">
        <v>12.13776</v>
      </c>
      <c r="X800" s="15">
        <v>-71.338380000000001</v>
      </c>
      <c r="Y800">
        <v>3462.114</v>
      </c>
      <c r="Z800">
        <v>324</v>
      </c>
      <c r="AB800" t="s">
        <v>5651</v>
      </c>
      <c r="AF800" t="s">
        <v>50</v>
      </c>
      <c r="AG800" t="s">
        <v>5652</v>
      </c>
      <c r="AH800" t="s">
        <v>5653</v>
      </c>
      <c r="AJ800">
        <v>854</v>
      </c>
    </row>
    <row r="801" spans="1:36">
      <c r="A801" t="s">
        <v>5617</v>
      </c>
      <c r="B801" t="s">
        <v>5618</v>
      </c>
      <c r="C801" t="s">
        <v>5655</v>
      </c>
      <c r="D801" t="s">
        <v>5656</v>
      </c>
      <c r="E801" t="s">
        <v>5657</v>
      </c>
      <c r="I801" t="s">
        <v>4016</v>
      </c>
      <c r="J801" t="s">
        <v>4017</v>
      </c>
      <c r="K801" t="s">
        <v>5658</v>
      </c>
      <c r="L801" t="s">
        <v>5659</v>
      </c>
      <c r="M801" t="s">
        <v>5660</v>
      </c>
      <c r="N801" t="s">
        <v>4021</v>
      </c>
      <c r="O801" t="s">
        <v>5661</v>
      </c>
      <c r="P801" t="s">
        <v>5662</v>
      </c>
      <c r="R801" s="7">
        <v>28959</v>
      </c>
      <c r="W801" s="15">
        <v>5.0999999999999996</v>
      </c>
      <c r="X801" s="15">
        <v>-76.666666699999993</v>
      </c>
      <c r="AF801" t="s">
        <v>50</v>
      </c>
      <c r="AG801" t="s">
        <v>5663</v>
      </c>
      <c r="AH801" t="s">
        <v>1324</v>
      </c>
      <c r="AI801" t="s">
        <v>5664</v>
      </c>
      <c r="AJ801">
        <v>856</v>
      </c>
    </row>
    <row r="802" spans="1:36">
      <c r="A802" t="s">
        <v>5617</v>
      </c>
      <c r="B802" t="s">
        <v>5618</v>
      </c>
      <c r="C802" t="s">
        <v>5665</v>
      </c>
      <c r="D802" t="s">
        <v>5666</v>
      </c>
      <c r="E802" t="s">
        <v>5667</v>
      </c>
      <c r="F802" t="s">
        <v>5668</v>
      </c>
      <c r="G802">
        <v>400</v>
      </c>
      <c r="H802">
        <v>550</v>
      </c>
      <c r="P802" t="s">
        <v>80</v>
      </c>
      <c r="R802" s="7">
        <v>30328</v>
      </c>
      <c r="T802" t="s">
        <v>119</v>
      </c>
      <c r="W802" s="15">
        <v>4.8758499999999998</v>
      </c>
      <c r="X802" s="15">
        <v>-76.442220000000006</v>
      </c>
      <c r="Y802">
        <v>3728.3809999999999</v>
      </c>
      <c r="Z802">
        <v>429</v>
      </c>
      <c r="AA802" t="s">
        <v>5669</v>
      </c>
      <c r="AB802" t="s">
        <v>5670</v>
      </c>
      <c r="AF802" t="s">
        <v>50</v>
      </c>
      <c r="AG802" t="s">
        <v>374</v>
      </c>
      <c r="AH802" t="s">
        <v>5671</v>
      </c>
      <c r="AI802" t="s">
        <v>5672</v>
      </c>
      <c r="AJ802">
        <v>857</v>
      </c>
    </row>
    <row r="803" spans="1:36">
      <c r="A803" t="s">
        <v>5617</v>
      </c>
      <c r="B803" t="s">
        <v>5618</v>
      </c>
      <c r="C803" t="s">
        <v>5673</v>
      </c>
      <c r="D803" t="s">
        <v>5674</v>
      </c>
      <c r="E803" t="s">
        <v>5675</v>
      </c>
      <c r="F803">
        <v>900</v>
      </c>
      <c r="G803">
        <v>900</v>
      </c>
      <c r="H803">
        <v>900</v>
      </c>
      <c r="P803" t="s">
        <v>80</v>
      </c>
      <c r="R803" s="7">
        <v>30340</v>
      </c>
      <c r="W803" s="15">
        <v>4.89255</v>
      </c>
      <c r="X803" s="15">
        <v>-76.274339999999995</v>
      </c>
      <c r="Y803">
        <v>2002.374</v>
      </c>
      <c r="Z803">
        <v>826</v>
      </c>
      <c r="AB803" t="s">
        <v>5676</v>
      </c>
      <c r="AF803" t="s">
        <v>50</v>
      </c>
      <c r="AG803" t="s">
        <v>374</v>
      </c>
      <c r="AH803" t="s">
        <v>375</v>
      </c>
      <c r="AI803" t="s">
        <v>5677</v>
      </c>
      <c r="AJ803">
        <v>858</v>
      </c>
    </row>
    <row r="804" spans="1:36">
      <c r="A804" t="s">
        <v>5617</v>
      </c>
      <c r="B804" t="s">
        <v>5618</v>
      </c>
      <c r="C804" t="s">
        <v>5678</v>
      </c>
      <c r="D804" t="s">
        <v>5679</v>
      </c>
      <c r="E804" t="s">
        <v>5680</v>
      </c>
      <c r="F804">
        <v>700</v>
      </c>
      <c r="G804">
        <v>700</v>
      </c>
      <c r="H804">
        <v>700</v>
      </c>
      <c r="P804" t="s">
        <v>80</v>
      </c>
      <c r="R804" s="7">
        <v>30496</v>
      </c>
      <c r="T804" t="s">
        <v>119</v>
      </c>
      <c r="W804" s="15">
        <v>11.29186</v>
      </c>
      <c r="X804" s="15">
        <v>-74.056820000000002</v>
      </c>
      <c r="Y804">
        <v>2292.5010000000002</v>
      </c>
      <c r="Z804">
        <v>573</v>
      </c>
      <c r="AB804" t="s">
        <v>5681</v>
      </c>
      <c r="AF804" t="s">
        <v>50</v>
      </c>
      <c r="AG804" t="s">
        <v>1296</v>
      </c>
      <c r="AH804" t="s">
        <v>5682</v>
      </c>
      <c r="AJ804">
        <v>859</v>
      </c>
    </row>
    <row r="805" spans="1:36">
      <c r="A805" t="s">
        <v>5617</v>
      </c>
      <c r="B805" t="s">
        <v>5618</v>
      </c>
      <c r="C805" t="s">
        <v>5683</v>
      </c>
      <c r="D805" t="s">
        <v>5684</v>
      </c>
      <c r="E805" t="s">
        <v>5685</v>
      </c>
      <c r="F805">
        <v>1300</v>
      </c>
      <c r="G805">
        <v>1300</v>
      </c>
      <c r="H805">
        <v>1300</v>
      </c>
      <c r="I805" t="s">
        <v>5686</v>
      </c>
      <c r="J805" t="s">
        <v>3257</v>
      </c>
      <c r="K805" t="s">
        <v>5687</v>
      </c>
      <c r="L805" t="s">
        <v>5688</v>
      </c>
      <c r="M805" t="s">
        <v>5689</v>
      </c>
      <c r="N805" t="s">
        <v>3260</v>
      </c>
      <c r="O805" t="s">
        <v>5690</v>
      </c>
      <c r="P805" t="s">
        <v>5691</v>
      </c>
      <c r="R805" s="7">
        <v>30718</v>
      </c>
      <c r="W805" s="15">
        <v>3.5</v>
      </c>
      <c r="X805" s="15">
        <v>-76.75</v>
      </c>
      <c r="AF805" t="s">
        <v>50</v>
      </c>
      <c r="AG805" t="s">
        <v>83</v>
      </c>
      <c r="AH805" t="s">
        <v>5692</v>
      </c>
      <c r="AI805" t="s">
        <v>5693</v>
      </c>
      <c r="AJ805">
        <v>860</v>
      </c>
    </row>
    <row r="806" spans="1:36">
      <c r="A806" t="s">
        <v>5617</v>
      </c>
      <c r="B806" t="s">
        <v>5618</v>
      </c>
      <c r="C806" t="s">
        <v>5683</v>
      </c>
      <c r="D806" t="s">
        <v>5694</v>
      </c>
      <c r="E806" t="s">
        <v>5685</v>
      </c>
      <c r="F806">
        <v>1300</v>
      </c>
      <c r="G806">
        <v>1300</v>
      </c>
      <c r="H806">
        <v>1300</v>
      </c>
      <c r="I806" t="s">
        <v>5686</v>
      </c>
      <c r="J806" t="s">
        <v>3257</v>
      </c>
      <c r="K806" t="s">
        <v>5687</v>
      </c>
      <c r="L806" t="s">
        <v>5688</v>
      </c>
      <c r="M806" t="s">
        <v>5689</v>
      </c>
      <c r="N806" t="s">
        <v>3260</v>
      </c>
      <c r="O806" t="s">
        <v>5690</v>
      </c>
      <c r="P806" t="s">
        <v>5691</v>
      </c>
      <c r="R806" s="7">
        <v>30718</v>
      </c>
      <c r="W806" s="15">
        <v>3.5</v>
      </c>
      <c r="X806" s="15">
        <v>-76.75</v>
      </c>
      <c r="AF806" t="s">
        <v>50</v>
      </c>
      <c r="AG806" t="s">
        <v>83</v>
      </c>
      <c r="AH806" t="s">
        <v>5692</v>
      </c>
      <c r="AI806" t="s">
        <v>5693</v>
      </c>
      <c r="AJ806">
        <v>861</v>
      </c>
    </row>
    <row r="807" spans="1:36">
      <c r="A807" t="s">
        <v>5617</v>
      </c>
      <c r="B807" t="s">
        <v>5618</v>
      </c>
      <c r="C807" t="s">
        <v>5695</v>
      </c>
      <c r="D807" t="s">
        <v>5696</v>
      </c>
      <c r="E807" t="s">
        <v>5697</v>
      </c>
      <c r="I807" t="s">
        <v>5698</v>
      </c>
      <c r="J807" t="s">
        <v>5699</v>
      </c>
      <c r="K807" t="s">
        <v>5700</v>
      </c>
      <c r="L807" t="s">
        <v>5701</v>
      </c>
      <c r="M807" t="s">
        <v>5702</v>
      </c>
      <c r="N807" t="s">
        <v>5703</v>
      </c>
      <c r="O807" t="s">
        <v>5704</v>
      </c>
      <c r="P807" t="s">
        <v>5705</v>
      </c>
      <c r="R807" s="7">
        <v>32149</v>
      </c>
      <c r="T807" t="s">
        <v>119</v>
      </c>
      <c r="W807" s="15">
        <v>1.0833333000000001</v>
      </c>
      <c r="X807" s="15">
        <v>-78.016666700000002</v>
      </c>
      <c r="AF807" t="s">
        <v>50</v>
      </c>
      <c r="AG807" t="s">
        <v>127</v>
      </c>
      <c r="AH807" t="s">
        <v>5706</v>
      </c>
      <c r="AI807" t="s">
        <v>5707</v>
      </c>
      <c r="AJ807">
        <v>862</v>
      </c>
    </row>
    <row r="808" spans="1:36">
      <c r="A808" t="s">
        <v>5617</v>
      </c>
      <c r="B808" t="s">
        <v>5618</v>
      </c>
      <c r="C808" t="s">
        <v>5708</v>
      </c>
      <c r="D808" t="s">
        <v>3607</v>
      </c>
      <c r="E808" t="s">
        <v>5709</v>
      </c>
      <c r="F808" t="s">
        <v>3609</v>
      </c>
      <c r="G808">
        <v>1000</v>
      </c>
      <c r="H808">
        <v>1280</v>
      </c>
      <c r="I808" t="s">
        <v>3610</v>
      </c>
      <c r="J808" t="s">
        <v>3611</v>
      </c>
      <c r="K808" t="s">
        <v>5710</v>
      </c>
      <c r="L808" t="s">
        <v>5711</v>
      </c>
      <c r="M808" t="s">
        <v>5712</v>
      </c>
      <c r="N808" t="s">
        <v>3615</v>
      </c>
      <c r="O808" t="s">
        <v>3616</v>
      </c>
      <c r="P808" t="s">
        <v>3617</v>
      </c>
      <c r="R808" s="7">
        <v>40746</v>
      </c>
      <c r="T808" t="s">
        <v>119</v>
      </c>
      <c r="W808" s="15">
        <v>6.5125555999999998</v>
      </c>
      <c r="X808" s="15">
        <v>-76.261499999999998</v>
      </c>
      <c r="AF808" t="s">
        <v>50</v>
      </c>
      <c r="AG808" t="s">
        <v>402</v>
      </c>
      <c r="AH808" t="s">
        <v>1685</v>
      </c>
      <c r="AI808" t="s">
        <v>5713</v>
      </c>
      <c r="AJ808">
        <v>863</v>
      </c>
    </row>
    <row r="809" spans="1:36">
      <c r="A809" t="s">
        <v>5617</v>
      </c>
      <c r="B809" t="s">
        <v>5618</v>
      </c>
      <c r="C809" t="s">
        <v>5644</v>
      </c>
      <c r="D809" t="s">
        <v>5714</v>
      </c>
      <c r="E809" t="s">
        <v>5715</v>
      </c>
      <c r="F809">
        <v>350</v>
      </c>
      <c r="G809">
        <v>350</v>
      </c>
      <c r="H809">
        <v>350</v>
      </c>
      <c r="P809" t="s">
        <v>80</v>
      </c>
      <c r="R809" s="7">
        <v>26818</v>
      </c>
      <c r="W809" s="15">
        <v>1.53403</v>
      </c>
      <c r="X809" s="15">
        <v>-78.067689999999999</v>
      </c>
      <c r="Y809">
        <v>996.47500000000002</v>
      </c>
      <c r="Z809">
        <v>411</v>
      </c>
      <c r="AB809" t="s">
        <v>126</v>
      </c>
      <c r="AF809" t="s">
        <v>50</v>
      </c>
      <c r="AG809" t="s">
        <v>127</v>
      </c>
      <c r="AH809" t="s">
        <v>5647</v>
      </c>
      <c r="AJ809">
        <v>864</v>
      </c>
    </row>
    <row r="810" spans="1:36">
      <c r="A810" t="s">
        <v>5716</v>
      </c>
      <c r="B810" t="s">
        <v>5717</v>
      </c>
      <c r="C810" t="s">
        <v>5718</v>
      </c>
      <c r="D810" t="s">
        <v>5719</v>
      </c>
      <c r="E810" t="s">
        <v>5720</v>
      </c>
      <c r="F810">
        <v>2650</v>
      </c>
      <c r="G810">
        <v>2650</v>
      </c>
      <c r="H810">
        <v>2650</v>
      </c>
      <c r="I810" t="s">
        <v>5721</v>
      </c>
      <c r="J810" t="s">
        <v>5722</v>
      </c>
      <c r="K810" t="s">
        <v>5723</v>
      </c>
      <c r="L810" t="s">
        <v>5724</v>
      </c>
      <c r="M810" t="s">
        <v>5725</v>
      </c>
      <c r="N810" t="s">
        <v>5726</v>
      </c>
      <c r="O810" t="s">
        <v>5727</v>
      </c>
      <c r="P810" t="s">
        <v>5728</v>
      </c>
      <c r="R810" s="7">
        <v>30510</v>
      </c>
      <c r="T810" t="s">
        <v>119</v>
      </c>
      <c r="W810" s="15">
        <v>6.6073443999999997</v>
      </c>
      <c r="X810" s="15">
        <v>-75.665902799999998</v>
      </c>
      <c r="AF810" t="s">
        <v>50</v>
      </c>
      <c r="AG810" t="s">
        <v>402</v>
      </c>
      <c r="AH810" t="s">
        <v>1710</v>
      </c>
      <c r="AI810" t="s">
        <v>5729</v>
      </c>
      <c r="AJ810">
        <v>865</v>
      </c>
    </row>
    <row r="811" spans="1:36">
      <c r="A811" t="s">
        <v>5716</v>
      </c>
      <c r="B811" t="s">
        <v>5717</v>
      </c>
      <c r="C811" t="s">
        <v>5730</v>
      </c>
      <c r="D811" t="s">
        <v>5731</v>
      </c>
      <c r="E811" t="s">
        <v>5732</v>
      </c>
      <c r="F811">
        <v>2560</v>
      </c>
      <c r="G811">
        <v>2560</v>
      </c>
      <c r="H811">
        <v>2560</v>
      </c>
      <c r="I811" t="s">
        <v>4396</v>
      </c>
      <c r="J811" t="s">
        <v>4397</v>
      </c>
      <c r="K811" t="s">
        <v>4191</v>
      </c>
      <c r="L811" t="s">
        <v>4192</v>
      </c>
      <c r="M811" t="s">
        <v>4398</v>
      </c>
      <c r="N811" t="s">
        <v>5733</v>
      </c>
      <c r="O811" t="s">
        <v>4194</v>
      </c>
      <c r="P811" t="s">
        <v>5734</v>
      </c>
      <c r="R811" s="7">
        <v>32285</v>
      </c>
      <c r="T811" t="s">
        <v>111</v>
      </c>
      <c r="W811" s="15">
        <v>6.3166666999999999</v>
      </c>
      <c r="X811" s="15">
        <v>-75.683333300000001</v>
      </c>
      <c r="AF811" t="s">
        <v>50</v>
      </c>
      <c r="AG811" t="s">
        <v>402</v>
      </c>
      <c r="AH811" t="s">
        <v>855</v>
      </c>
      <c r="AI811" t="s">
        <v>5735</v>
      </c>
      <c r="AJ811">
        <v>867</v>
      </c>
    </row>
    <row r="812" spans="1:36">
      <c r="A812" t="s">
        <v>5716</v>
      </c>
      <c r="B812" t="s">
        <v>5717</v>
      </c>
      <c r="C812" t="s">
        <v>5736</v>
      </c>
      <c r="D812" t="s">
        <v>5737</v>
      </c>
      <c r="E812" t="s">
        <v>5738</v>
      </c>
      <c r="F812">
        <v>2440</v>
      </c>
      <c r="G812">
        <v>2440</v>
      </c>
      <c r="H812">
        <v>2440</v>
      </c>
      <c r="I812" t="s">
        <v>5739</v>
      </c>
      <c r="J812" t="s">
        <v>5740</v>
      </c>
      <c r="K812" t="s">
        <v>557</v>
      </c>
      <c r="L812" t="s">
        <v>558</v>
      </c>
      <c r="M812" t="s">
        <v>5741</v>
      </c>
      <c r="N812" t="s">
        <v>560</v>
      </c>
      <c r="O812" t="s">
        <v>561</v>
      </c>
      <c r="P812" t="s">
        <v>562</v>
      </c>
      <c r="R812" s="7">
        <v>32295</v>
      </c>
      <c r="T812" t="s">
        <v>119</v>
      </c>
      <c r="W812" s="15">
        <v>6.09</v>
      </c>
      <c r="X812" s="15">
        <v>-75.638000000000005</v>
      </c>
      <c r="AF812" t="s">
        <v>50</v>
      </c>
      <c r="AG812" t="s">
        <v>402</v>
      </c>
      <c r="AH812" t="s">
        <v>167</v>
      </c>
      <c r="AI812" t="s">
        <v>5742</v>
      </c>
      <c r="AJ812">
        <v>868</v>
      </c>
    </row>
    <row r="813" spans="1:36">
      <c r="A813" t="s">
        <v>5716</v>
      </c>
      <c r="B813" t="s">
        <v>5717</v>
      </c>
      <c r="C813" t="s">
        <v>5743</v>
      </c>
      <c r="D813" t="s">
        <v>5744</v>
      </c>
      <c r="E813" t="s">
        <v>5745</v>
      </c>
      <c r="F813">
        <v>2885</v>
      </c>
      <c r="G813">
        <v>2885</v>
      </c>
      <c r="H813">
        <v>2885</v>
      </c>
      <c r="I813" t="s">
        <v>5746</v>
      </c>
      <c r="J813" t="s">
        <v>5747</v>
      </c>
      <c r="K813" t="s">
        <v>5748</v>
      </c>
      <c r="L813" t="s">
        <v>5749</v>
      </c>
      <c r="M813" t="s">
        <v>5750</v>
      </c>
      <c r="N813" t="s">
        <v>5751</v>
      </c>
      <c r="O813" t="s">
        <v>5752</v>
      </c>
      <c r="P813" t="s">
        <v>5753</v>
      </c>
      <c r="R813" s="7">
        <v>37424</v>
      </c>
      <c r="T813" t="s">
        <v>119</v>
      </c>
      <c r="W813" s="15">
        <v>6.6218611000000003</v>
      </c>
      <c r="X813" s="15">
        <v>-75.674999999999997</v>
      </c>
      <c r="AF813" t="s">
        <v>50</v>
      </c>
      <c r="AG813" t="s">
        <v>402</v>
      </c>
      <c r="AH813" t="s">
        <v>1710</v>
      </c>
      <c r="AI813" t="s">
        <v>5754</v>
      </c>
      <c r="AJ813">
        <v>870</v>
      </c>
    </row>
    <row r="814" spans="1:36">
      <c r="A814" t="s">
        <v>5716</v>
      </c>
      <c r="B814" t="s">
        <v>5717</v>
      </c>
      <c r="C814" t="s">
        <v>5755</v>
      </c>
      <c r="D814" t="s">
        <v>5756</v>
      </c>
      <c r="E814" t="s">
        <v>5757</v>
      </c>
      <c r="F814">
        <v>2900</v>
      </c>
      <c r="G814">
        <v>2900</v>
      </c>
      <c r="H814">
        <v>2900</v>
      </c>
      <c r="I814" t="s">
        <v>5758</v>
      </c>
      <c r="J814" t="s">
        <v>5759</v>
      </c>
      <c r="K814" t="s">
        <v>5760</v>
      </c>
      <c r="L814" t="s">
        <v>5761</v>
      </c>
      <c r="M814" t="s">
        <v>5762</v>
      </c>
      <c r="N814" t="s">
        <v>2612</v>
      </c>
      <c r="O814" t="s">
        <v>5763</v>
      </c>
      <c r="P814" t="s">
        <v>5764</v>
      </c>
      <c r="R814" s="7">
        <v>37438</v>
      </c>
      <c r="W814" s="15">
        <v>5.4870000000000001</v>
      </c>
      <c r="X814" s="15">
        <v>-75.8979444</v>
      </c>
      <c r="AF814" t="s">
        <v>50</v>
      </c>
      <c r="AG814" t="s">
        <v>402</v>
      </c>
      <c r="AH814" t="s">
        <v>627</v>
      </c>
      <c r="AI814" t="s">
        <v>5765</v>
      </c>
      <c r="AJ814">
        <v>871</v>
      </c>
    </row>
    <row r="815" spans="1:36">
      <c r="A815" t="s">
        <v>5716</v>
      </c>
      <c r="B815" t="s">
        <v>5717</v>
      </c>
      <c r="C815" t="s">
        <v>5766</v>
      </c>
      <c r="D815" t="s">
        <v>5767</v>
      </c>
      <c r="E815" t="s">
        <v>5768</v>
      </c>
      <c r="F815">
        <v>2525</v>
      </c>
      <c r="G815">
        <v>2525</v>
      </c>
      <c r="H815">
        <v>2525</v>
      </c>
      <c r="I815" t="s">
        <v>5769</v>
      </c>
      <c r="J815" t="s">
        <v>5770</v>
      </c>
      <c r="K815" t="s">
        <v>5771</v>
      </c>
      <c r="L815" t="s">
        <v>5772</v>
      </c>
      <c r="M815" t="s">
        <v>5773</v>
      </c>
      <c r="N815" t="s">
        <v>5774</v>
      </c>
      <c r="O815" t="s">
        <v>5775</v>
      </c>
      <c r="P815" t="s">
        <v>5776</v>
      </c>
      <c r="R815" s="7">
        <v>37537</v>
      </c>
      <c r="W815" s="15">
        <v>6.5999444</v>
      </c>
      <c r="X815" s="15">
        <v>-75.690611099999998</v>
      </c>
      <c r="AF815" t="s">
        <v>50</v>
      </c>
      <c r="AG815" t="s">
        <v>402</v>
      </c>
      <c r="AH815" t="s">
        <v>1710</v>
      </c>
      <c r="AI815" t="s">
        <v>5777</v>
      </c>
      <c r="AJ815">
        <v>872</v>
      </c>
    </row>
    <row r="816" spans="1:36">
      <c r="A816" t="s">
        <v>5716</v>
      </c>
      <c r="B816" t="s">
        <v>5717</v>
      </c>
      <c r="C816" t="s">
        <v>5766</v>
      </c>
      <c r="D816" t="s">
        <v>5778</v>
      </c>
      <c r="E816" t="s">
        <v>5768</v>
      </c>
      <c r="F816">
        <v>2525</v>
      </c>
      <c r="G816">
        <v>2525</v>
      </c>
      <c r="H816">
        <v>2525</v>
      </c>
      <c r="I816" t="s">
        <v>5769</v>
      </c>
      <c r="J816" t="s">
        <v>5770</v>
      </c>
      <c r="K816" t="s">
        <v>5771</v>
      </c>
      <c r="L816" t="s">
        <v>5772</v>
      </c>
      <c r="M816" t="s">
        <v>5773</v>
      </c>
      <c r="N816" t="s">
        <v>5774</v>
      </c>
      <c r="O816" t="s">
        <v>5775</v>
      </c>
      <c r="P816" t="s">
        <v>5776</v>
      </c>
      <c r="R816" s="7">
        <v>37537</v>
      </c>
      <c r="W816" s="15">
        <v>6.5999444</v>
      </c>
      <c r="X816" s="15">
        <v>-75.690611099999998</v>
      </c>
      <c r="AF816" t="s">
        <v>50</v>
      </c>
      <c r="AG816" t="s">
        <v>402</v>
      </c>
      <c r="AH816" t="s">
        <v>1710</v>
      </c>
      <c r="AI816" t="s">
        <v>5777</v>
      </c>
      <c r="AJ816">
        <v>873</v>
      </c>
    </row>
    <row r="817" spans="1:36">
      <c r="A817" t="s">
        <v>5716</v>
      </c>
      <c r="B817" t="s">
        <v>5717</v>
      </c>
      <c r="C817" t="s">
        <v>5766</v>
      </c>
      <c r="D817" t="s">
        <v>5779</v>
      </c>
      <c r="E817" t="s">
        <v>5768</v>
      </c>
      <c r="F817">
        <v>2525</v>
      </c>
      <c r="G817">
        <v>2525</v>
      </c>
      <c r="H817">
        <v>2525</v>
      </c>
      <c r="I817" t="s">
        <v>5769</v>
      </c>
      <c r="J817" t="s">
        <v>5770</v>
      </c>
      <c r="K817" t="s">
        <v>5771</v>
      </c>
      <c r="L817" t="s">
        <v>5772</v>
      </c>
      <c r="M817" t="s">
        <v>5773</v>
      </c>
      <c r="N817" t="s">
        <v>5774</v>
      </c>
      <c r="O817" t="s">
        <v>5775</v>
      </c>
      <c r="P817" t="s">
        <v>5776</v>
      </c>
      <c r="R817" s="7">
        <v>37537</v>
      </c>
      <c r="T817" t="s">
        <v>119</v>
      </c>
      <c r="W817" s="15">
        <v>6.5999444</v>
      </c>
      <c r="X817" s="15">
        <v>-75.690611099999998</v>
      </c>
      <c r="AF817" t="s">
        <v>50</v>
      </c>
      <c r="AG817" t="s">
        <v>402</v>
      </c>
      <c r="AH817" t="s">
        <v>1710</v>
      </c>
      <c r="AI817" t="s">
        <v>5777</v>
      </c>
      <c r="AJ817">
        <v>874</v>
      </c>
    </row>
    <row r="818" spans="1:36">
      <c r="A818" t="s">
        <v>5716</v>
      </c>
      <c r="B818" t="s">
        <v>5717</v>
      </c>
      <c r="C818" t="s">
        <v>5780</v>
      </c>
      <c r="D818" t="s">
        <v>5781</v>
      </c>
      <c r="E818" t="s">
        <v>5782</v>
      </c>
      <c r="F818">
        <v>2920</v>
      </c>
      <c r="G818">
        <v>2920</v>
      </c>
      <c r="H818">
        <v>2920</v>
      </c>
      <c r="I818" t="s">
        <v>5783</v>
      </c>
      <c r="J818" t="s">
        <v>5784</v>
      </c>
      <c r="K818" t="s">
        <v>5785</v>
      </c>
      <c r="L818" t="s">
        <v>5786</v>
      </c>
      <c r="M818" t="s">
        <v>5787</v>
      </c>
      <c r="N818" t="s">
        <v>5788</v>
      </c>
      <c r="O818" t="s">
        <v>5789</v>
      </c>
      <c r="P818" t="s">
        <v>5790</v>
      </c>
      <c r="R818" s="7">
        <v>37539</v>
      </c>
      <c r="W818" s="15">
        <v>6.4988099999999998</v>
      </c>
      <c r="X818" s="15">
        <v>-75.636369999999999</v>
      </c>
      <c r="Y818">
        <v>1715.8679999999999</v>
      </c>
      <c r="Z818">
        <v>2964</v>
      </c>
      <c r="AB818" t="s">
        <v>5791</v>
      </c>
      <c r="AF818" t="s">
        <v>50</v>
      </c>
      <c r="AG818" t="s">
        <v>402</v>
      </c>
      <c r="AH818" t="s">
        <v>1710</v>
      </c>
      <c r="AI818" t="s">
        <v>5792</v>
      </c>
      <c r="AJ818">
        <v>876</v>
      </c>
    </row>
    <row r="819" spans="1:36">
      <c r="A819" t="s">
        <v>5716</v>
      </c>
      <c r="B819" t="s">
        <v>5717</v>
      </c>
      <c r="C819" t="s">
        <v>5780</v>
      </c>
      <c r="D819" t="s">
        <v>5793</v>
      </c>
      <c r="E819" t="s">
        <v>5782</v>
      </c>
      <c r="F819">
        <v>2920</v>
      </c>
      <c r="G819">
        <v>2920</v>
      </c>
      <c r="H819">
        <v>2920</v>
      </c>
      <c r="I819" t="s">
        <v>5783</v>
      </c>
      <c r="J819" t="s">
        <v>5784</v>
      </c>
      <c r="K819" t="s">
        <v>5785</v>
      </c>
      <c r="L819" t="s">
        <v>5786</v>
      </c>
      <c r="M819" t="s">
        <v>5787</v>
      </c>
      <c r="N819" t="s">
        <v>5788</v>
      </c>
      <c r="O819" t="s">
        <v>5789</v>
      </c>
      <c r="P819" t="s">
        <v>5790</v>
      </c>
      <c r="R819" s="7">
        <v>37539</v>
      </c>
      <c r="T819" t="s">
        <v>119</v>
      </c>
      <c r="W819" s="15">
        <v>6.4988099999999998</v>
      </c>
      <c r="X819" s="15">
        <v>-75.636369999999999</v>
      </c>
      <c r="Y819">
        <v>1715.8679999999999</v>
      </c>
      <c r="Z819">
        <v>2964</v>
      </c>
      <c r="AB819" t="s">
        <v>5791</v>
      </c>
      <c r="AF819" t="s">
        <v>50</v>
      </c>
      <c r="AG819" t="s">
        <v>402</v>
      </c>
      <c r="AH819" t="s">
        <v>1710</v>
      </c>
      <c r="AI819" t="s">
        <v>5792</v>
      </c>
      <c r="AJ819">
        <v>877</v>
      </c>
    </row>
    <row r="820" spans="1:36">
      <c r="A820" t="s">
        <v>5716</v>
      </c>
      <c r="B820" t="s">
        <v>5717</v>
      </c>
      <c r="C820" t="s">
        <v>5794</v>
      </c>
      <c r="D820" t="s">
        <v>5795</v>
      </c>
      <c r="E820" t="s">
        <v>5782</v>
      </c>
      <c r="F820">
        <v>2920</v>
      </c>
      <c r="G820">
        <v>2920</v>
      </c>
      <c r="H820">
        <v>2920</v>
      </c>
      <c r="I820" t="s">
        <v>5783</v>
      </c>
      <c r="J820" t="s">
        <v>5784</v>
      </c>
      <c r="K820" t="s">
        <v>5785</v>
      </c>
      <c r="L820" t="s">
        <v>5786</v>
      </c>
      <c r="M820" t="s">
        <v>5787</v>
      </c>
      <c r="N820" t="s">
        <v>5788</v>
      </c>
      <c r="O820" t="s">
        <v>5789</v>
      </c>
      <c r="P820" t="s">
        <v>5790</v>
      </c>
      <c r="R820" s="7">
        <v>37539</v>
      </c>
      <c r="T820" t="s">
        <v>119</v>
      </c>
      <c r="W820" s="15">
        <v>6.4988099999999998</v>
      </c>
      <c r="X820" s="15">
        <v>-75.636369999999999</v>
      </c>
      <c r="Y820">
        <v>1715.8679999999999</v>
      </c>
      <c r="Z820">
        <v>2964</v>
      </c>
      <c r="AB820" t="s">
        <v>5791</v>
      </c>
      <c r="AF820" t="s">
        <v>50</v>
      </c>
      <c r="AG820" t="s">
        <v>402</v>
      </c>
      <c r="AH820" t="s">
        <v>1710</v>
      </c>
      <c r="AI820" t="s">
        <v>5792</v>
      </c>
      <c r="AJ820">
        <v>878</v>
      </c>
    </row>
    <row r="821" spans="1:36">
      <c r="A821" t="s">
        <v>5716</v>
      </c>
      <c r="B821" t="s">
        <v>5717</v>
      </c>
      <c r="C821" t="s">
        <v>5796</v>
      </c>
      <c r="D821" t="s">
        <v>5797</v>
      </c>
      <c r="E821" t="s">
        <v>5798</v>
      </c>
      <c r="F821" t="s">
        <v>2608</v>
      </c>
      <c r="G821">
        <v>2280</v>
      </c>
      <c r="H821">
        <v>2560</v>
      </c>
      <c r="I821" t="s">
        <v>5758</v>
      </c>
      <c r="J821" t="s">
        <v>5759</v>
      </c>
      <c r="K821" t="s">
        <v>5760</v>
      </c>
      <c r="L821" t="s">
        <v>5761</v>
      </c>
      <c r="M821" t="s">
        <v>5762</v>
      </c>
      <c r="N821" t="s">
        <v>2612</v>
      </c>
      <c r="O821" t="s">
        <v>5763</v>
      </c>
      <c r="P821" t="s">
        <v>5764</v>
      </c>
      <c r="R821" s="7">
        <v>38361</v>
      </c>
      <c r="T821" t="s">
        <v>119</v>
      </c>
      <c r="W821" s="15">
        <v>5.4870000000000001</v>
      </c>
      <c r="X821" s="15">
        <v>-75.8979444</v>
      </c>
      <c r="AF821" t="s">
        <v>50</v>
      </c>
      <c r="AG821" t="s">
        <v>402</v>
      </c>
      <c r="AH821" t="s">
        <v>627</v>
      </c>
      <c r="AI821" t="s">
        <v>5799</v>
      </c>
      <c r="AJ821">
        <v>879</v>
      </c>
    </row>
    <row r="822" spans="1:36">
      <c r="A822" t="s">
        <v>5716</v>
      </c>
      <c r="B822" t="s">
        <v>5717</v>
      </c>
      <c r="C822" t="s">
        <v>5800</v>
      </c>
      <c r="D822" t="s">
        <v>5801</v>
      </c>
      <c r="E822" t="s">
        <v>4624</v>
      </c>
      <c r="F822">
        <v>2870</v>
      </c>
      <c r="G822">
        <v>2870</v>
      </c>
      <c r="H822">
        <v>2870</v>
      </c>
      <c r="I822" t="s">
        <v>4625</v>
      </c>
      <c r="J822" t="s">
        <v>4626</v>
      </c>
      <c r="K822" t="s">
        <v>4627</v>
      </c>
      <c r="L822" t="s">
        <v>4628</v>
      </c>
      <c r="M822" t="s">
        <v>4629</v>
      </c>
      <c r="N822" t="s">
        <v>4630</v>
      </c>
      <c r="O822" t="s">
        <v>4631</v>
      </c>
      <c r="P822" t="s">
        <v>4632</v>
      </c>
      <c r="R822" s="7">
        <v>38364</v>
      </c>
      <c r="T822" t="s">
        <v>119</v>
      </c>
      <c r="W822" s="15">
        <v>5.5417778000000002</v>
      </c>
      <c r="X822" s="15">
        <v>-75.807527800000003</v>
      </c>
      <c r="AF822" t="s">
        <v>50</v>
      </c>
      <c r="AG822" t="s">
        <v>402</v>
      </c>
      <c r="AH822" t="s">
        <v>627</v>
      </c>
      <c r="AI822" t="s">
        <v>4633</v>
      </c>
      <c r="AJ822">
        <v>880</v>
      </c>
    </row>
    <row r="823" spans="1:36">
      <c r="A823" t="s">
        <v>5716</v>
      </c>
      <c r="B823" t="s">
        <v>5717</v>
      </c>
      <c r="C823" t="s">
        <v>5802</v>
      </c>
      <c r="D823" t="s">
        <v>5803</v>
      </c>
      <c r="E823" t="s">
        <v>4624</v>
      </c>
      <c r="F823">
        <v>2870</v>
      </c>
      <c r="G823">
        <v>2870</v>
      </c>
      <c r="H823">
        <v>2870</v>
      </c>
      <c r="I823" t="s">
        <v>4625</v>
      </c>
      <c r="J823" t="s">
        <v>4626</v>
      </c>
      <c r="K823" t="s">
        <v>4627</v>
      </c>
      <c r="L823" t="s">
        <v>4628</v>
      </c>
      <c r="M823" t="s">
        <v>4629</v>
      </c>
      <c r="N823" t="s">
        <v>4630</v>
      </c>
      <c r="O823" t="s">
        <v>4631</v>
      </c>
      <c r="P823" t="s">
        <v>4632</v>
      </c>
      <c r="R823" s="7">
        <v>38364</v>
      </c>
      <c r="W823" s="15">
        <v>5.5417778000000002</v>
      </c>
      <c r="X823" s="15">
        <v>-75.807527800000003</v>
      </c>
      <c r="AF823" t="s">
        <v>50</v>
      </c>
      <c r="AG823" t="s">
        <v>402</v>
      </c>
      <c r="AH823" t="s">
        <v>627</v>
      </c>
      <c r="AI823" t="s">
        <v>4633</v>
      </c>
      <c r="AJ823">
        <v>881</v>
      </c>
    </row>
    <row r="824" spans="1:36">
      <c r="A824" t="s">
        <v>5716</v>
      </c>
      <c r="B824" t="s">
        <v>5717</v>
      </c>
      <c r="C824" t="s">
        <v>5804</v>
      </c>
      <c r="D824" t="s">
        <v>5805</v>
      </c>
      <c r="E824" t="s">
        <v>5806</v>
      </c>
      <c r="F824" t="s">
        <v>4637</v>
      </c>
      <c r="G824">
        <v>2950</v>
      </c>
      <c r="H824">
        <v>3050</v>
      </c>
      <c r="I824" t="s">
        <v>4638</v>
      </c>
      <c r="J824" t="s">
        <v>4639</v>
      </c>
      <c r="K824" t="s">
        <v>4640</v>
      </c>
      <c r="L824" t="s">
        <v>4641</v>
      </c>
      <c r="M824" t="s">
        <v>4642</v>
      </c>
      <c r="N824" t="s">
        <v>4643</v>
      </c>
      <c r="O824" t="s">
        <v>4644</v>
      </c>
      <c r="P824" t="s">
        <v>4645</v>
      </c>
      <c r="R824" s="7">
        <v>38625</v>
      </c>
      <c r="T824" t="s">
        <v>119</v>
      </c>
      <c r="W824" s="15">
        <v>6.3416667000000002</v>
      </c>
      <c r="X824" s="15">
        <v>-75.647222200000002</v>
      </c>
      <c r="AF824" t="s">
        <v>50</v>
      </c>
      <c r="AG824" t="s">
        <v>402</v>
      </c>
      <c r="AH824" t="s">
        <v>2263</v>
      </c>
      <c r="AI824" t="s">
        <v>5807</v>
      </c>
      <c r="AJ824">
        <v>882</v>
      </c>
    </row>
    <row r="825" spans="1:36">
      <c r="A825" t="s">
        <v>5716</v>
      </c>
      <c r="B825" t="s">
        <v>5717</v>
      </c>
      <c r="C825" t="s">
        <v>5808</v>
      </c>
      <c r="D825" t="s">
        <v>5809</v>
      </c>
      <c r="E825" t="s">
        <v>5810</v>
      </c>
      <c r="F825">
        <v>2725</v>
      </c>
      <c r="G825">
        <v>2725</v>
      </c>
      <c r="H825">
        <v>2725</v>
      </c>
      <c r="I825" t="s">
        <v>5811</v>
      </c>
      <c r="J825" t="s">
        <v>5812</v>
      </c>
      <c r="K825" t="s">
        <v>5813</v>
      </c>
      <c r="L825" t="s">
        <v>5814</v>
      </c>
      <c r="M825" t="s">
        <v>5815</v>
      </c>
      <c r="N825" t="s">
        <v>5816</v>
      </c>
      <c r="O825" t="s">
        <v>5817</v>
      </c>
      <c r="P825" t="s">
        <v>5818</v>
      </c>
      <c r="R825" s="7">
        <v>39016</v>
      </c>
      <c r="T825" t="s">
        <v>119</v>
      </c>
      <c r="W825" s="15">
        <v>6.2546472</v>
      </c>
      <c r="X825" s="15">
        <v>-75.711386099999999</v>
      </c>
      <c r="AF825" t="s">
        <v>50</v>
      </c>
      <c r="AG825" t="s">
        <v>402</v>
      </c>
      <c r="AH825" t="s">
        <v>855</v>
      </c>
      <c r="AI825" t="s">
        <v>5819</v>
      </c>
      <c r="AJ825">
        <v>883</v>
      </c>
    </row>
    <row r="826" spans="1:36">
      <c r="A826" t="s">
        <v>5716</v>
      </c>
      <c r="B826" t="s">
        <v>5717</v>
      </c>
      <c r="C826" t="s">
        <v>5820</v>
      </c>
      <c r="D826" t="s">
        <v>5821</v>
      </c>
      <c r="E826" t="s">
        <v>5822</v>
      </c>
      <c r="F826">
        <v>2725</v>
      </c>
      <c r="G826">
        <v>2725</v>
      </c>
      <c r="H826">
        <v>2725</v>
      </c>
      <c r="I826" t="s">
        <v>5811</v>
      </c>
      <c r="J826" t="s">
        <v>5812</v>
      </c>
      <c r="K826" t="s">
        <v>5813</v>
      </c>
      <c r="L826" t="s">
        <v>5814</v>
      </c>
      <c r="M826" t="s">
        <v>5815</v>
      </c>
      <c r="N826" t="s">
        <v>5816</v>
      </c>
      <c r="O826" t="s">
        <v>5817</v>
      </c>
      <c r="P826" t="s">
        <v>5818</v>
      </c>
      <c r="R826" s="7">
        <v>39016</v>
      </c>
      <c r="T826" t="s">
        <v>119</v>
      </c>
      <c r="W826" s="15">
        <v>6.2546472</v>
      </c>
      <c r="X826" s="15">
        <v>-75.711386099999999</v>
      </c>
      <c r="AF826" t="s">
        <v>50</v>
      </c>
      <c r="AG826" t="s">
        <v>402</v>
      </c>
      <c r="AH826" t="s">
        <v>855</v>
      </c>
      <c r="AI826" t="s">
        <v>5823</v>
      </c>
      <c r="AJ826">
        <v>884</v>
      </c>
    </row>
    <row r="827" spans="1:36">
      <c r="A827" t="s">
        <v>5716</v>
      </c>
      <c r="B827" t="s">
        <v>5717</v>
      </c>
      <c r="C827" t="s">
        <v>5824</v>
      </c>
      <c r="D827" t="s">
        <v>1529</v>
      </c>
      <c r="E827" t="s">
        <v>5825</v>
      </c>
      <c r="F827">
        <v>3126</v>
      </c>
      <c r="G827">
        <v>3126</v>
      </c>
      <c r="H827">
        <v>3126</v>
      </c>
      <c r="I827" t="s">
        <v>5826</v>
      </c>
      <c r="J827" t="s">
        <v>5827</v>
      </c>
      <c r="K827" t="s">
        <v>5828</v>
      </c>
      <c r="L827" t="s">
        <v>5829</v>
      </c>
      <c r="M827" t="s">
        <v>5830</v>
      </c>
      <c r="P827" t="s">
        <v>80</v>
      </c>
      <c r="R827" s="7">
        <v>40948</v>
      </c>
      <c r="T827" t="s">
        <v>119</v>
      </c>
      <c r="W827" s="15">
        <v>6.6219666669999997</v>
      </c>
      <c r="X827" s="15">
        <v>-75.644949999999994</v>
      </c>
      <c r="AF827" t="s">
        <v>50</v>
      </c>
      <c r="AG827" t="s">
        <v>402</v>
      </c>
      <c r="AH827" t="s">
        <v>1710</v>
      </c>
      <c r="AI827" t="s">
        <v>5831</v>
      </c>
      <c r="AJ827">
        <v>885</v>
      </c>
    </row>
    <row r="828" spans="1:36">
      <c r="A828" t="s">
        <v>5716</v>
      </c>
      <c r="B828" t="s">
        <v>5717</v>
      </c>
      <c r="C828" t="s">
        <v>5832</v>
      </c>
      <c r="D828" t="s">
        <v>1837</v>
      </c>
      <c r="E828" t="s">
        <v>5825</v>
      </c>
      <c r="F828">
        <v>3126</v>
      </c>
      <c r="G828">
        <v>3126</v>
      </c>
      <c r="H828">
        <v>3126</v>
      </c>
      <c r="I828" t="s">
        <v>5826</v>
      </c>
      <c r="J828" t="s">
        <v>5827</v>
      </c>
      <c r="K828" t="s">
        <v>5828</v>
      </c>
      <c r="L828" t="s">
        <v>5829</v>
      </c>
      <c r="M828" t="s">
        <v>5830</v>
      </c>
      <c r="P828" t="s">
        <v>80</v>
      </c>
      <c r="R828" s="7">
        <v>40948</v>
      </c>
      <c r="T828" t="s">
        <v>111</v>
      </c>
      <c r="W828" s="15">
        <v>6.6219666669999997</v>
      </c>
      <c r="X828" s="15">
        <v>-75.644949999999994</v>
      </c>
      <c r="AF828" t="s">
        <v>50</v>
      </c>
      <c r="AG828" t="s">
        <v>402</v>
      </c>
      <c r="AH828" t="s">
        <v>1710</v>
      </c>
      <c r="AI828" t="s">
        <v>5831</v>
      </c>
      <c r="AJ828">
        <v>886</v>
      </c>
    </row>
    <row r="829" spans="1:36">
      <c r="A829" t="s">
        <v>5716</v>
      </c>
      <c r="B829" t="s">
        <v>5717</v>
      </c>
      <c r="C829" t="s">
        <v>5833</v>
      </c>
      <c r="D829" t="s">
        <v>5834</v>
      </c>
      <c r="E829" t="s">
        <v>5835</v>
      </c>
      <c r="F829">
        <v>2500</v>
      </c>
      <c r="G829">
        <v>2500</v>
      </c>
      <c r="H829">
        <v>2500</v>
      </c>
      <c r="P829" t="s">
        <v>80</v>
      </c>
      <c r="R829" s="7">
        <v>24757</v>
      </c>
      <c r="W829" s="15">
        <v>5.6401599999999998</v>
      </c>
      <c r="X829" s="15">
        <v>-72.792090000000002</v>
      </c>
      <c r="Y829">
        <v>1973.1220000000001</v>
      </c>
      <c r="Z829">
        <v>3684</v>
      </c>
      <c r="AA829" t="s">
        <v>5836</v>
      </c>
      <c r="AB829" t="s">
        <v>5837</v>
      </c>
      <c r="AF829" t="s">
        <v>50</v>
      </c>
      <c r="AG829" t="s">
        <v>90</v>
      </c>
      <c r="AH829" t="s">
        <v>5838</v>
      </c>
      <c r="AJ829">
        <v>887</v>
      </c>
    </row>
    <row r="830" spans="1:36">
      <c r="A830" t="s">
        <v>5716</v>
      </c>
      <c r="B830" t="s">
        <v>5717</v>
      </c>
      <c r="C830" t="s">
        <v>5839</v>
      </c>
      <c r="D830" t="s">
        <v>5840</v>
      </c>
      <c r="E830" t="s">
        <v>2678</v>
      </c>
      <c r="F830">
        <v>2700</v>
      </c>
      <c r="G830">
        <v>2700</v>
      </c>
      <c r="H830">
        <v>2700</v>
      </c>
      <c r="P830" t="s">
        <v>80</v>
      </c>
      <c r="R830" s="7">
        <v>37051</v>
      </c>
      <c r="T830" t="s">
        <v>111</v>
      </c>
      <c r="W830" s="15">
        <v>5.7076000000000002</v>
      </c>
      <c r="X830" s="15">
        <v>-73.461259999999996</v>
      </c>
      <c r="Y830">
        <v>1286.856</v>
      </c>
      <c r="Z830">
        <v>2969</v>
      </c>
      <c r="AB830" t="s">
        <v>2679</v>
      </c>
      <c r="AF830" t="s">
        <v>50</v>
      </c>
      <c r="AG830" t="s">
        <v>90</v>
      </c>
      <c r="AH830" t="s">
        <v>2680</v>
      </c>
      <c r="AI830" t="s">
        <v>2681</v>
      </c>
      <c r="AJ830">
        <v>888</v>
      </c>
    </row>
    <row r="831" spans="1:36">
      <c r="A831" t="s">
        <v>5716</v>
      </c>
      <c r="B831" t="s">
        <v>5717</v>
      </c>
      <c r="C831" t="s">
        <v>5841</v>
      </c>
      <c r="D831" t="s">
        <v>5842</v>
      </c>
      <c r="E831" t="s">
        <v>5843</v>
      </c>
      <c r="F831" t="s">
        <v>1445</v>
      </c>
      <c r="G831">
        <v>2700</v>
      </c>
      <c r="H831">
        <v>2800</v>
      </c>
      <c r="I831" t="s">
        <v>4889</v>
      </c>
      <c r="J831" t="s">
        <v>4890</v>
      </c>
      <c r="K831" t="s">
        <v>4891</v>
      </c>
      <c r="L831" t="s">
        <v>4892</v>
      </c>
      <c r="M831" t="s">
        <v>4893</v>
      </c>
      <c r="N831" t="s">
        <v>4894</v>
      </c>
      <c r="O831" t="s">
        <v>4895</v>
      </c>
      <c r="P831" t="s">
        <v>4896</v>
      </c>
      <c r="R831" s="7">
        <v>37838</v>
      </c>
      <c r="T831" t="s">
        <v>119</v>
      </c>
      <c r="W831" s="15">
        <v>2.5499999999999998</v>
      </c>
      <c r="X831" s="15">
        <v>-76.066666699999999</v>
      </c>
      <c r="AF831" t="s">
        <v>50</v>
      </c>
      <c r="AG831" t="s">
        <v>283</v>
      </c>
      <c r="AH831" t="s">
        <v>4847</v>
      </c>
      <c r="AI831" t="s">
        <v>5844</v>
      </c>
      <c r="AJ831">
        <v>889</v>
      </c>
    </row>
    <row r="832" spans="1:36">
      <c r="A832" t="s">
        <v>5716</v>
      </c>
      <c r="B832" t="s">
        <v>5717</v>
      </c>
      <c r="C832" t="s">
        <v>5845</v>
      </c>
      <c r="D832" t="s">
        <v>5846</v>
      </c>
      <c r="E832" t="s">
        <v>5847</v>
      </c>
      <c r="F832">
        <v>2800</v>
      </c>
      <c r="G832">
        <v>2800</v>
      </c>
      <c r="H832">
        <v>2800</v>
      </c>
      <c r="P832" t="s">
        <v>80</v>
      </c>
      <c r="R832" s="7">
        <v>24736</v>
      </c>
      <c r="T832" t="s">
        <v>111</v>
      </c>
      <c r="W832" s="15">
        <v>4.4641999999999999</v>
      </c>
      <c r="X832" s="15">
        <v>-74.297539999999998</v>
      </c>
      <c r="Y832">
        <v>2218.2809999999999</v>
      </c>
      <c r="Z832">
        <v>2804</v>
      </c>
      <c r="AB832" t="s">
        <v>5848</v>
      </c>
      <c r="AF832" t="s">
        <v>50</v>
      </c>
      <c r="AG832" t="s">
        <v>98</v>
      </c>
      <c r="AH832" t="s">
        <v>5849</v>
      </c>
      <c r="AI832" t="s">
        <v>5850</v>
      </c>
      <c r="AJ832">
        <v>890</v>
      </c>
    </row>
    <row r="833" spans="1:36">
      <c r="A833" t="s">
        <v>5716</v>
      </c>
      <c r="B833" t="s">
        <v>5717</v>
      </c>
      <c r="C833" t="s">
        <v>5851</v>
      </c>
      <c r="D833" t="s">
        <v>5852</v>
      </c>
      <c r="E833" t="s">
        <v>5847</v>
      </c>
      <c r="F833">
        <v>2800</v>
      </c>
      <c r="G833">
        <v>2800</v>
      </c>
      <c r="H833">
        <v>2800</v>
      </c>
      <c r="P833" t="s">
        <v>80</v>
      </c>
      <c r="R833" s="7">
        <v>24736</v>
      </c>
      <c r="W833" s="15">
        <v>4.4641999999999999</v>
      </c>
      <c r="X833" s="15">
        <v>-74.297539999999998</v>
      </c>
      <c r="Y833">
        <v>2218.2809999999999</v>
      </c>
      <c r="Z833">
        <v>2804</v>
      </c>
      <c r="AB833" t="s">
        <v>5848</v>
      </c>
      <c r="AF833" t="s">
        <v>50</v>
      </c>
      <c r="AG833" t="s">
        <v>98</v>
      </c>
      <c r="AH833" t="s">
        <v>5849</v>
      </c>
      <c r="AI833" t="s">
        <v>5850</v>
      </c>
      <c r="AJ833">
        <v>891</v>
      </c>
    </row>
    <row r="834" spans="1:36">
      <c r="A834" t="s">
        <v>5716</v>
      </c>
      <c r="B834" t="s">
        <v>5717</v>
      </c>
      <c r="C834" t="s">
        <v>5853</v>
      </c>
      <c r="D834" t="s">
        <v>5854</v>
      </c>
      <c r="E834" t="s">
        <v>5855</v>
      </c>
      <c r="F834">
        <v>3000</v>
      </c>
      <c r="G834">
        <v>3000</v>
      </c>
      <c r="H834">
        <v>3000</v>
      </c>
      <c r="P834" t="s">
        <v>80</v>
      </c>
      <c r="R834" s="7">
        <v>32737</v>
      </c>
      <c r="T834" t="s">
        <v>119</v>
      </c>
      <c r="W834" s="15">
        <v>4.9336500000000001</v>
      </c>
      <c r="X834" s="15">
        <v>-74.050399999999996</v>
      </c>
      <c r="Y834">
        <v>2604.62</v>
      </c>
      <c r="Z834">
        <v>2767</v>
      </c>
      <c r="AB834" t="s">
        <v>5856</v>
      </c>
      <c r="AF834" t="s">
        <v>50</v>
      </c>
      <c r="AG834" t="s">
        <v>98</v>
      </c>
      <c r="AH834" t="s">
        <v>5857</v>
      </c>
      <c r="AJ834">
        <v>892</v>
      </c>
    </row>
    <row r="835" spans="1:36">
      <c r="A835" t="s">
        <v>5716</v>
      </c>
      <c r="B835" t="s">
        <v>5717</v>
      </c>
      <c r="C835" t="s">
        <v>5858</v>
      </c>
      <c r="D835" t="s">
        <v>5859</v>
      </c>
      <c r="E835" t="s">
        <v>5860</v>
      </c>
      <c r="F835">
        <v>2700</v>
      </c>
      <c r="G835">
        <v>2700</v>
      </c>
      <c r="H835">
        <v>2700</v>
      </c>
      <c r="P835" t="s">
        <v>80</v>
      </c>
      <c r="R835" s="7">
        <v>22573</v>
      </c>
      <c r="W835" s="15">
        <v>4.4438199999999997</v>
      </c>
      <c r="X835" s="15">
        <v>-74.302070000000001</v>
      </c>
      <c r="Y835">
        <v>919.07399999999996</v>
      </c>
      <c r="Z835">
        <v>2740</v>
      </c>
      <c r="AA835" t="s">
        <v>5861</v>
      </c>
      <c r="AB835" t="s">
        <v>5862</v>
      </c>
      <c r="AF835" t="s">
        <v>50</v>
      </c>
      <c r="AG835" t="s">
        <v>98</v>
      </c>
      <c r="AH835" t="s">
        <v>5863</v>
      </c>
      <c r="AI835" t="s">
        <v>5864</v>
      </c>
      <c r="AJ835">
        <v>893</v>
      </c>
    </row>
    <row r="836" spans="1:36">
      <c r="A836" t="s">
        <v>5716</v>
      </c>
      <c r="B836" t="s">
        <v>5717</v>
      </c>
      <c r="C836" t="s">
        <v>5865</v>
      </c>
      <c r="D836" t="s">
        <v>5866</v>
      </c>
      <c r="E836" t="s">
        <v>5867</v>
      </c>
      <c r="F836">
        <v>2500</v>
      </c>
      <c r="G836">
        <v>2500</v>
      </c>
      <c r="H836">
        <v>2500</v>
      </c>
      <c r="I836" t="s">
        <v>5868</v>
      </c>
      <c r="J836" t="s">
        <v>5869</v>
      </c>
      <c r="K836" t="s">
        <v>5870</v>
      </c>
      <c r="L836" t="s">
        <v>5871</v>
      </c>
      <c r="M836" t="s">
        <v>5872</v>
      </c>
      <c r="N836" t="s">
        <v>5873</v>
      </c>
      <c r="O836" t="s">
        <v>5874</v>
      </c>
      <c r="P836" t="s">
        <v>5875</v>
      </c>
      <c r="R836" s="7">
        <v>26674</v>
      </c>
      <c r="T836" t="s">
        <v>119</v>
      </c>
      <c r="W836" s="15">
        <v>1.1213</v>
      </c>
      <c r="X836" s="15">
        <v>-77.189530000000005</v>
      </c>
      <c r="Y836">
        <v>1709.0160000000001</v>
      </c>
      <c r="Z836">
        <v>3012</v>
      </c>
      <c r="AB836" t="s">
        <v>5876</v>
      </c>
      <c r="AF836" t="s">
        <v>50</v>
      </c>
      <c r="AG836" t="s">
        <v>127</v>
      </c>
      <c r="AH836" t="s">
        <v>5877</v>
      </c>
      <c r="AI836" t="s">
        <v>5878</v>
      </c>
      <c r="AJ836">
        <v>894</v>
      </c>
    </row>
    <row r="837" spans="1:36">
      <c r="A837" t="s">
        <v>5716</v>
      </c>
      <c r="B837" t="s">
        <v>5717</v>
      </c>
      <c r="C837" t="s">
        <v>5865</v>
      </c>
      <c r="D837" t="s">
        <v>5879</v>
      </c>
      <c r="E837" t="s">
        <v>5867</v>
      </c>
      <c r="F837">
        <v>2500</v>
      </c>
      <c r="G837">
        <v>2500</v>
      </c>
      <c r="H837">
        <v>2500</v>
      </c>
      <c r="I837" t="s">
        <v>5868</v>
      </c>
      <c r="J837" t="s">
        <v>5869</v>
      </c>
      <c r="K837" t="s">
        <v>5870</v>
      </c>
      <c r="L837" t="s">
        <v>5871</v>
      </c>
      <c r="M837" t="s">
        <v>5872</v>
      </c>
      <c r="N837" t="s">
        <v>5873</v>
      </c>
      <c r="O837" t="s">
        <v>5874</v>
      </c>
      <c r="P837" t="s">
        <v>5875</v>
      </c>
      <c r="R837" s="7">
        <v>26674</v>
      </c>
      <c r="T837" t="s">
        <v>119</v>
      </c>
      <c r="W837" s="15">
        <v>1.1213</v>
      </c>
      <c r="X837" s="15">
        <v>-77.189530000000005</v>
      </c>
      <c r="Y837">
        <v>1709.0160000000001</v>
      </c>
      <c r="Z837">
        <v>3012</v>
      </c>
      <c r="AB837" t="s">
        <v>5876</v>
      </c>
      <c r="AF837" t="s">
        <v>50</v>
      </c>
      <c r="AG837" t="s">
        <v>127</v>
      </c>
      <c r="AH837" t="s">
        <v>5877</v>
      </c>
      <c r="AI837" t="s">
        <v>5878</v>
      </c>
      <c r="AJ837">
        <v>895</v>
      </c>
    </row>
    <row r="838" spans="1:36">
      <c r="A838" t="s">
        <v>5716</v>
      </c>
      <c r="B838" t="s">
        <v>5717</v>
      </c>
      <c r="C838" t="s">
        <v>5880</v>
      </c>
      <c r="D838" t="s">
        <v>5881</v>
      </c>
      <c r="E838" t="s">
        <v>5882</v>
      </c>
      <c r="F838" t="s">
        <v>5883</v>
      </c>
      <c r="G838">
        <v>2800</v>
      </c>
      <c r="H838">
        <v>3000</v>
      </c>
      <c r="P838" t="s">
        <v>80</v>
      </c>
      <c r="R838" s="7">
        <v>9920</v>
      </c>
      <c r="T838" t="s">
        <v>2842</v>
      </c>
      <c r="W838" s="15">
        <v>7.51532</v>
      </c>
      <c r="X838" s="15">
        <v>-72.476749999999996</v>
      </c>
      <c r="Y838">
        <v>1749.7940000000001</v>
      </c>
      <c r="Z838">
        <v>1808</v>
      </c>
      <c r="AA838" t="s">
        <v>5884</v>
      </c>
      <c r="AB838" t="s">
        <v>5885</v>
      </c>
      <c r="AF838" t="s">
        <v>50</v>
      </c>
      <c r="AG838" t="s">
        <v>1306</v>
      </c>
      <c r="AH838" t="s">
        <v>5886</v>
      </c>
      <c r="AI838" t="s">
        <v>5887</v>
      </c>
      <c r="AJ838">
        <v>896</v>
      </c>
    </row>
    <row r="839" spans="1:36">
      <c r="A839" t="s">
        <v>5716</v>
      </c>
      <c r="B839" t="s">
        <v>5717</v>
      </c>
      <c r="C839" t="s">
        <v>5888</v>
      </c>
      <c r="D839" t="s">
        <v>5889</v>
      </c>
      <c r="E839" t="s">
        <v>5890</v>
      </c>
      <c r="F839">
        <v>2600</v>
      </c>
      <c r="G839">
        <v>2600</v>
      </c>
      <c r="H839">
        <v>2600</v>
      </c>
      <c r="P839" t="s">
        <v>80</v>
      </c>
      <c r="R839" s="7">
        <v>31868</v>
      </c>
      <c r="T839" t="s">
        <v>119</v>
      </c>
      <c r="W839" s="15">
        <v>7.4399300000000004</v>
      </c>
      <c r="X839" s="15">
        <v>-72.450950000000006</v>
      </c>
      <c r="Y839">
        <v>840.05700000000002</v>
      </c>
      <c r="Z839">
        <v>2492</v>
      </c>
      <c r="AB839" t="s">
        <v>3401</v>
      </c>
      <c r="AF839" t="s">
        <v>50</v>
      </c>
      <c r="AG839" t="s">
        <v>1306</v>
      </c>
      <c r="AH839" t="s">
        <v>3402</v>
      </c>
      <c r="AI839" t="s">
        <v>5891</v>
      </c>
      <c r="AJ839">
        <v>897</v>
      </c>
    </row>
    <row r="840" spans="1:36">
      <c r="A840" t="s">
        <v>5716</v>
      </c>
      <c r="B840" t="s">
        <v>5717</v>
      </c>
      <c r="C840" t="s">
        <v>5892</v>
      </c>
      <c r="D840" t="s">
        <v>5893</v>
      </c>
      <c r="E840" t="s">
        <v>5894</v>
      </c>
      <c r="F840">
        <v>2650</v>
      </c>
      <c r="G840">
        <v>2650</v>
      </c>
      <c r="H840">
        <v>2650</v>
      </c>
      <c r="P840" t="s">
        <v>80</v>
      </c>
      <c r="R840" s="7">
        <v>33432</v>
      </c>
      <c r="W840" s="15">
        <v>7.4399300000000004</v>
      </c>
      <c r="X840" s="15">
        <v>-72.450950000000006</v>
      </c>
      <c r="Y840">
        <v>840.05700000000002</v>
      </c>
      <c r="Z840">
        <v>2492</v>
      </c>
      <c r="AA840" t="s">
        <v>5895</v>
      </c>
      <c r="AB840" t="s">
        <v>3401</v>
      </c>
      <c r="AF840" t="s">
        <v>50</v>
      </c>
      <c r="AG840" t="s">
        <v>1306</v>
      </c>
      <c r="AH840" t="s">
        <v>3402</v>
      </c>
      <c r="AI840" t="s">
        <v>5896</v>
      </c>
      <c r="AJ840">
        <v>898</v>
      </c>
    </row>
    <row r="841" spans="1:36">
      <c r="A841" t="s">
        <v>5716</v>
      </c>
      <c r="B841" t="s">
        <v>5717</v>
      </c>
      <c r="C841" t="s">
        <v>5897</v>
      </c>
      <c r="D841" t="s">
        <v>5879</v>
      </c>
      <c r="E841" t="s">
        <v>5898</v>
      </c>
      <c r="F841">
        <v>2475</v>
      </c>
      <c r="G841">
        <v>2475</v>
      </c>
      <c r="H841">
        <v>2475</v>
      </c>
      <c r="P841" t="s">
        <v>80</v>
      </c>
      <c r="R841" s="7">
        <v>23080</v>
      </c>
      <c r="W841" s="15">
        <v>1.23373</v>
      </c>
      <c r="X841" s="15">
        <v>-76.926270000000002</v>
      </c>
      <c r="Y841">
        <v>3125.1779999999999</v>
      </c>
      <c r="Z841">
        <v>2475</v>
      </c>
      <c r="AB841" t="s">
        <v>5899</v>
      </c>
      <c r="AF841" t="s">
        <v>50</v>
      </c>
      <c r="AG841" t="s">
        <v>67</v>
      </c>
      <c r="AH841" t="s">
        <v>5253</v>
      </c>
      <c r="AI841" t="s">
        <v>5900</v>
      </c>
      <c r="AJ841">
        <v>899</v>
      </c>
    </row>
    <row r="842" spans="1:36">
      <c r="A842" t="s">
        <v>5716</v>
      </c>
      <c r="B842" t="s">
        <v>5717</v>
      </c>
      <c r="C842" t="s">
        <v>5897</v>
      </c>
      <c r="D842" t="s">
        <v>5901</v>
      </c>
      <c r="E842" t="s">
        <v>5898</v>
      </c>
      <c r="F842">
        <v>2475</v>
      </c>
      <c r="G842">
        <v>2475</v>
      </c>
      <c r="H842">
        <v>2475</v>
      </c>
      <c r="P842" t="s">
        <v>80</v>
      </c>
      <c r="R842" s="7">
        <v>23080</v>
      </c>
      <c r="W842" s="15">
        <v>1.23373</v>
      </c>
      <c r="X842" s="15">
        <v>-76.926270000000002</v>
      </c>
      <c r="Y842">
        <v>3125.1779999999999</v>
      </c>
      <c r="Z842">
        <v>2475</v>
      </c>
      <c r="AB842" t="s">
        <v>5899</v>
      </c>
      <c r="AF842" t="s">
        <v>50</v>
      </c>
      <c r="AG842" t="s">
        <v>67</v>
      </c>
      <c r="AH842" t="s">
        <v>5253</v>
      </c>
      <c r="AI842" t="s">
        <v>5900</v>
      </c>
      <c r="AJ842">
        <v>900</v>
      </c>
    </row>
    <row r="843" spans="1:36">
      <c r="A843" t="s">
        <v>5716</v>
      </c>
      <c r="B843" t="s">
        <v>5717</v>
      </c>
      <c r="C843" t="s">
        <v>5902</v>
      </c>
      <c r="D843" t="s">
        <v>5903</v>
      </c>
      <c r="E843" t="s">
        <v>5904</v>
      </c>
      <c r="F843" t="s">
        <v>3084</v>
      </c>
      <c r="G843">
        <v>2500</v>
      </c>
      <c r="H843">
        <v>2780</v>
      </c>
      <c r="I843" t="s">
        <v>5350</v>
      </c>
      <c r="J843" t="s">
        <v>5351</v>
      </c>
      <c r="K843" t="s">
        <v>5352</v>
      </c>
      <c r="L843" t="s">
        <v>5353</v>
      </c>
      <c r="M843" t="s">
        <v>5354</v>
      </c>
      <c r="N843" t="s">
        <v>5355</v>
      </c>
      <c r="O843" t="s">
        <v>5356</v>
      </c>
      <c r="P843" t="s">
        <v>5357</v>
      </c>
      <c r="R843" s="7">
        <v>34777</v>
      </c>
      <c r="T843" t="s">
        <v>111</v>
      </c>
      <c r="W843" s="15">
        <v>4.1099800000000002</v>
      </c>
      <c r="X843" s="15">
        <v>-75.808610000000002</v>
      </c>
      <c r="Y843">
        <v>641.95100000000002</v>
      </c>
      <c r="Z843">
        <v>2501</v>
      </c>
      <c r="AB843" t="s">
        <v>3085</v>
      </c>
      <c r="AF843" t="s">
        <v>50</v>
      </c>
      <c r="AG843" t="s">
        <v>1671</v>
      </c>
      <c r="AH843" t="s">
        <v>3067</v>
      </c>
      <c r="AI843" t="s">
        <v>5905</v>
      </c>
      <c r="AJ843">
        <v>901</v>
      </c>
    </row>
    <row r="844" spans="1:36">
      <c r="A844" t="s">
        <v>5716</v>
      </c>
      <c r="B844" t="s">
        <v>5717</v>
      </c>
      <c r="C844" t="s">
        <v>5906</v>
      </c>
      <c r="D844" t="s">
        <v>1529</v>
      </c>
      <c r="E844" t="s">
        <v>3161</v>
      </c>
      <c r="F844">
        <v>2824</v>
      </c>
      <c r="G844">
        <v>2824</v>
      </c>
      <c r="H844">
        <v>2824</v>
      </c>
      <c r="I844" t="s">
        <v>5907</v>
      </c>
      <c r="J844" t="s">
        <v>5908</v>
      </c>
      <c r="K844" t="s">
        <v>5456</v>
      </c>
      <c r="L844" t="s">
        <v>5457</v>
      </c>
      <c r="M844" t="s">
        <v>5909</v>
      </c>
      <c r="P844" t="s">
        <v>80</v>
      </c>
      <c r="R844" s="7">
        <v>40744</v>
      </c>
      <c r="T844" t="s">
        <v>119</v>
      </c>
      <c r="W844" s="15">
        <v>5.1244243999999997</v>
      </c>
      <c r="X844" s="15">
        <v>-76.041665399999999</v>
      </c>
      <c r="AF844" t="s">
        <v>50</v>
      </c>
      <c r="AG844" t="s">
        <v>360</v>
      </c>
      <c r="AH844" t="s">
        <v>367</v>
      </c>
      <c r="AI844" t="s">
        <v>3165</v>
      </c>
      <c r="AJ844">
        <v>902</v>
      </c>
    </row>
    <row r="845" spans="1:36">
      <c r="A845" t="s">
        <v>5716</v>
      </c>
      <c r="B845" t="s">
        <v>5717</v>
      </c>
      <c r="C845" t="s">
        <v>5910</v>
      </c>
      <c r="D845" t="s">
        <v>1820</v>
      </c>
      <c r="E845" t="s">
        <v>3179</v>
      </c>
      <c r="F845" t="s">
        <v>3180</v>
      </c>
      <c r="G845">
        <v>3500</v>
      </c>
      <c r="H845">
        <v>3000</v>
      </c>
      <c r="I845" t="s">
        <v>2120</v>
      </c>
      <c r="J845" t="s">
        <v>2121</v>
      </c>
      <c r="K845" t="s">
        <v>2131</v>
      </c>
      <c r="L845" t="s">
        <v>2132</v>
      </c>
      <c r="M845" t="s">
        <v>2133</v>
      </c>
      <c r="P845" t="s">
        <v>80</v>
      </c>
      <c r="R845" s="7">
        <v>40744</v>
      </c>
      <c r="T845" t="s">
        <v>119</v>
      </c>
      <c r="W845" s="15">
        <v>5.1208051000000001</v>
      </c>
      <c r="X845" s="15">
        <v>-76.059453199999993</v>
      </c>
      <c r="AF845" t="s">
        <v>50</v>
      </c>
      <c r="AG845" t="s">
        <v>360</v>
      </c>
      <c r="AH845" t="s">
        <v>367</v>
      </c>
      <c r="AI845" t="s">
        <v>3181</v>
      </c>
      <c r="AJ845">
        <v>903</v>
      </c>
    </row>
    <row r="846" spans="1:36">
      <c r="A846" t="s">
        <v>5716</v>
      </c>
      <c r="B846" t="s">
        <v>5717</v>
      </c>
      <c r="C846" t="s">
        <v>5911</v>
      </c>
      <c r="D846" t="s">
        <v>5912</v>
      </c>
      <c r="E846" t="s">
        <v>5913</v>
      </c>
      <c r="F846">
        <v>2680</v>
      </c>
      <c r="G846">
        <v>2680</v>
      </c>
      <c r="H846">
        <v>2680</v>
      </c>
      <c r="I846" t="s">
        <v>4316</v>
      </c>
      <c r="J846" t="s">
        <v>2306</v>
      </c>
      <c r="K846" t="s">
        <v>4317</v>
      </c>
      <c r="L846" t="s">
        <v>2307</v>
      </c>
      <c r="M846" t="s">
        <v>2308</v>
      </c>
      <c r="N846" t="s">
        <v>2309</v>
      </c>
      <c r="O846" t="s">
        <v>2310</v>
      </c>
      <c r="P846" t="s">
        <v>2311</v>
      </c>
      <c r="R846" s="7">
        <v>31965</v>
      </c>
      <c r="W846" s="15">
        <v>5.6833333000000001</v>
      </c>
      <c r="X846" s="15">
        <v>-75.233333299999998</v>
      </c>
      <c r="AF846" t="s">
        <v>50</v>
      </c>
      <c r="AG846" t="s">
        <v>3306</v>
      </c>
      <c r="AH846" t="s">
        <v>4318</v>
      </c>
      <c r="AJ846">
        <v>904</v>
      </c>
    </row>
    <row r="847" spans="1:36">
      <c r="A847" t="s">
        <v>5716</v>
      </c>
      <c r="B847" t="s">
        <v>5717</v>
      </c>
      <c r="C847" t="s">
        <v>5914</v>
      </c>
      <c r="D847" t="s">
        <v>1820</v>
      </c>
      <c r="E847" t="s">
        <v>5915</v>
      </c>
      <c r="F847" t="s">
        <v>1768</v>
      </c>
      <c r="G847">
        <v>3000</v>
      </c>
      <c r="H847">
        <v>3500</v>
      </c>
      <c r="P847" t="s">
        <v>80</v>
      </c>
      <c r="R847" s="7">
        <v>39815</v>
      </c>
      <c r="T847" t="s">
        <v>119</v>
      </c>
      <c r="W847" s="15">
        <v>3.34415</v>
      </c>
      <c r="X847" s="15">
        <v>-76.695809999999994</v>
      </c>
      <c r="Y847">
        <v>916.18299999999999</v>
      </c>
      <c r="Z847">
        <v>3944</v>
      </c>
      <c r="AB847" t="s">
        <v>3291</v>
      </c>
      <c r="AF847" t="s">
        <v>50</v>
      </c>
      <c r="AG847" t="s">
        <v>83</v>
      </c>
      <c r="AH847" t="s">
        <v>3296</v>
      </c>
      <c r="AI847" t="s">
        <v>5916</v>
      </c>
      <c r="AJ847">
        <v>905</v>
      </c>
    </row>
    <row r="848" spans="1:36">
      <c r="A848" t="s">
        <v>5917</v>
      </c>
      <c r="B848" t="s">
        <v>5918</v>
      </c>
      <c r="C848" t="s">
        <v>5919</v>
      </c>
      <c r="D848">
        <v>40425</v>
      </c>
      <c r="E848" t="s">
        <v>5920</v>
      </c>
      <c r="F848">
        <v>1510</v>
      </c>
      <c r="G848">
        <v>1510</v>
      </c>
      <c r="H848">
        <v>1510</v>
      </c>
      <c r="P848" t="s">
        <v>80</v>
      </c>
      <c r="R848" s="7">
        <v>31607</v>
      </c>
      <c r="T848" t="s">
        <v>5921</v>
      </c>
      <c r="W848" s="15">
        <v>6.7691999999999997</v>
      </c>
      <c r="X848" s="15">
        <v>-76.249740000000003</v>
      </c>
      <c r="Y848">
        <v>7056.9979999999996</v>
      </c>
      <c r="Z848">
        <v>1720</v>
      </c>
      <c r="AA848" t="s">
        <v>5922</v>
      </c>
      <c r="AB848" t="s">
        <v>5923</v>
      </c>
      <c r="AF848" t="s">
        <v>50</v>
      </c>
      <c r="AG848" t="s">
        <v>5924</v>
      </c>
      <c r="AH848" t="s">
        <v>5925</v>
      </c>
      <c r="AI848" t="s">
        <v>5926</v>
      </c>
      <c r="AJ848">
        <v>909</v>
      </c>
    </row>
    <row r="849" spans="1:36">
      <c r="A849" t="s">
        <v>5917</v>
      </c>
      <c r="B849" t="s">
        <v>5918</v>
      </c>
      <c r="C849" t="s">
        <v>5927</v>
      </c>
      <c r="D849">
        <v>54088</v>
      </c>
      <c r="E849" t="s">
        <v>5928</v>
      </c>
      <c r="F849" t="s">
        <v>5929</v>
      </c>
      <c r="G849">
        <v>1350</v>
      </c>
      <c r="H849">
        <v>1450</v>
      </c>
      <c r="I849" t="s">
        <v>5930</v>
      </c>
      <c r="J849" t="s">
        <v>5930</v>
      </c>
      <c r="K849" t="s">
        <v>5931</v>
      </c>
      <c r="L849" t="s">
        <v>5931</v>
      </c>
      <c r="M849" t="s">
        <v>5932</v>
      </c>
      <c r="N849" t="s">
        <v>5933</v>
      </c>
      <c r="O849" t="s">
        <v>5934</v>
      </c>
      <c r="P849" t="s">
        <v>5935</v>
      </c>
      <c r="R849" s="7">
        <v>32334</v>
      </c>
      <c r="T849" t="s">
        <v>119</v>
      </c>
      <c r="W849" s="15">
        <v>6.7523</v>
      </c>
      <c r="X849" s="15">
        <v>-76.289580000000001</v>
      </c>
      <c r="Y849">
        <v>4675.9480000000003</v>
      </c>
      <c r="Z849">
        <v>1952</v>
      </c>
      <c r="AB849" t="s">
        <v>5936</v>
      </c>
      <c r="AF849" t="s">
        <v>50</v>
      </c>
      <c r="AG849" t="s">
        <v>5924</v>
      </c>
      <c r="AH849" t="s">
        <v>5937</v>
      </c>
      <c r="AI849" t="s">
        <v>5938</v>
      </c>
      <c r="AJ849">
        <v>910</v>
      </c>
    </row>
    <row r="850" spans="1:36">
      <c r="A850" t="s">
        <v>5917</v>
      </c>
      <c r="B850" t="s">
        <v>5918</v>
      </c>
      <c r="C850" t="s">
        <v>5939</v>
      </c>
      <c r="D850">
        <v>26204</v>
      </c>
      <c r="E850" t="s">
        <v>5940</v>
      </c>
      <c r="F850">
        <v>1500</v>
      </c>
      <c r="G850">
        <v>1500</v>
      </c>
      <c r="H850">
        <v>1500</v>
      </c>
      <c r="P850" t="s">
        <v>80</v>
      </c>
      <c r="R850" s="7">
        <v>33332</v>
      </c>
      <c r="T850" t="s">
        <v>119</v>
      </c>
      <c r="W850" s="15">
        <v>1.36416</v>
      </c>
      <c r="X850" s="15">
        <v>-78.100560000000002</v>
      </c>
      <c r="Y850">
        <v>4999.3969999999999</v>
      </c>
      <c r="Z850">
        <v>1048</v>
      </c>
      <c r="AB850" t="s">
        <v>5637</v>
      </c>
      <c r="AF850" t="s">
        <v>50</v>
      </c>
      <c r="AG850" t="s">
        <v>5941</v>
      </c>
      <c r="AH850" t="s">
        <v>5942</v>
      </c>
      <c r="AI850" t="s">
        <v>5943</v>
      </c>
      <c r="AJ850">
        <v>911</v>
      </c>
    </row>
    <row r="851" spans="1:36">
      <c r="A851" t="s">
        <v>5917</v>
      </c>
      <c r="B851" t="s">
        <v>5918</v>
      </c>
      <c r="C851" t="s">
        <v>5944</v>
      </c>
      <c r="D851">
        <v>40028</v>
      </c>
      <c r="E851" t="s">
        <v>5945</v>
      </c>
      <c r="F851" t="s">
        <v>5946</v>
      </c>
      <c r="G851">
        <v>1850</v>
      </c>
      <c r="H851">
        <v>1950</v>
      </c>
      <c r="I851" t="s">
        <v>5947</v>
      </c>
      <c r="J851" t="s">
        <v>5947</v>
      </c>
      <c r="K851" t="s">
        <v>5948</v>
      </c>
      <c r="L851" t="s">
        <v>5948</v>
      </c>
      <c r="M851" t="s">
        <v>5949</v>
      </c>
      <c r="N851" t="s">
        <v>5950</v>
      </c>
      <c r="O851" t="s">
        <v>5951</v>
      </c>
      <c r="P851" t="s">
        <v>5952</v>
      </c>
      <c r="R851" s="7">
        <v>35223</v>
      </c>
      <c r="T851" t="s">
        <v>119</v>
      </c>
      <c r="W851" s="15">
        <v>1.1602778</v>
      </c>
      <c r="X851" s="15">
        <v>-77.986944399999999</v>
      </c>
      <c r="AF851" t="s">
        <v>50</v>
      </c>
      <c r="AG851" t="s">
        <v>5953</v>
      </c>
      <c r="AH851" t="s">
        <v>5954</v>
      </c>
      <c r="AJ851">
        <v>912</v>
      </c>
    </row>
    <row r="852" spans="1:36">
      <c r="A852" t="s">
        <v>5917</v>
      </c>
      <c r="B852" t="s">
        <v>5918</v>
      </c>
      <c r="C852" t="s">
        <v>5955</v>
      </c>
      <c r="D852">
        <v>35222</v>
      </c>
      <c r="E852" t="s">
        <v>5956</v>
      </c>
      <c r="F852">
        <v>1900</v>
      </c>
      <c r="G852">
        <v>1900</v>
      </c>
      <c r="H852">
        <v>1900</v>
      </c>
      <c r="I852" t="s">
        <v>5957</v>
      </c>
      <c r="J852" t="s">
        <v>5957</v>
      </c>
      <c r="K852" t="s">
        <v>5958</v>
      </c>
      <c r="L852" t="s">
        <v>5958</v>
      </c>
      <c r="M852" t="s">
        <v>5959</v>
      </c>
      <c r="N852" t="s">
        <v>5960</v>
      </c>
      <c r="O852" t="s">
        <v>5961</v>
      </c>
      <c r="P852" t="s">
        <v>5962</v>
      </c>
      <c r="R852" s="7">
        <v>35449</v>
      </c>
      <c r="T852" t="s">
        <v>119</v>
      </c>
      <c r="W852" s="15">
        <v>1.1652777999999999</v>
      </c>
      <c r="X852" s="15">
        <v>-77.978888900000001</v>
      </c>
      <c r="AF852" t="s">
        <v>50</v>
      </c>
      <c r="AG852" t="s">
        <v>5953</v>
      </c>
      <c r="AH852" t="s">
        <v>5963</v>
      </c>
      <c r="AJ852">
        <v>914</v>
      </c>
    </row>
    <row r="853" spans="1:36">
      <c r="A853" t="s">
        <v>5917</v>
      </c>
      <c r="B853" t="s">
        <v>5918</v>
      </c>
      <c r="C853" t="s">
        <v>5964</v>
      </c>
      <c r="D853">
        <v>35231</v>
      </c>
      <c r="E853" t="s">
        <v>5965</v>
      </c>
      <c r="F853">
        <v>1820</v>
      </c>
      <c r="G853">
        <v>1820</v>
      </c>
      <c r="H853">
        <v>1820</v>
      </c>
      <c r="I853" t="s">
        <v>1454</v>
      </c>
      <c r="J853" t="s">
        <v>1454</v>
      </c>
      <c r="K853" t="s">
        <v>1456</v>
      </c>
      <c r="L853" t="s">
        <v>1456</v>
      </c>
      <c r="M853" t="s">
        <v>1457</v>
      </c>
      <c r="N853" t="s">
        <v>1458</v>
      </c>
      <c r="O853" t="s">
        <v>1459</v>
      </c>
      <c r="P853" t="s">
        <v>1460</v>
      </c>
      <c r="R853" s="7">
        <v>35459</v>
      </c>
      <c r="T853" t="s">
        <v>318</v>
      </c>
      <c r="W853" s="15">
        <v>1.1716667000000001</v>
      </c>
      <c r="X853" s="15">
        <v>-78.002499999999998</v>
      </c>
      <c r="AF853" t="s">
        <v>50</v>
      </c>
      <c r="AG853" t="s">
        <v>5953</v>
      </c>
      <c r="AH853" t="s">
        <v>5966</v>
      </c>
      <c r="AI853" t="s">
        <v>5967</v>
      </c>
      <c r="AJ853">
        <v>915</v>
      </c>
    </row>
    <row r="854" spans="1:36">
      <c r="A854" t="s">
        <v>5917</v>
      </c>
      <c r="B854" t="s">
        <v>5918</v>
      </c>
      <c r="C854" t="s">
        <v>5968</v>
      </c>
      <c r="D854">
        <v>20979</v>
      </c>
      <c r="E854" t="s">
        <v>5969</v>
      </c>
      <c r="F854" t="s">
        <v>96</v>
      </c>
      <c r="G854">
        <v>1500</v>
      </c>
      <c r="H854">
        <v>1800</v>
      </c>
      <c r="I854" t="s">
        <v>665</v>
      </c>
      <c r="J854" t="s">
        <v>665</v>
      </c>
      <c r="K854" t="s">
        <v>647</v>
      </c>
      <c r="L854" t="s">
        <v>647</v>
      </c>
      <c r="M854" t="s">
        <v>667</v>
      </c>
      <c r="N854" t="s">
        <v>649</v>
      </c>
      <c r="O854" t="s">
        <v>650</v>
      </c>
      <c r="P854" t="s">
        <v>651</v>
      </c>
      <c r="R854" s="7">
        <v>32263</v>
      </c>
      <c r="T854" t="s">
        <v>5970</v>
      </c>
      <c r="W854" s="15">
        <v>1.1666666999999999</v>
      </c>
      <c r="X854" s="15">
        <v>-77.966666700000005</v>
      </c>
      <c r="AF854" t="s">
        <v>50</v>
      </c>
      <c r="AG854" t="s">
        <v>5969</v>
      </c>
      <c r="AJ854">
        <v>916</v>
      </c>
    </row>
    <row r="855" spans="1:36" s="11" customFormat="1">
      <c r="A855" s="11" t="s">
        <v>5917</v>
      </c>
      <c r="B855" s="11" t="s">
        <v>5918</v>
      </c>
      <c r="C855" s="11" t="s">
        <v>5971</v>
      </c>
      <c r="D855" s="11">
        <v>20760</v>
      </c>
      <c r="E855" s="11" t="s">
        <v>5972</v>
      </c>
      <c r="F855" s="11" t="s">
        <v>96</v>
      </c>
      <c r="G855" s="11">
        <v>1500</v>
      </c>
      <c r="H855" s="11">
        <v>1800</v>
      </c>
      <c r="I855" s="11" t="s">
        <v>665</v>
      </c>
      <c r="J855" s="11" t="s">
        <v>665</v>
      </c>
      <c r="K855" s="11" t="s">
        <v>647</v>
      </c>
      <c r="L855" s="11" t="s">
        <v>647</v>
      </c>
      <c r="M855" s="11" t="s">
        <v>667</v>
      </c>
      <c r="N855" s="11" t="s">
        <v>649</v>
      </c>
      <c r="O855" s="11" t="s">
        <v>650</v>
      </c>
      <c r="P855" s="11" t="s">
        <v>651</v>
      </c>
      <c r="R855" s="13">
        <v>32186</v>
      </c>
      <c r="T855" s="11" t="s">
        <v>119</v>
      </c>
      <c r="W855" s="15">
        <v>1.1666666999999999</v>
      </c>
      <c r="X855" s="15">
        <v>-77.966666700000005</v>
      </c>
      <c r="AF855" s="11" t="s">
        <v>50</v>
      </c>
      <c r="AG855" s="11" t="s">
        <v>5973</v>
      </c>
      <c r="AH855" s="11" t="s">
        <v>5974</v>
      </c>
      <c r="AJ855" s="11">
        <v>917</v>
      </c>
    </row>
    <row r="856" spans="1:36" s="11" customFormat="1">
      <c r="A856" s="11" t="s">
        <v>5917</v>
      </c>
      <c r="B856" s="11" t="s">
        <v>5918</v>
      </c>
      <c r="C856" s="11" t="s">
        <v>5975</v>
      </c>
      <c r="D856" s="11">
        <v>23448</v>
      </c>
      <c r="E856" s="11" t="s">
        <v>5976</v>
      </c>
      <c r="F856" s="11">
        <v>1150</v>
      </c>
      <c r="G856" s="11">
        <v>1150</v>
      </c>
      <c r="H856" s="11">
        <v>1150</v>
      </c>
      <c r="I856" s="11" t="s">
        <v>1655</v>
      </c>
      <c r="J856" s="11" t="s">
        <v>1655</v>
      </c>
      <c r="K856" s="11" t="s">
        <v>1657</v>
      </c>
      <c r="L856" s="11" t="s">
        <v>1657</v>
      </c>
      <c r="M856" s="11" t="s">
        <v>1658</v>
      </c>
      <c r="N856" s="11" t="s">
        <v>1659</v>
      </c>
      <c r="O856" s="11" t="s">
        <v>1660</v>
      </c>
      <c r="P856" s="11" t="s">
        <v>1661</v>
      </c>
      <c r="R856" s="13">
        <v>32948</v>
      </c>
      <c r="T856" s="11" t="s">
        <v>5977</v>
      </c>
      <c r="W856" s="15">
        <v>1.2519499999999999</v>
      </c>
      <c r="X856" s="15">
        <v>-77.996679999999998</v>
      </c>
      <c r="Y856" s="11">
        <v>1684.6179999999999</v>
      </c>
      <c r="Z856" s="11">
        <v>1496</v>
      </c>
      <c r="AB856" s="11" t="s">
        <v>1662</v>
      </c>
      <c r="AF856" s="11" t="s">
        <v>50</v>
      </c>
      <c r="AG856" s="11" t="s">
        <v>5973</v>
      </c>
      <c r="AH856" s="11" t="s">
        <v>5978</v>
      </c>
      <c r="AI856" s="11" t="s">
        <v>5979</v>
      </c>
      <c r="AJ856" s="11">
        <v>918</v>
      </c>
    </row>
    <row r="857" spans="1:36" s="11" customFormat="1">
      <c r="A857" s="11" t="s">
        <v>5917</v>
      </c>
      <c r="B857" s="11" t="s">
        <v>5918</v>
      </c>
      <c r="C857" s="11" t="s">
        <v>5980</v>
      </c>
      <c r="D857" s="11">
        <v>23335</v>
      </c>
      <c r="E857" s="11" t="s">
        <v>5981</v>
      </c>
      <c r="F857" s="11">
        <v>1100</v>
      </c>
      <c r="G857" s="11">
        <v>1100</v>
      </c>
      <c r="H857" s="11">
        <v>1100</v>
      </c>
      <c r="I857" s="11" t="s">
        <v>1655</v>
      </c>
      <c r="J857" s="11" t="s">
        <v>1655</v>
      </c>
      <c r="K857" s="11" t="s">
        <v>1657</v>
      </c>
      <c r="L857" s="11" t="s">
        <v>1657</v>
      </c>
      <c r="M857" s="11" t="s">
        <v>1658</v>
      </c>
      <c r="N857" s="11" t="s">
        <v>1659</v>
      </c>
      <c r="O857" s="11" t="s">
        <v>1660</v>
      </c>
      <c r="P857" s="11" t="s">
        <v>1661</v>
      </c>
      <c r="R857" s="13">
        <v>32946</v>
      </c>
      <c r="T857" s="11" t="s">
        <v>5982</v>
      </c>
      <c r="W857" s="15">
        <v>1.2519499999999999</v>
      </c>
      <c r="X857" s="15">
        <v>-77.996679999999998</v>
      </c>
      <c r="Y857" s="11">
        <v>1684.6179999999999</v>
      </c>
      <c r="Z857" s="11">
        <v>1496</v>
      </c>
      <c r="AB857" s="11" t="s">
        <v>1662</v>
      </c>
      <c r="AF857" s="11" t="s">
        <v>50</v>
      </c>
      <c r="AG857" s="11" t="s">
        <v>5983</v>
      </c>
      <c r="AH857" s="11" t="s">
        <v>5984</v>
      </c>
      <c r="AI857" s="11" t="s">
        <v>5985</v>
      </c>
      <c r="AJ857" s="11">
        <v>919</v>
      </c>
    </row>
    <row r="858" spans="1:36">
      <c r="A858" t="s">
        <v>5917</v>
      </c>
      <c r="B858" t="s">
        <v>5918</v>
      </c>
      <c r="C858" t="s">
        <v>5986</v>
      </c>
      <c r="D858">
        <v>31561</v>
      </c>
      <c r="E858" t="s">
        <v>5987</v>
      </c>
      <c r="F858">
        <v>1945</v>
      </c>
      <c r="G858">
        <v>1945</v>
      </c>
      <c r="H858">
        <v>1945</v>
      </c>
      <c r="I858" t="s">
        <v>5988</v>
      </c>
      <c r="J858" t="s">
        <v>5988</v>
      </c>
      <c r="K858" t="s">
        <v>5989</v>
      </c>
      <c r="L858" t="s">
        <v>5989</v>
      </c>
      <c r="M858" t="s">
        <v>5990</v>
      </c>
      <c r="N858" t="s">
        <v>5991</v>
      </c>
      <c r="O858" t="s">
        <v>5992</v>
      </c>
      <c r="P858" t="s">
        <v>5993</v>
      </c>
      <c r="R858" s="7">
        <v>35634</v>
      </c>
      <c r="T858" t="s">
        <v>481</v>
      </c>
      <c r="W858" s="15">
        <v>3.5361110999999998</v>
      </c>
      <c r="X858" s="15">
        <v>-76.610277800000006</v>
      </c>
      <c r="AF858" t="s">
        <v>50</v>
      </c>
      <c r="AG858" t="s">
        <v>83</v>
      </c>
      <c r="AH858" t="s">
        <v>5994</v>
      </c>
      <c r="AJ858">
        <v>920</v>
      </c>
    </row>
    <row r="859" spans="1:36">
      <c r="A859" t="s">
        <v>5995</v>
      </c>
      <c r="B859" t="s">
        <v>5996</v>
      </c>
      <c r="C859" t="s">
        <v>5997</v>
      </c>
      <c r="D859" t="s">
        <v>299</v>
      </c>
      <c r="E859" t="s">
        <v>5998</v>
      </c>
      <c r="F859">
        <v>1950</v>
      </c>
      <c r="I859" t="s">
        <v>5999</v>
      </c>
      <c r="K859" t="s">
        <v>6000</v>
      </c>
      <c r="M859" t="s">
        <v>6001</v>
      </c>
      <c r="N859" s="5" t="s">
        <v>6002</v>
      </c>
      <c r="O859" s="5" t="s">
        <v>6003</v>
      </c>
      <c r="P859" t="s">
        <v>6004</v>
      </c>
      <c r="R859" s="7">
        <v>38389</v>
      </c>
      <c r="W859" s="15">
        <v>6.1333099999999998</v>
      </c>
      <c r="X859" s="15">
        <v>-75.699010000000001</v>
      </c>
      <c r="Y859">
        <v>2121</v>
      </c>
      <c r="Z859" t="s">
        <v>6005</v>
      </c>
      <c r="AB859" t="s">
        <v>6006</v>
      </c>
    </row>
    <row r="860" spans="1:36">
      <c r="A860" t="s">
        <v>5995</v>
      </c>
      <c r="B860" t="s">
        <v>5996</v>
      </c>
      <c r="C860" t="s">
        <v>6007</v>
      </c>
      <c r="D860" t="s">
        <v>6008</v>
      </c>
      <c r="E860" t="s">
        <v>6009</v>
      </c>
      <c r="I860" t="s">
        <v>6010</v>
      </c>
      <c r="K860" t="s">
        <v>6011</v>
      </c>
      <c r="M860" t="s">
        <v>6012</v>
      </c>
      <c r="N860" s="5" t="s">
        <v>2693</v>
      </c>
      <c r="O860" s="5" t="s">
        <v>2694</v>
      </c>
      <c r="P860" t="s">
        <v>6013</v>
      </c>
      <c r="R860" s="7">
        <v>34643</v>
      </c>
      <c r="W860" s="15">
        <v>5.5181100000000001</v>
      </c>
      <c r="X860" s="15">
        <v>-75.043909999999997</v>
      </c>
      <c r="Y860" t="s">
        <v>6014</v>
      </c>
      <c r="Z860">
        <v>1571</v>
      </c>
      <c r="AB860" t="s">
        <v>6015</v>
      </c>
    </row>
    <row r="861" spans="1:36">
      <c r="A861" t="s">
        <v>5995</v>
      </c>
      <c r="B861" t="s">
        <v>5996</v>
      </c>
      <c r="C861" t="s">
        <v>6016</v>
      </c>
      <c r="D861" t="s">
        <v>6017</v>
      </c>
      <c r="E861" t="s">
        <v>6018</v>
      </c>
      <c r="F861">
        <v>2140</v>
      </c>
      <c r="R861" s="7">
        <v>30336</v>
      </c>
      <c r="W861" s="15">
        <v>4.8777799999999996</v>
      </c>
      <c r="X861" s="15">
        <v>-76.181920000000005</v>
      </c>
      <c r="Y861" s="5" t="s">
        <v>9492</v>
      </c>
      <c r="Z861">
        <v>1539</v>
      </c>
      <c r="AB861" t="s">
        <v>9493</v>
      </c>
    </row>
    <row r="862" spans="1:36">
      <c r="A862" t="s">
        <v>5995</v>
      </c>
      <c r="B862" t="s">
        <v>5996</v>
      </c>
      <c r="C862" t="s">
        <v>6019</v>
      </c>
      <c r="D862" t="s">
        <v>6020</v>
      </c>
      <c r="E862" t="s">
        <v>6021</v>
      </c>
      <c r="F862" t="s">
        <v>6022</v>
      </c>
      <c r="G862">
        <v>900</v>
      </c>
      <c r="H862">
        <v>1545</v>
      </c>
      <c r="R862" s="7">
        <v>33804</v>
      </c>
      <c r="W862" s="15">
        <v>1.1082449999999999</v>
      </c>
      <c r="X862" s="15">
        <v>-74.044889999999995</v>
      </c>
      <c r="Y862" s="5" t="s">
        <v>9495</v>
      </c>
      <c r="Z862">
        <v>1549</v>
      </c>
      <c r="AB862" t="s">
        <v>9494</v>
      </c>
    </row>
    <row r="863" spans="1:36">
      <c r="A863" t="s">
        <v>5995</v>
      </c>
      <c r="B863" t="s">
        <v>5996</v>
      </c>
      <c r="C863" t="s">
        <v>6023</v>
      </c>
      <c r="D863" t="s">
        <v>6017</v>
      </c>
      <c r="E863" t="s">
        <v>6024</v>
      </c>
      <c r="F863">
        <v>2250</v>
      </c>
      <c r="R863" s="7">
        <v>26020</v>
      </c>
      <c r="W863" s="15">
        <v>4.75352</v>
      </c>
      <c r="X863" s="15">
        <v>-76.280140000000003</v>
      </c>
      <c r="Y863" s="5" t="s">
        <v>9497</v>
      </c>
      <c r="Z863">
        <v>2103</v>
      </c>
      <c r="AB863" s="39" t="s">
        <v>9496</v>
      </c>
    </row>
    <row r="864" spans="1:36">
      <c r="A864" t="s">
        <v>5995</v>
      </c>
      <c r="B864" t="s">
        <v>5996</v>
      </c>
      <c r="C864" t="s">
        <v>6025</v>
      </c>
      <c r="D864" t="s">
        <v>6017</v>
      </c>
      <c r="E864" t="s">
        <v>6026</v>
      </c>
      <c r="F864" t="s">
        <v>6027</v>
      </c>
      <c r="G864">
        <v>1800</v>
      </c>
      <c r="H864">
        <v>2100</v>
      </c>
      <c r="I864" t="s">
        <v>6028</v>
      </c>
      <c r="K864" t="s">
        <v>6029</v>
      </c>
      <c r="M864" t="s">
        <v>6030</v>
      </c>
      <c r="N864" s="5" t="s">
        <v>6031</v>
      </c>
      <c r="O864" s="5" t="s">
        <v>6032</v>
      </c>
      <c r="P864" t="s">
        <v>6033</v>
      </c>
      <c r="R864" s="7">
        <v>21637</v>
      </c>
      <c r="W864" s="15">
        <v>7.1736199999999997</v>
      </c>
      <c r="X864" s="15">
        <v>-72.394300000000001</v>
      </c>
      <c r="Y864" t="s">
        <v>6034</v>
      </c>
      <c r="Z864">
        <v>1585</v>
      </c>
      <c r="AB864" t="s">
        <v>9502</v>
      </c>
    </row>
    <row r="865" spans="1:36">
      <c r="A865" t="s">
        <v>5995</v>
      </c>
      <c r="B865" t="s">
        <v>5996</v>
      </c>
      <c r="C865" t="s">
        <v>6035</v>
      </c>
      <c r="D865" t="s">
        <v>6017</v>
      </c>
      <c r="E865" t="s">
        <v>6036</v>
      </c>
      <c r="F865">
        <v>1600</v>
      </c>
      <c r="R865" s="7">
        <v>33635</v>
      </c>
      <c r="W865" s="15">
        <v>3.3151899999999999</v>
      </c>
      <c r="X865" s="15">
        <v>-76.599279999999993</v>
      </c>
      <c r="Y865" s="5" t="s">
        <v>9503</v>
      </c>
      <c r="Z865">
        <v>1552</v>
      </c>
      <c r="AB865" t="s">
        <v>9501</v>
      </c>
    </row>
    <row r="866" spans="1:36">
      <c r="A866" t="s">
        <v>6037</v>
      </c>
      <c r="B866" t="s">
        <v>6038</v>
      </c>
      <c r="C866" t="s">
        <v>6039</v>
      </c>
      <c r="D866" t="s">
        <v>6040</v>
      </c>
      <c r="E866" t="s">
        <v>6041</v>
      </c>
      <c r="P866" t="s">
        <v>80</v>
      </c>
      <c r="R866" s="7">
        <v>36040</v>
      </c>
      <c r="T866" t="s">
        <v>119</v>
      </c>
      <c r="W866" s="15">
        <v>-1.50668</v>
      </c>
      <c r="X866" s="15">
        <v>-70.016980000000004</v>
      </c>
      <c r="Y866">
        <v>1094.009</v>
      </c>
      <c r="Z866">
        <v>70</v>
      </c>
      <c r="AB866" t="s">
        <v>6042</v>
      </c>
      <c r="AF866" t="s">
        <v>50</v>
      </c>
      <c r="AG866" t="s">
        <v>3812</v>
      </c>
      <c r="AH866" t="s">
        <v>6043</v>
      </c>
      <c r="AI866" t="s">
        <v>6044</v>
      </c>
      <c r="AJ866">
        <v>923</v>
      </c>
    </row>
    <row r="867" spans="1:36">
      <c r="A867" t="s">
        <v>6037</v>
      </c>
      <c r="B867" t="s">
        <v>6038</v>
      </c>
      <c r="C867" t="s">
        <v>6039</v>
      </c>
      <c r="D867" t="s">
        <v>6045</v>
      </c>
      <c r="E867" t="s">
        <v>6041</v>
      </c>
      <c r="P867" t="s">
        <v>80</v>
      </c>
      <c r="R867" s="7">
        <v>36040</v>
      </c>
      <c r="T867" t="s">
        <v>119</v>
      </c>
      <c r="W867" s="15">
        <v>-1.50668</v>
      </c>
      <c r="X867" s="15">
        <v>-70.016980000000004</v>
      </c>
      <c r="Y867">
        <v>1094.009</v>
      </c>
      <c r="Z867">
        <v>70</v>
      </c>
      <c r="AB867" t="s">
        <v>6042</v>
      </c>
      <c r="AF867" t="s">
        <v>50</v>
      </c>
      <c r="AG867" t="s">
        <v>3812</v>
      </c>
      <c r="AH867" t="s">
        <v>6043</v>
      </c>
      <c r="AI867" t="s">
        <v>6044</v>
      </c>
      <c r="AJ867">
        <v>926</v>
      </c>
    </row>
    <row r="868" spans="1:36">
      <c r="A868" t="s">
        <v>6037</v>
      </c>
      <c r="B868" t="s">
        <v>6038</v>
      </c>
      <c r="C868" t="s">
        <v>6039</v>
      </c>
      <c r="D868" t="s">
        <v>6046</v>
      </c>
      <c r="E868" t="s">
        <v>6041</v>
      </c>
      <c r="P868" t="s">
        <v>80</v>
      </c>
      <c r="R868" s="7">
        <v>36040</v>
      </c>
      <c r="T868" t="s">
        <v>119</v>
      </c>
      <c r="W868" s="15">
        <v>-1.50668</v>
      </c>
      <c r="X868" s="15">
        <v>-70.016980000000004</v>
      </c>
      <c r="Y868">
        <v>1094.009</v>
      </c>
      <c r="Z868">
        <v>70</v>
      </c>
      <c r="AB868" t="s">
        <v>6042</v>
      </c>
      <c r="AF868" t="s">
        <v>50</v>
      </c>
      <c r="AG868" t="s">
        <v>3812</v>
      </c>
      <c r="AH868" t="s">
        <v>6043</v>
      </c>
      <c r="AI868" t="s">
        <v>6044</v>
      </c>
      <c r="AJ868">
        <v>927</v>
      </c>
    </row>
    <row r="869" spans="1:36">
      <c r="A869" t="s">
        <v>6037</v>
      </c>
      <c r="B869" t="s">
        <v>6038</v>
      </c>
      <c r="C869" t="s">
        <v>6047</v>
      </c>
      <c r="D869" t="s">
        <v>6048</v>
      </c>
      <c r="E869" t="s">
        <v>6049</v>
      </c>
      <c r="P869" t="s">
        <v>80</v>
      </c>
      <c r="R869" s="7">
        <v>29867</v>
      </c>
      <c r="T869" t="s">
        <v>111</v>
      </c>
      <c r="W869" s="15">
        <v>6.3017200000000004</v>
      </c>
      <c r="X869" s="15">
        <v>-75.075729999999993</v>
      </c>
      <c r="Y869">
        <v>1657.9090000000001</v>
      </c>
      <c r="Z869">
        <v>1103</v>
      </c>
      <c r="AB869" t="s">
        <v>6050</v>
      </c>
      <c r="AF869" t="s">
        <v>50</v>
      </c>
      <c r="AG869" t="s">
        <v>402</v>
      </c>
      <c r="AH869" t="s">
        <v>6051</v>
      </c>
      <c r="AI869" t="s">
        <v>6052</v>
      </c>
      <c r="AJ869">
        <v>928</v>
      </c>
    </row>
    <row r="870" spans="1:36">
      <c r="A870" t="s">
        <v>6037</v>
      </c>
      <c r="B870" t="s">
        <v>6038</v>
      </c>
      <c r="C870" t="s">
        <v>6047</v>
      </c>
      <c r="D870" t="s">
        <v>6053</v>
      </c>
      <c r="E870" t="s">
        <v>6049</v>
      </c>
      <c r="P870" t="s">
        <v>80</v>
      </c>
      <c r="R870" s="7">
        <v>29867</v>
      </c>
      <c r="T870" t="s">
        <v>111</v>
      </c>
      <c r="W870" s="15">
        <v>6.3017200000000004</v>
      </c>
      <c r="X870" s="15">
        <v>-75.075729999999993</v>
      </c>
      <c r="Y870">
        <v>1657.9090000000001</v>
      </c>
      <c r="Z870">
        <v>1103</v>
      </c>
      <c r="AB870" t="s">
        <v>6050</v>
      </c>
      <c r="AF870" t="s">
        <v>50</v>
      </c>
      <c r="AG870" t="s">
        <v>402</v>
      </c>
      <c r="AH870" t="s">
        <v>6051</v>
      </c>
      <c r="AI870" t="s">
        <v>6052</v>
      </c>
      <c r="AJ870">
        <v>930</v>
      </c>
    </row>
    <row r="871" spans="1:36">
      <c r="A871" t="s">
        <v>6037</v>
      </c>
      <c r="B871" t="s">
        <v>6038</v>
      </c>
      <c r="C871" t="s">
        <v>6047</v>
      </c>
      <c r="D871" t="s">
        <v>6054</v>
      </c>
      <c r="E871" t="s">
        <v>6049</v>
      </c>
      <c r="P871" t="s">
        <v>80</v>
      </c>
      <c r="R871" s="7">
        <v>29867</v>
      </c>
      <c r="T871" t="s">
        <v>111</v>
      </c>
      <c r="W871" s="15">
        <v>6.3017200000000004</v>
      </c>
      <c r="X871" s="15">
        <v>-75.075729999999993</v>
      </c>
      <c r="Y871">
        <v>1657.9090000000001</v>
      </c>
      <c r="Z871">
        <v>1103</v>
      </c>
      <c r="AB871" t="s">
        <v>6050</v>
      </c>
      <c r="AF871" t="s">
        <v>50</v>
      </c>
      <c r="AG871" t="s">
        <v>402</v>
      </c>
      <c r="AH871" t="s">
        <v>6051</v>
      </c>
      <c r="AI871" t="s">
        <v>6052</v>
      </c>
      <c r="AJ871">
        <v>931</v>
      </c>
    </row>
    <row r="872" spans="1:36">
      <c r="A872" t="s">
        <v>6037</v>
      </c>
      <c r="B872" t="s">
        <v>6038</v>
      </c>
      <c r="C872" t="s">
        <v>6055</v>
      </c>
      <c r="D872" t="s">
        <v>6056</v>
      </c>
      <c r="E872" t="s">
        <v>6057</v>
      </c>
      <c r="F872">
        <v>1510</v>
      </c>
      <c r="G872">
        <v>1510</v>
      </c>
      <c r="H872">
        <v>1510</v>
      </c>
      <c r="I872" t="s">
        <v>6058</v>
      </c>
      <c r="J872" t="s">
        <v>6058</v>
      </c>
      <c r="K872" t="s">
        <v>6059</v>
      </c>
      <c r="L872" t="s">
        <v>6060</v>
      </c>
      <c r="M872" t="s">
        <v>6061</v>
      </c>
      <c r="N872" t="s">
        <v>6062</v>
      </c>
      <c r="O872" t="s">
        <v>6063</v>
      </c>
      <c r="P872" t="s">
        <v>6064</v>
      </c>
      <c r="R872" s="7">
        <v>32556</v>
      </c>
      <c r="T872" t="s">
        <v>119</v>
      </c>
      <c r="W872" s="15">
        <v>6.9</v>
      </c>
      <c r="X872" s="15">
        <v>-75.099999999999994</v>
      </c>
      <c r="AF872" t="s">
        <v>50</v>
      </c>
      <c r="AG872" t="s">
        <v>402</v>
      </c>
      <c r="AH872" t="s">
        <v>6065</v>
      </c>
      <c r="AI872" t="s">
        <v>6066</v>
      </c>
      <c r="AJ872">
        <v>932</v>
      </c>
    </row>
    <row r="873" spans="1:36">
      <c r="A873" t="s">
        <v>6037</v>
      </c>
      <c r="B873" t="s">
        <v>6038</v>
      </c>
      <c r="C873" t="s">
        <v>6055</v>
      </c>
      <c r="D873" t="s">
        <v>6067</v>
      </c>
      <c r="E873" t="s">
        <v>6057</v>
      </c>
      <c r="F873">
        <v>1510</v>
      </c>
      <c r="G873">
        <v>1510</v>
      </c>
      <c r="H873">
        <v>1510</v>
      </c>
      <c r="I873" t="s">
        <v>6058</v>
      </c>
      <c r="J873" t="s">
        <v>6058</v>
      </c>
      <c r="K873" t="s">
        <v>6059</v>
      </c>
      <c r="L873" t="s">
        <v>6060</v>
      </c>
      <c r="M873" t="s">
        <v>6061</v>
      </c>
      <c r="N873" t="s">
        <v>6062</v>
      </c>
      <c r="O873" t="s">
        <v>6063</v>
      </c>
      <c r="P873" t="s">
        <v>6064</v>
      </c>
      <c r="R873" s="7">
        <v>32556</v>
      </c>
      <c r="T873" t="s">
        <v>119</v>
      </c>
      <c r="W873" s="15">
        <v>6.9</v>
      </c>
      <c r="X873" s="15">
        <v>-75.099999999999994</v>
      </c>
      <c r="AF873" t="s">
        <v>50</v>
      </c>
      <c r="AG873" t="s">
        <v>402</v>
      </c>
      <c r="AH873" t="s">
        <v>6065</v>
      </c>
      <c r="AI873" t="s">
        <v>6066</v>
      </c>
      <c r="AJ873">
        <v>933</v>
      </c>
    </row>
    <row r="874" spans="1:36">
      <c r="A874" t="s">
        <v>6037</v>
      </c>
      <c r="B874" t="s">
        <v>6038</v>
      </c>
      <c r="C874" t="s">
        <v>6055</v>
      </c>
      <c r="D874" t="s">
        <v>6068</v>
      </c>
      <c r="E874" t="s">
        <v>6057</v>
      </c>
      <c r="F874">
        <v>1510</v>
      </c>
      <c r="G874">
        <v>1510</v>
      </c>
      <c r="H874">
        <v>1510</v>
      </c>
      <c r="I874" t="s">
        <v>6058</v>
      </c>
      <c r="J874" t="s">
        <v>6058</v>
      </c>
      <c r="K874" t="s">
        <v>6059</v>
      </c>
      <c r="L874" t="s">
        <v>6060</v>
      </c>
      <c r="M874" t="s">
        <v>6061</v>
      </c>
      <c r="N874" t="s">
        <v>6062</v>
      </c>
      <c r="O874" t="s">
        <v>6063</v>
      </c>
      <c r="P874" t="s">
        <v>6064</v>
      </c>
      <c r="R874" s="7">
        <v>32556</v>
      </c>
      <c r="T874" t="s">
        <v>119</v>
      </c>
      <c r="W874" s="15">
        <v>6.9</v>
      </c>
      <c r="X874" s="15">
        <v>-75.099999999999994</v>
      </c>
      <c r="AF874" t="s">
        <v>50</v>
      </c>
      <c r="AG874" t="s">
        <v>402</v>
      </c>
      <c r="AH874" t="s">
        <v>6065</v>
      </c>
      <c r="AI874" t="s">
        <v>6066</v>
      </c>
      <c r="AJ874">
        <v>934</v>
      </c>
    </row>
    <row r="875" spans="1:36">
      <c r="A875" t="s">
        <v>6037</v>
      </c>
      <c r="B875" t="s">
        <v>6038</v>
      </c>
      <c r="C875" t="s">
        <v>6069</v>
      </c>
      <c r="D875" t="s">
        <v>6070</v>
      </c>
      <c r="E875" t="s">
        <v>6071</v>
      </c>
      <c r="F875">
        <v>1850</v>
      </c>
      <c r="G875">
        <v>1850</v>
      </c>
      <c r="H875">
        <v>1850</v>
      </c>
      <c r="I875" t="s">
        <v>2371</v>
      </c>
      <c r="J875" t="s">
        <v>2371</v>
      </c>
      <c r="K875" t="s">
        <v>6072</v>
      </c>
      <c r="L875" t="s">
        <v>2384</v>
      </c>
      <c r="M875" t="s">
        <v>3677</v>
      </c>
      <c r="N875" t="s">
        <v>532</v>
      </c>
      <c r="O875" t="s">
        <v>2365</v>
      </c>
      <c r="P875" t="s">
        <v>2366</v>
      </c>
      <c r="R875" s="7">
        <v>33015</v>
      </c>
      <c r="T875" t="s">
        <v>318</v>
      </c>
      <c r="W875" s="15">
        <v>6.3112199999999996</v>
      </c>
      <c r="X875" s="15">
        <v>-75.146090000000001</v>
      </c>
      <c r="Y875">
        <v>2681.63</v>
      </c>
      <c r="Z875">
        <v>1854</v>
      </c>
      <c r="AB875" t="s">
        <v>2229</v>
      </c>
      <c r="AF875" t="s">
        <v>50</v>
      </c>
      <c r="AG875" t="s">
        <v>402</v>
      </c>
      <c r="AH875" t="s">
        <v>2230</v>
      </c>
      <c r="AI875" t="s">
        <v>6073</v>
      </c>
      <c r="AJ875">
        <v>935</v>
      </c>
    </row>
    <row r="876" spans="1:36">
      <c r="A876" t="s">
        <v>6037</v>
      </c>
      <c r="B876" t="s">
        <v>6038</v>
      </c>
      <c r="C876" t="s">
        <v>6074</v>
      </c>
      <c r="D876" t="s">
        <v>6075</v>
      </c>
      <c r="E876" t="s">
        <v>6076</v>
      </c>
      <c r="F876" t="s">
        <v>6077</v>
      </c>
      <c r="G876">
        <v>1000</v>
      </c>
      <c r="H876">
        <v>1500</v>
      </c>
      <c r="I876" t="s">
        <v>1480</v>
      </c>
      <c r="J876" t="s">
        <v>1480</v>
      </c>
      <c r="K876" t="s">
        <v>6078</v>
      </c>
      <c r="L876" t="s">
        <v>1482</v>
      </c>
      <c r="M876" t="s">
        <v>1483</v>
      </c>
      <c r="N876" t="s">
        <v>1484</v>
      </c>
      <c r="O876" t="s">
        <v>1485</v>
      </c>
      <c r="P876" t="s">
        <v>1486</v>
      </c>
      <c r="R876" s="7">
        <v>33341</v>
      </c>
      <c r="T876" t="s">
        <v>111</v>
      </c>
      <c r="W876" s="15">
        <v>6.0333332999999998</v>
      </c>
      <c r="X876" s="15">
        <v>-75.133333300000004</v>
      </c>
      <c r="AF876" t="s">
        <v>50</v>
      </c>
      <c r="AG876" t="s">
        <v>402</v>
      </c>
      <c r="AH876" t="s">
        <v>1487</v>
      </c>
      <c r="AI876" t="s">
        <v>6079</v>
      </c>
      <c r="AJ876">
        <v>936</v>
      </c>
    </row>
    <row r="877" spans="1:36">
      <c r="A877" t="s">
        <v>6037</v>
      </c>
      <c r="B877" t="s">
        <v>6038</v>
      </c>
      <c r="C877" t="s">
        <v>6074</v>
      </c>
      <c r="D877" t="s">
        <v>6080</v>
      </c>
      <c r="E877" t="s">
        <v>6076</v>
      </c>
      <c r="F877" t="s">
        <v>6077</v>
      </c>
      <c r="G877">
        <v>1000</v>
      </c>
      <c r="H877">
        <v>1500</v>
      </c>
      <c r="I877" t="s">
        <v>1480</v>
      </c>
      <c r="J877" t="s">
        <v>1480</v>
      </c>
      <c r="K877" t="s">
        <v>6078</v>
      </c>
      <c r="L877" t="s">
        <v>1482</v>
      </c>
      <c r="M877" t="s">
        <v>1483</v>
      </c>
      <c r="N877" t="s">
        <v>1484</v>
      </c>
      <c r="O877" t="s">
        <v>1485</v>
      </c>
      <c r="P877" t="s">
        <v>1486</v>
      </c>
      <c r="R877" s="7">
        <v>33341</v>
      </c>
      <c r="T877" t="s">
        <v>111</v>
      </c>
      <c r="W877" s="15">
        <v>6.0333332999999998</v>
      </c>
      <c r="X877" s="15">
        <v>-75.133333300000004</v>
      </c>
      <c r="AF877" t="s">
        <v>50</v>
      </c>
      <c r="AG877" t="s">
        <v>402</v>
      </c>
      <c r="AH877" t="s">
        <v>1487</v>
      </c>
      <c r="AI877" t="s">
        <v>6079</v>
      </c>
      <c r="AJ877">
        <v>937</v>
      </c>
    </row>
    <row r="878" spans="1:36">
      <c r="A878" t="s">
        <v>6037</v>
      </c>
      <c r="B878" t="s">
        <v>6038</v>
      </c>
      <c r="C878" t="s">
        <v>6081</v>
      </c>
      <c r="D878" t="s">
        <v>6082</v>
      </c>
      <c r="E878" t="s">
        <v>6083</v>
      </c>
      <c r="F878">
        <v>1500</v>
      </c>
      <c r="G878">
        <v>1500</v>
      </c>
      <c r="H878">
        <v>1500</v>
      </c>
      <c r="I878" t="s">
        <v>6084</v>
      </c>
      <c r="J878" t="s">
        <v>6085</v>
      </c>
      <c r="K878" t="s">
        <v>4463</v>
      </c>
      <c r="L878" t="s">
        <v>4464</v>
      </c>
      <c r="M878" t="s">
        <v>6086</v>
      </c>
      <c r="N878" t="s">
        <v>1695</v>
      </c>
      <c r="O878" t="s">
        <v>4467</v>
      </c>
      <c r="P878" t="s">
        <v>6087</v>
      </c>
      <c r="R878" s="7">
        <v>33424</v>
      </c>
      <c r="T878" t="s">
        <v>65</v>
      </c>
      <c r="W878" s="15">
        <v>6.5</v>
      </c>
      <c r="X878" s="15">
        <v>-75.3</v>
      </c>
      <c r="AF878" t="s">
        <v>50</v>
      </c>
      <c r="AG878" t="s">
        <v>402</v>
      </c>
      <c r="AH878" t="s">
        <v>3546</v>
      </c>
      <c r="AI878" t="s">
        <v>6088</v>
      </c>
      <c r="AJ878">
        <v>938</v>
      </c>
    </row>
    <row r="879" spans="1:36">
      <c r="A879" t="s">
        <v>6037</v>
      </c>
      <c r="B879" t="s">
        <v>6038</v>
      </c>
      <c r="C879" t="s">
        <v>6081</v>
      </c>
      <c r="D879" t="s">
        <v>6082</v>
      </c>
      <c r="E879" t="s">
        <v>6083</v>
      </c>
      <c r="F879">
        <v>1500</v>
      </c>
      <c r="G879">
        <v>1500</v>
      </c>
      <c r="H879">
        <v>1500</v>
      </c>
      <c r="I879" t="s">
        <v>6084</v>
      </c>
      <c r="J879" t="s">
        <v>6085</v>
      </c>
      <c r="K879" t="s">
        <v>4463</v>
      </c>
      <c r="L879" t="s">
        <v>4464</v>
      </c>
      <c r="M879" t="s">
        <v>6086</v>
      </c>
      <c r="N879" t="s">
        <v>1695</v>
      </c>
      <c r="O879" t="s">
        <v>4467</v>
      </c>
      <c r="P879" t="s">
        <v>6087</v>
      </c>
      <c r="R879" s="7">
        <v>33424</v>
      </c>
      <c r="T879" t="s">
        <v>65</v>
      </c>
      <c r="W879" s="15">
        <v>6.5</v>
      </c>
      <c r="X879" s="15">
        <v>-75.3</v>
      </c>
      <c r="AF879" t="s">
        <v>50</v>
      </c>
      <c r="AG879" t="s">
        <v>402</v>
      </c>
      <c r="AH879" t="s">
        <v>3546</v>
      </c>
      <c r="AI879" t="s">
        <v>6088</v>
      </c>
      <c r="AJ879">
        <v>939</v>
      </c>
    </row>
    <row r="880" spans="1:36">
      <c r="A880" t="s">
        <v>6037</v>
      </c>
      <c r="B880" t="s">
        <v>6038</v>
      </c>
      <c r="C880" t="s">
        <v>6089</v>
      </c>
      <c r="D880" t="s">
        <v>6090</v>
      </c>
      <c r="E880" t="s">
        <v>6083</v>
      </c>
      <c r="F880">
        <v>1500</v>
      </c>
      <c r="G880">
        <v>1500</v>
      </c>
      <c r="H880">
        <v>1500</v>
      </c>
      <c r="I880" t="s">
        <v>6084</v>
      </c>
      <c r="J880" t="s">
        <v>6085</v>
      </c>
      <c r="K880" t="s">
        <v>4463</v>
      </c>
      <c r="L880" t="s">
        <v>4464</v>
      </c>
      <c r="M880" t="s">
        <v>6086</v>
      </c>
      <c r="N880" t="s">
        <v>1695</v>
      </c>
      <c r="O880" t="s">
        <v>4467</v>
      </c>
      <c r="P880" t="s">
        <v>6087</v>
      </c>
      <c r="R880" s="7">
        <v>33424</v>
      </c>
      <c r="T880" t="s">
        <v>65</v>
      </c>
      <c r="W880" s="15">
        <v>6.5</v>
      </c>
      <c r="X880" s="15">
        <v>-75.3</v>
      </c>
      <c r="AF880" t="s">
        <v>50</v>
      </c>
      <c r="AG880" t="s">
        <v>402</v>
      </c>
      <c r="AH880" t="s">
        <v>3546</v>
      </c>
      <c r="AI880" t="s">
        <v>6088</v>
      </c>
      <c r="AJ880">
        <v>940</v>
      </c>
    </row>
    <row r="881" spans="1:36">
      <c r="A881" t="s">
        <v>6037</v>
      </c>
      <c r="B881" t="s">
        <v>6038</v>
      </c>
      <c r="C881" t="s">
        <v>6091</v>
      </c>
      <c r="D881" t="s">
        <v>6092</v>
      </c>
      <c r="E881" t="s">
        <v>6093</v>
      </c>
      <c r="F881">
        <v>950</v>
      </c>
      <c r="G881">
        <v>950</v>
      </c>
      <c r="H881">
        <v>950</v>
      </c>
      <c r="I881" t="s">
        <v>6094</v>
      </c>
      <c r="J881" t="s">
        <v>6094</v>
      </c>
      <c r="K881" t="s">
        <v>6078</v>
      </c>
      <c r="L881" t="s">
        <v>1482</v>
      </c>
      <c r="M881" t="s">
        <v>6095</v>
      </c>
      <c r="N881" t="s">
        <v>6096</v>
      </c>
      <c r="O881" t="s">
        <v>1485</v>
      </c>
      <c r="P881" t="s">
        <v>6097</v>
      </c>
      <c r="R881" s="7">
        <v>36291</v>
      </c>
      <c r="T881" t="s">
        <v>318</v>
      </c>
      <c r="W881" s="15">
        <v>6.7925700000000004</v>
      </c>
      <c r="X881" s="15">
        <v>-75.122519999999994</v>
      </c>
      <c r="Y881">
        <v>6250</v>
      </c>
      <c r="Z881">
        <v>1027</v>
      </c>
      <c r="AB881" t="s">
        <v>6098</v>
      </c>
      <c r="AF881" t="s">
        <v>50</v>
      </c>
      <c r="AG881" t="s">
        <v>402</v>
      </c>
      <c r="AH881" t="s">
        <v>6065</v>
      </c>
      <c r="AI881" t="s">
        <v>6099</v>
      </c>
      <c r="AJ881">
        <v>941</v>
      </c>
    </row>
    <row r="882" spans="1:36">
      <c r="A882" t="s">
        <v>6037</v>
      </c>
      <c r="B882" t="s">
        <v>6038</v>
      </c>
      <c r="C882" t="s">
        <v>6100</v>
      </c>
      <c r="D882" t="s">
        <v>6101</v>
      </c>
      <c r="E882" t="s">
        <v>6102</v>
      </c>
      <c r="F882">
        <v>1600</v>
      </c>
      <c r="G882">
        <v>1600</v>
      </c>
      <c r="H882">
        <v>1600</v>
      </c>
      <c r="I882" t="s">
        <v>6103</v>
      </c>
      <c r="J882" t="s">
        <v>6104</v>
      </c>
      <c r="K882" t="s">
        <v>6105</v>
      </c>
      <c r="L882" t="s">
        <v>6106</v>
      </c>
      <c r="M882" t="s">
        <v>6107</v>
      </c>
      <c r="N882" t="s">
        <v>6108</v>
      </c>
      <c r="O882" t="s">
        <v>6109</v>
      </c>
      <c r="P882" t="s">
        <v>6110</v>
      </c>
      <c r="R882" s="7">
        <v>36665</v>
      </c>
      <c r="T882" t="s">
        <v>119</v>
      </c>
      <c r="W882" s="15">
        <v>6.4411199999999997</v>
      </c>
      <c r="X882" s="15">
        <v>-75.314790000000002</v>
      </c>
      <c r="Y882">
        <v>1892.354</v>
      </c>
      <c r="Z882">
        <v>1456</v>
      </c>
      <c r="AB882" t="s">
        <v>6111</v>
      </c>
      <c r="AF882" t="s">
        <v>50</v>
      </c>
      <c r="AG882" t="s">
        <v>402</v>
      </c>
      <c r="AH882" t="s">
        <v>3546</v>
      </c>
      <c r="AI882" t="s">
        <v>6112</v>
      </c>
      <c r="AJ882">
        <v>942</v>
      </c>
    </row>
    <row r="883" spans="1:36">
      <c r="A883" t="s">
        <v>6037</v>
      </c>
      <c r="B883" t="s">
        <v>6038</v>
      </c>
      <c r="C883" t="s">
        <v>6100</v>
      </c>
      <c r="D883" t="s">
        <v>6113</v>
      </c>
      <c r="E883" t="s">
        <v>6102</v>
      </c>
      <c r="F883">
        <v>1600</v>
      </c>
      <c r="G883">
        <v>1600</v>
      </c>
      <c r="H883">
        <v>1600</v>
      </c>
      <c r="I883" t="s">
        <v>6103</v>
      </c>
      <c r="J883" t="s">
        <v>6104</v>
      </c>
      <c r="K883" t="s">
        <v>6105</v>
      </c>
      <c r="L883" t="s">
        <v>6106</v>
      </c>
      <c r="M883" t="s">
        <v>6107</v>
      </c>
      <c r="N883" t="s">
        <v>6108</v>
      </c>
      <c r="O883" t="s">
        <v>6109</v>
      </c>
      <c r="P883" t="s">
        <v>6110</v>
      </c>
      <c r="R883" s="7">
        <v>36665</v>
      </c>
      <c r="T883" t="s">
        <v>119</v>
      </c>
      <c r="W883" s="15">
        <v>6.4411199999999997</v>
      </c>
      <c r="X883" s="15">
        <v>-75.314790000000002</v>
      </c>
      <c r="Y883">
        <v>1892.354</v>
      </c>
      <c r="Z883">
        <v>1456</v>
      </c>
      <c r="AB883" t="s">
        <v>6111</v>
      </c>
      <c r="AF883" t="s">
        <v>50</v>
      </c>
      <c r="AG883" t="s">
        <v>402</v>
      </c>
      <c r="AH883" t="s">
        <v>3546</v>
      </c>
      <c r="AI883" t="s">
        <v>6112</v>
      </c>
      <c r="AJ883">
        <v>943</v>
      </c>
    </row>
    <row r="884" spans="1:36">
      <c r="A884" t="s">
        <v>6037</v>
      </c>
      <c r="B884" t="s">
        <v>6038</v>
      </c>
      <c r="C884" t="s">
        <v>6100</v>
      </c>
      <c r="D884" t="s">
        <v>6114</v>
      </c>
      <c r="E884" t="s">
        <v>6102</v>
      </c>
      <c r="F884">
        <v>1600</v>
      </c>
      <c r="G884">
        <v>1600</v>
      </c>
      <c r="H884">
        <v>1600</v>
      </c>
      <c r="I884" t="s">
        <v>6103</v>
      </c>
      <c r="J884" t="s">
        <v>6104</v>
      </c>
      <c r="K884" t="s">
        <v>6105</v>
      </c>
      <c r="L884" t="s">
        <v>6106</v>
      </c>
      <c r="M884" t="s">
        <v>6107</v>
      </c>
      <c r="N884" t="s">
        <v>6108</v>
      </c>
      <c r="O884" t="s">
        <v>6109</v>
      </c>
      <c r="P884" t="s">
        <v>6110</v>
      </c>
      <c r="R884" s="7">
        <v>36665</v>
      </c>
      <c r="T884" t="s">
        <v>119</v>
      </c>
      <c r="W884" s="15">
        <v>6.4411199999999997</v>
      </c>
      <c r="X884" s="15">
        <v>-75.314790000000002</v>
      </c>
      <c r="Y884">
        <v>1892.354</v>
      </c>
      <c r="Z884">
        <v>1456</v>
      </c>
      <c r="AB884" t="s">
        <v>6111</v>
      </c>
      <c r="AF884" t="s">
        <v>50</v>
      </c>
      <c r="AG884" t="s">
        <v>402</v>
      </c>
      <c r="AH884" t="s">
        <v>3546</v>
      </c>
      <c r="AI884" t="s">
        <v>6112</v>
      </c>
      <c r="AJ884">
        <v>944</v>
      </c>
    </row>
    <row r="885" spans="1:36">
      <c r="A885" t="s">
        <v>6037</v>
      </c>
      <c r="B885" t="s">
        <v>6038</v>
      </c>
      <c r="C885" t="s">
        <v>6115</v>
      </c>
      <c r="D885" t="s">
        <v>6116</v>
      </c>
      <c r="E885" t="s">
        <v>6117</v>
      </c>
      <c r="F885">
        <v>950</v>
      </c>
      <c r="G885">
        <v>950</v>
      </c>
      <c r="H885">
        <v>950</v>
      </c>
      <c r="I885" t="s">
        <v>6118</v>
      </c>
      <c r="J885" t="s">
        <v>6118</v>
      </c>
      <c r="K885" t="s">
        <v>6078</v>
      </c>
      <c r="L885" t="s">
        <v>1482</v>
      </c>
      <c r="M885" t="s">
        <v>6119</v>
      </c>
      <c r="N885" t="s">
        <v>6096</v>
      </c>
      <c r="O885" t="s">
        <v>1485</v>
      </c>
      <c r="P885" t="s">
        <v>6097</v>
      </c>
      <c r="R885" s="7">
        <v>36669</v>
      </c>
      <c r="T885" t="s">
        <v>318</v>
      </c>
      <c r="W885" s="15">
        <v>6.7925700000000004</v>
      </c>
      <c r="X885" s="15">
        <v>-75.122519999999994</v>
      </c>
      <c r="Y885">
        <v>6250</v>
      </c>
      <c r="Z885">
        <v>1027</v>
      </c>
      <c r="AB885" t="s">
        <v>6098</v>
      </c>
      <c r="AF885" t="s">
        <v>50</v>
      </c>
      <c r="AG885" t="s">
        <v>402</v>
      </c>
      <c r="AH885" t="s">
        <v>6065</v>
      </c>
      <c r="AI885" t="s">
        <v>6120</v>
      </c>
      <c r="AJ885">
        <v>945</v>
      </c>
    </row>
    <row r="886" spans="1:36">
      <c r="A886" t="s">
        <v>6037</v>
      </c>
      <c r="B886" t="s">
        <v>6038</v>
      </c>
      <c r="C886" t="s">
        <v>6115</v>
      </c>
      <c r="D886" t="s">
        <v>6121</v>
      </c>
      <c r="E886" t="s">
        <v>6117</v>
      </c>
      <c r="F886">
        <v>950</v>
      </c>
      <c r="G886">
        <v>950</v>
      </c>
      <c r="H886">
        <v>950</v>
      </c>
      <c r="I886" t="s">
        <v>6118</v>
      </c>
      <c r="J886" t="s">
        <v>6118</v>
      </c>
      <c r="K886" t="s">
        <v>6078</v>
      </c>
      <c r="L886" t="s">
        <v>1482</v>
      </c>
      <c r="M886" t="s">
        <v>6119</v>
      </c>
      <c r="N886" t="s">
        <v>6096</v>
      </c>
      <c r="O886" t="s">
        <v>1485</v>
      </c>
      <c r="P886" t="s">
        <v>6097</v>
      </c>
      <c r="R886" s="7">
        <v>36669</v>
      </c>
      <c r="T886" t="s">
        <v>318</v>
      </c>
      <c r="W886" s="15">
        <v>6.7925700000000004</v>
      </c>
      <c r="X886" s="15">
        <v>-75.122519999999994</v>
      </c>
      <c r="Y886">
        <v>6250</v>
      </c>
      <c r="Z886">
        <v>1027</v>
      </c>
      <c r="AB886" t="s">
        <v>6098</v>
      </c>
      <c r="AF886" t="s">
        <v>50</v>
      </c>
      <c r="AG886" t="s">
        <v>402</v>
      </c>
      <c r="AH886" t="s">
        <v>6065</v>
      </c>
      <c r="AI886" t="s">
        <v>6120</v>
      </c>
      <c r="AJ886">
        <v>946</v>
      </c>
    </row>
    <row r="887" spans="1:36">
      <c r="A887" t="s">
        <v>6037</v>
      </c>
      <c r="B887" t="s">
        <v>6038</v>
      </c>
      <c r="C887" t="s">
        <v>6122</v>
      </c>
      <c r="D887" t="s">
        <v>6123</v>
      </c>
      <c r="E887" t="s">
        <v>6124</v>
      </c>
      <c r="F887">
        <v>1420</v>
      </c>
      <c r="G887">
        <v>1420</v>
      </c>
      <c r="H887">
        <v>1420</v>
      </c>
      <c r="I887" t="s">
        <v>3578</v>
      </c>
      <c r="J887" t="s">
        <v>3579</v>
      </c>
      <c r="K887" t="s">
        <v>3580</v>
      </c>
      <c r="L887" t="s">
        <v>3581</v>
      </c>
      <c r="M887" t="s">
        <v>3582</v>
      </c>
      <c r="N887" t="s">
        <v>3583</v>
      </c>
      <c r="O887" t="s">
        <v>3584</v>
      </c>
      <c r="P887" t="s">
        <v>3585</v>
      </c>
      <c r="R887" s="7">
        <v>37897</v>
      </c>
      <c r="T887" t="s">
        <v>119</v>
      </c>
      <c r="W887" s="15">
        <v>7.133</v>
      </c>
      <c r="X887" s="15">
        <v>-75.159694400000006</v>
      </c>
      <c r="AF887" t="s">
        <v>50</v>
      </c>
      <c r="AG887" t="s">
        <v>402</v>
      </c>
      <c r="AH887" t="s">
        <v>1186</v>
      </c>
      <c r="AI887" t="s">
        <v>6125</v>
      </c>
      <c r="AJ887">
        <v>947</v>
      </c>
    </row>
    <row r="888" spans="1:36">
      <c r="A888" t="s">
        <v>6037</v>
      </c>
      <c r="B888" t="s">
        <v>6038</v>
      </c>
      <c r="C888" t="s">
        <v>6122</v>
      </c>
      <c r="D888" t="s">
        <v>6126</v>
      </c>
      <c r="E888" t="s">
        <v>6124</v>
      </c>
      <c r="F888">
        <v>1420</v>
      </c>
      <c r="G888">
        <v>1420</v>
      </c>
      <c r="H888">
        <v>1420</v>
      </c>
      <c r="I888" t="s">
        <v>3578</v>
      </c>
      <c r="J888" t="s">
        <v>3579</v>
      </c>
      <c r="K888" t="s">
        <v>3580</v>
      </c>
      <c r="L888" t="s">
        <v>3581</v>
      </c>
      <c r="M888" t="s">
        <v>3582</v>
      </c>
      <c r="N888" t="s">
        <v>3583</v>
      </c>
      <c r="O888" t="s">
        <v>3584</v>
      </c>
      <c r="P888" t="s">
        <v>3585</v>
      </c>
      <c r="R888" s="7">
        <v>37897</v>
      </c>
      <c r="T888" t="s">
        <v>119</v>
      </c>
      <c r="W888" s="15">
        <v>7.133</v>
      </c>
      <c r="X888" s="15">
        <v>-75.159694400000006</v>
      </c>
      <c r="AF888" t="s">
        <v>50</v>
      </c>
      <c r="AG888" t="s">
        <v>402</v>
      </c>
      <c r="AH888" t="s">
        <v>1186</v>
      </c>
      <c r="AI888" t="s">
        <v>6125</v>
      </c>
      <c r="AJ888">
        <v>948</v>
      </c>
    </row>
    <row r="889" spans="1:36">
      <c r="A889" t="s">
        <v>6037</v>
      </c>
      <c r="B889" t="s">
        <v>6038</v>
      </c>
      <c r="C889" t="s">
        <v>6122</v>
      </c>
      <c r="D889" t="s">
        <v>6123</v>
      </c>
      <c r="E889" t="s">
        <v>6124</v>
      </c>
      <c r="F889">
        <v>1420</v>
      </c>
      <c r="G889">
        <v>1420</v>
      </c>
      <c r="H889">
        <v>1420</v>
      </c>
      <c r="I889" t="s">
        <v>3578</v>
      </c>
      <c r="J889" t="s">
        <v>3579</v>
      </c>
      <c r="K889" t="s">
        <v>3580</v>
      </c>
      <c r="L889" t="s">
        <v>3581</v>
      </c>
      <c r="M889" t="s">
        <v>3582</v>
      </c>
      <c r="N889" t="s">
        <v>3583</v>
      </c>
      <c r="O889" t="s">
        <v>3584</v>
      </c>
      <c r="P889" t="s">
        <v>3585</v>
      </c>
      <c r="R889" s="7">
        <v>37897</v>
      </c>
      <c r="T889" t="s">
        <v>119</v>
      </c>
      <c r="W889" s="15">
        <v>7.133</v>
      </c>
      <c r="X889" s="15">
        <v>-75.159694400000006</v>
      </c>
      <c r="AF889" t="s">
        <v>50</v>
      </c>
      <c r="AG889" t="s">
        <v>402</v>
      </c>
      <c r="AH889" t="s">
        <v>1186</v>
      </c>
      <c r="AI889" t="s">
        <v>6125</v>
      </c>
      <c r="AJ889">
        <v>949</v>
      </c>
    </row>
    <row r="890" spans="1:36">
      <c r="A890" t="s">
        <v>6037</v>
      </c>
      <c r="B890" t="s">
        <v>6038</v>
      </c>
      <c r="C890" t="s">
        <v>6122</v>
      </c>
      <c r="D890" t="s">
        <v>6126</v>
      </c>
      <c r="E890" t="s">
        <v>6124</v>
      </c>
      <c r="F890">
        <v>1420</v>
      </c>
      <c r="G890">
        <v>1420</v>
      </c>
      <c r="H890">
        <v>1420</v>
      </c>
      <c r="I890" t="s">
        <v>3578</v>
      </c>
      <c r="J890" t="s">
        <v>3579</v>
      </c>
      <c r="K890" t="s">
        <v>3580</v>
      </c>
      <c r="L890" t="s">
        <v>3581</v>
      </c>
      <c r="M890" t="s">
        <v>3582</v>
      </c>
      <c r="N890" t="s">
        <v>3583</v>
      </c>
      <c r="O890" t="s">
        <v>3584</v>
      </c>
      <c r="P890" t="s">
        <v>3585</v>
      </c>
      <c r="R890" s="7">
        <v>37897</v>
      </c>
      <c r="T890" t="s">
        <v>119</v>
      </c>
      <c r="W890" s="15">
        <v>7.133</v>
      </c>
      <c r="X890" s="15">
        <v>-75.159694400000006</v>
      </c>
      <c r="AF890" t="s">
        <v>50</v>
      </c>
      <c r="AG890" t="s">
        <v>402</v>
      </c>
      <c r="AH890" t="s">
        <v>1186</v>
      </c>
      <c r="AI890" t="s">
        <v>6125</v>
      </c>
      <c r="AJ890">
        <v>950</v>
      </c>
    </row>
    <row r="891" spans="1:36">
      <c r="A891" t="s">
        <v>6037</v>
      </c>
      <c r="B891" t="s">
        <v>6038</v>
      </c>
      <c r="C891" t="s">
        <v>6127</v>
      </c>
      <c r="D891" t="s">
        <v>6128</v>
      </c>
      <c r="E891" t="s">
        <v>6129</v>
      </c>
      <c r="F891">
        <v>950</v>
      </c>
      <c r="G891">
        <v>950</v>
      </c>
      <c r="H891">
        <v>950</v>
      </c>
      <c r="P891" t="s">
        <v>80</v>
      </c>
      <c r="R891" s="7">
        <v>24759</v>
      </c>
      <c r="T891" t="s">
        <v>111</v>
      </c>
      <c r="W891" s="15">
        <v>5.6524000000000001</v>
      </c>
      <c r="X891" s="15">
        <v>-74.035340000000005</v>
      </c>
      <c r="Y891">
        <v>3907.4050000000002</v>
      </c>
      <c r="Z891">
        <v>945</v>
      </c>
      <c r="AB891" t="s">
        <v>6130</v>
      </c>
      <c r="AF891" t="s">
        <v>50</v>
      </c>
      <c r="AG891" t="s">
        <v>90</v>
      </c>
      <c r="AH891" t="s">
        <v>6131</v>
      </c>
      <c r="AI891" t="s">
        <v>6132</v>
      </c>
      <c r="AJ891">
        <v>951</v>
      </c>
    </row>
    <row r="892" spans="1:36">
      <c r="A892" t="s">
        <v>6037</v>
      </c>
      <c r="B892" t="s">
        <v>6038</v>
      </c>
      <c r="C892" t="s">
        <v>6133</v>
      </c>
      <c r="D892" t="s">
        <v>6134</v>
      </c>
      <c r="E892" t="s">
        <v>6135</v>
      </c>
      <c r="F892">
        <v>600</v>
      </c>
      <c r="G892">
        <v>600</v>
      </c>
      <c r="H892">
        <v>600</v>
      </c>
      <c r="I892" t="s">
        <v>6136</v>
      </c>
      <c r="J892" t="s">
        <v>6137</v>
      </c>
      <c r="K892" t="s">
        <v>6138</v>
      </c>
      <c r="L892" t="s">
        <v>6139</v>
      </c>
      <c r="M892" t="s">
        <v>6140</v>
      </c>
      <c r="N892" t="s">
        <v>6141</v>
      </c>
      <c r="O892" t="s">
        <v>6142</v>
      </c>
      <c r="P892" t="s">
        <v>6143</v>
      </c>
      <c r="R892" s="7">
        <v>33928</v>
      </c>
      <c r="T892" t="s">
        <v>111</v>
      </c>
      <c r="W892" s="15">
        <v>0.9375</v>
      </c>
      <c r="X892" s="15">
        <v>-72.701666700000004</v>
      </c>
      <c r="AF892" t="s">
        <v>50</v>
      </c>
      <c r="AG892" t="s">
        <v>1289</v>
      </c>
      <c r="AH892" t="s">
        <v>6144</v>
      </c>
      <c r="AI892" t="s">
        <v>6145</v>
      </c>
      <c r="AJ892">
        <v>952</v>
      </c>
    </row>
    <row r="893" spans="1:36">
      <c r="A893" t="s">
        <v>6037</v>
      </c>
      <c r="B893" t="s">
        <v>6038</v>
      </c>
      <c r="C893" t="s">
        <v>6146</v>
      </c>
      <c r="D893" t="s">
        <v>6147</v>
      </c>
      <c r="E893" t="s">
        <v>6135</v>
      </c>
      <c r="F893">
        <v>600</v>
      </c>
      <c r="G893">
        <v>600</v>
      </c>
      <c r="H893">
        <v>600</v>
      </c>
      <c r="I893" t="s">
        <v>6136</v>
      </c>
      <c r="J893" t="s">
        <v>6137</v>
      </c>
      <c r="K893" t="s">
        <v>6138</v>
      </c>
      <c r="L893" t="s">
        <v>6139</v>
      </c>
      <c r="M893" t="s">
        <v>6140</v>
      </c>
      <c r="N893" t="s">
        <v>6141</v>
      </c>
      <c r="O893" t="s">
        <v>6142</v>
      </c>
      <c r="P893" t="s">
        <v>6143</v>
      </c>
      <c r="R893" s="7">
        <v>33928</v>
      </c>
      <c r="T893" t="s">
        <v>111</v>
      </c>
      <c r="W893" s="15">
        <v>0.9375</v>
      </c>
      <c r="X893" s="15">
        <v>-72.701666700000004</v>
      </c>
      <c r="AF893" t="s">
        <v>50</v>
      </c>
      <c r="AG893" t="s">
        <v>1289</v>
      </c>
      <c r="AH893" t="s">
        <v>6144</v>
      </c>
      <c r="AI893" t="s">
        <v>6145</v>
      </c>
      <c r="AJ893">
        <v>953</v>
      </c>
    </row>
    <row r="894" spans="1:36">
      <c r="A894" t="s">
        <v>6037</v>
      </c>
      <c r="B894" t="s">
        <v>6038</v>
      </c>
      <c r="C894" t="s">
        <v>6148</v>
      </c>
      <c r="D894" t="s">
        <v>6149</v>
      </c>
      <c r="E894" t="s">
        <v>6150</v>
      </c>
      <c r="F894">
        <v>1870</v>
      </c>
      <c r="G894">
        <v>1870</v>
      </c>
      <c r="H894">
        <v>1870</v>
      </c>
      <c r="I894" t="s">
        <v>6151</v>
      </c>
      <c r="J894" t="s">
        <v>6152</v>
      </c>
      <c r="K894" t="s">
        <v>6153</v>
      </c>
      <c r="L894" t="s">
        <v>6154</v>
      </c>
      <c r="M894" t="s">
        <v>6155</v>
      </c>
      <c r="N894" t="s">
        <v>6156</v>
      </c>
      <c r="O894" t="s">
        <v>6157</v>
      </c>
      <c r="P894" t="s">
        <v>6158</v>
      </c>
      <c r="R894" s="7">
        <v>34482</v>
      </c>
      <c r="W894" s="15">
        <v>10.050000000000001</v>
      </c>
      <c r="X894" s="15">
        <v>-73.05</v>
      </c>
      <c r="AF894" t="s">
        <v>50</v>
      </c>
      <c r="AG894" t="s">
        <v>2824</v>
      </c>
      <c r="AH894" t="s">
        <v>6159</v>
      </c>
      <c r="AI894" t="s">
        <v>6160</v>
      </c>
      <c r="AJ894">
        <v>954</v>
      </c>
    </row>
    <row r="895" spans="1:36">
      <c r="A895" t="s">
        <v>6037</v>
      </c>
      <c r="B895" t="s">
        <v>6038</v>
      </c>
      <c r="C895" t="s">
        <v>6161</v>
      </c>
      <c r="D895" t="s">
        <v>6162</v>
      </c>
      <c r="E895" t="s">
        <v>6150</v>
      </c>
      <c r="F895">
        <v>1870</v>
      </c>
      <c r="G895">
        <v>1870</v>
      </c>
      <c r="H895">
        <v>1870</v>
      </c>
      <c r="I895" t="s">
        <v>6151</v>
      </c>
      <c r="J895" t="s">
        <v>6152</v>
      </c>
      <c r="K895" t="s">
        <v>6153</v>
      </c>
      <c r="L895" t="s">
        <v>6154</v>
      </c>
      <c r="M895" t="s">
        <v>6155</v>
      </c>
      <c r="N895" t="s">
        <v>6156</v>
      </c>
      <c r="O895" t="s">
        <v>6157</v>
      </c>
      <c r="P895" t="s">
        <v>6158</v>
      </c>
      <c r="R895" s="7">
        <v>34482</v>
      </c>
      <c r="T895" t="s">
        <v>111</v>
      </c>
      <c r="W895" s="15">
        <v>10.050000000000001</v>
      </c>
      <c r="X895" s="15">
        <v>-73.05</v>
      </c>
      <c r="AF895" t="s">
        <v>50</v>
      </c>
      <c r="AG895" t="s">
        <v>2824</v>
      </c>
      <c r="AH895" t="s">
        <v>6159</v>
      </c>
      <c r="AI895" t="s">
        <v>6160</v>
      </c>
      <c r="AJ895">
        <v>955</v>
      </c>
    </row>
    <row r="896" spans="1:36">
      <c r="A896" t="s">
        <v>6037</v>
      </c>
      <c r="B896" t="s">
        <v>6038</v>
      </c>
      <c r="C896" t="s">
        <v>6163</v>
      </c>
      <c r="D896" t="s">
        <v>6164</v>
      </c>
      <c r="E896" t="s">
        <v>6165</v>
      </c>
      <c r="F896">
        <v>1540</v>
      </c>
      <c r="G896">
        <v>1540</v>
      </c>
      <c r="H896">
        <v>1540</v>
      </c>
      <c r="P896" t="s">
        <v>80</v>
      </c>
      <c r="R896" s="7">
        <v>24828</v>
      </c>
      <c r="T896" t="s">
        <v>111</v>
      </c>
      <c r="W896" s="15">
        <v>4.9695400000000003</v>
      </c>
      <c r="X896" s="15">
        <v>-74.394469999999998</v>
      </c>
      <c r="Y896">
        <v>377.488</v>
      </c>
      <c r="Z896">
        <v>1283</v>
      </c>
      <c r="AB896" t="s">
        <v>1589</v>
      </c>
      <c r="AF896" t="s">
        <v>50</v>
      </c>
      <c r="AG896" t="s">
        <v>98</v>
      </c>
      <c r="AH896" t="s">
        <v>1590</v>
      </c>
      <c r="AI896" t="s">
        <v>6166</v>
      </c>
      <c r="AJ896">
        <v>956</v>
      </c>
    </row>
    <row r="897" spans="1:36">
      <c r="A897" t="s">
        <v>6037</v>
      </c>
      <c r="B897" t="s">
        <v>6038</v>
      </c>
      <c r="C897" t="s">
        <v>6167</v>
      </c>
      <c r="D897" t="s">
        <v>6168</v>
      </c>
      <c r="E897" t="s">
        <v>6169</v>
      </c>
      <c r="F897">
        <v>1500</v>
      </c>
      <c r="G897">
        <v>1500</v>
      </c>
      <c r="H897">
        <v>1500</v>
      </c>
      <c r="P897" t="s">
        <v>80</v>
      </c>
      <c r="R897" s="7">
        <v>27119</v>
      </c>
      <c r="T897" t="s">
        <v>119</v>
      </c>
      <c r="W897" s="15">
        <v>4.9272900000000002</v>
      </c>
      <c r="X897" s="15">
        <v>-74.424409999999995</v>
      </c>
      <c r="Y897">
        <v>2945.0430000000001</v>
      </c>
      <c r="Z897">
        <v>1541</v>
      </c>
      <c r="AB897" t="s">
        <v>6170</v>
      </c>
      <c r="AF897" t="s">
        <v>50</v>
      </c>
      <c r="AG897" t="s">
        <v>98</v>
      </c>
      <c r="AH897" t="s">
        <v>1596</v>
      </c>
      <c r="AI897" t="s">
        <v>6171</v>
      </c>
      <c r="AJ897">
        <v>957</v>
      </c>
    </row>
    <row r="898" spans="1:36">
      <c r="A898" t="s">
        <v>6037</v>
      </c>
      <c r="B898" t="s">
        <v>6038</v>
      </c>
      <c r="C898" t="s">
        <v>6172</v>
      </c>
      <c r="D898" t="s">
        <v>6173</v>
      </c>
      <c r="E898" t="s">
        <v>6174</v>
      </c>
      <c r="F898">
        <v>1300</v>
      </c>
      <c r="G898">
        <v>1300</v>
      </c>
      <c r="H898">
        <v>1300</v>
      </c>
      <c r="P898" t="s">
        <v>80</v>
      </c>
      <c r="R898" s="7">
        <v>27150</v>
      </c>
      <c r="W898" s="15">
        <v>4.2047400000000001</v>
      </c>
      <c r="X898" s="15">
        <v>-73.892049999999998</v>
      </c>
      <c r="Y898">
        <v>5526.9989999999998</v>
      </c>
      <c r="Z898">
        <v>1461</v>
      </c>
      <c r="AB898" t="s">
        <v>6175</v>
      </c>
      <c r="AF898" t="s">
        <v>50</v>
      </c>
      <c r="AG898" t="s">
        <v>98</v>
      </c>
      <c r="AH898" t="s">
        <v>6176</v>
      </c>
      <c r="AJ898">
        <v>959</v>
      </c>
    </row>
    <row r="899" spans="1:36">
      <c r="A899" t="s">
        <v>6037</v>
      </c>
      <c r="B899" t="s">
        <v>6038</v>
      </c>
      <c r="C899" t="s">
        <v>6177</v>
      </c>
      <c r="D899" t="s">
        <v>6178</v>
      </c>
      <c r="E899" t="s">
        <v>6179</v>
      </c>
      <c r="F899">
        <v>1450</v>
      </c>
      <c r="G899">
        <v>1450</v>
      </c>
      <c r="H899">
        <v>1450</v>
      </c>
      <c r="P899" t="s">
        <v>80</v>
      </c>
      <c r="R899" s="7">
        <v>35003</v>
      </c>
      <c r="T899" t="s">
        <v>119</v>
      </c>
      <c r="W899" s="15">
        <v>5.5583200000000001</v>
      </c>
      <c r="X899" s="15">
        <v>-74.291569999999993</v>
      </c>
      <c r="Y899">
        <v>880.31299999999999</v>
      </c>
      <c r="Z899">
        <v>1387</v>
      </c>
      <c r="AB899" t="s">
        <v>6180</v>
      </c>
      <c r="AF899" t="s">
        <v>50</v>
      </c>
      <c r="AG899" t="s">
        <v>98</v>
      </c>
      <c r="AH899" t="s">
        <v>6181</v>
      </c>
      <c r="AI899" t="s">
        <v>6182</v>
      </c>
      <c r="AJ899">
        <v>960</v>
      </c>
    </row>
    <row r="900" spans="1:36">
      <c r="A900" t="s">
        <v>6037</v>
      </c>
      <c r="B900" t="s">
        <v>6038</v>
      </c>
      <c r="C900" t="s">
        <v>6183</v>
      </c>
      <c r="D900" t="s">
        <v>6184</v>
      </c>
      <c r="E900" t="s">
        <v>6185</v>
      </c>
      <c r="I900" t="s">
        <v>6186</v>
      </c>
      <c r="J900" t="s">
        <v>6187</v>
      </c>
      <c r="K900" t="s">
        <v>6188</v>
      </c>
      <c r="L900" t="s">
        <v>6189</v>
      </c>
      <c r="M900" t="s">
        <v>6190</v>
      </c>
      <c r="N900" t="s">
        <v>6191</v>
      </c>
      <c r="O900" t="s">
        <v>6192</v>
      </c>
      <c r="P900" t="s">
        <v>6193</v>
      </c>
      <c r="R900" s="7">
        <v>32903</v>
      </c>
      <c r="W900" s="15">
        <v>2.1833333000000001</v>
      </c>
      <c r="X900" s="15">
        <v>-74.05</v>
      </c>
      <c r="AF900" t="s">
        <v>50</v>
      </c>
      <c r="AG900" t="s">
        <v>6194</v>
      </c>
      <c r="AH900" t="s">
        <v>6195</v>
      </c>
      <c r="AI900" t="s">
        <v>6196</v>
      </c>
      <c r="AJ900">
        <v>961</v>
      </c>
    </row>
    <row r="901" spans="1:36">
      <c r="A901" t="s">
        <v>6037</v>
      </c>
      <c r="B901" t="s">
        <v>6038</v>
      </c>
      <c r="C901" t="s">
        <v>6197</v>
      </c>
      <c r="D901" t="s">
        <v>6198</v>
      </c>
      <c r="E901" t="s">
        <v>6199</v>
      </c>
      <c r="F901" t="s">
        <v>6200</v>
      </c>
      <c r="G901">
        <v>1370</v>
      </c>
      <c r="H901">
        <v>1550</v>
      </c>
      <c r="I901" t="s">
        <v>734</v>
      </c>
      <c r="J901" t="s">
        <v>735</v>
      </c>
      <c r="K901" t="s">
        <v>736</v>
      </c>
      <c r="L901" t="s">
        <v>737</v>
      </c>
      <c r="M901" t="s">
        <v>738</v>
      </c>
      <c r="N901" t="s">
        <v>739</v>
      </c>
      <c r="O901" t="s">
        <v>740</v>
      </c>
      <c r="P901" t="s">
        <v>741</v>
      </c>
      <c r="R901" s="7">
        <v>33838</v>
      </c>
      <c r="T901" t="s">
        <v>399</v>
      </c>
      <c r="W901" s="15">
        <v>2.7806582999999998</v>
      </c>
      <c r="X901" s="15">
        <v>-75.256655600000002</v>
      </c>
      <c r="AF901" t="s">
        <v>50</v>
      </c>
      <c r="AG901" t="s">
        <v>51</v>
      </c>
      <c r="AH901" t="s">
        <v>742</v>
      </c>
      <c r="AI901" t="s">
        <v>6201</v>
      </c>
      <c r="AJ901">
        <v>962</v>
      </c>
    </row>
    <row r="902" spans="1:36">
      <c r="A902" t="s">
        <v>6037</v>
      </c>
      <c r="B902" t="s">
        <v>6038</v>
      </c>
      <c r="C902" t="s">
        <v>240</v>
      </c>
      <c r="D902" t="s">
        <v>6202</v>
      </c>
      <c r="E902" t="s">
        <v>6203</v>
      </c>
      <c r="F902">
        <v>1550</v>
      </c>
      <c r="G902">
        <v>1550</v>
      </c>
      <c r="H902">
        <v>1550</v>
      </c>
      <c r="I902" t="s">
        <v>6204</v>
      </c>
      <c r="J902" t="s">
        <v>6205</v>
      </c>
      <c r="K902" t="s">
        <v>6206</v>
      </c>
      <c r="L902" t="s">
        <v>6207</v>
      </c>
      <c r="M902" t="s">
        <v>6208</v>
      </c>
      <c r="N902" t="s">
        <v>248</v>
      </c>
      <c r="O902" t="s">
        <v>249</v>
      </c>
      <c r="P902" t="s">
        <v>250</v>
      </c>
      <c r="R902" s="7">
        <v>38363</v>
      </c>
      <c r="W902" s="15">
        <v>1.8089999999999999</v>
      </c>
      <c r="X902" s="15">
        <v>-76.016499999999994</v>
      </c>
      <c r="AF902" t="s">
        <v>50</v>
      </c>
      <c r="AG902" t="s">
        <v>51</v>
      </c>
      <c r="AH902" t="s">
        <v>140</v>
      </c>
      <c r="AI902" t="s">
        <v>6209</v>
      </c>
      <c r="AJ902">
        <v>963</v>
      </c>
    </row>
    <row r="903" spans="1:36">
      <c r="A903" t="s">
        <v>6037</v>
      </c>
      <c r="B903" t="s">
        <v>6038</v>
      </c>
      <c r="C903" t="s">
        <v>240</v>
      </c>
      <c r="D903" t="s">
        <v>6210</v>
      </c>
      <c r="E903" t="s">
        <v>6211</v>
      </c>
      <c r="F903">
        <v>1550</v>
      </c>
      <c r="G903">
        <v>1550</v>
      </c>
      <c r="H903">
        <v>1550</v>
      </c>
      <c r="I903" t="s">
        <v>6212</v>
      </c>
      <c r="J903" t="s">
        <v>6213</v>
      </c>
      <c r="K903" t="s">
        <v>6214</v>
      </c>
      <c r="L903" t="s">
        <v>6215</v>
      </c>
      <c r="M903" t="s">
        <v>6216</v>
      </c>
      <c r="N903" t="s">
        <v>6217</v>
      </c>
      <c r="O903" t="s">
        <v>6218</v>
      </c>
      <c r="P903" t="s">
        <v>6219</v>
      </c>
      <c r="R903" s="7">
        <v>38650</v>
      </c>
      <c r="T903" t="s">
        <v>111</v>
      </c>
      <c r="W903" s="15">
        <v>1.7284721999999999</v>
      </c>
      <c r="X903" s="15">
        <v>-76.115222200000005</v>
      </c>
      <c r="AF903" t="s">
        <v>50</v>
      </c>
      <c r="AG903" t="s">
        <v>51</v>
      </c>
      <c r="AH903" t="s">
        <v>6220</v>
      </c>
      <c r="AI903" t="s">
        <v>6221</v>
      </c>
      <c r="AJ903">
        <v>964</v>
      </c>
    </row>
    <row r="904" spans="1:36">
      <c r="A904" t="s">
        <v>6222</v>
      </c>
      <c r="B904" t="s">
        <v>6223</v>
      </c>
      <c r="C904" t="s">
        <v>6224</v>
      </c>
      <c r="D904" t="s">
        <v>6225</v>
      </c>
      <c r="E904" t="s">
        <v>6226</v>
      </c>
      <c r="F904">
        <v>2240</v>
      </c>
      <c r="G904">
        <v>2240</v>
      </c>
      <c r="H904">
        <v>2240</v>
      </c>
      <c r="I904" t="s">
        <v>4189</v>
      </c>
      <c r="J904" t="s">
        <v>4190</v>
      </c>
      <c r="K904" t="s">
        <v>6227</v>
      </c>
      <c r="L904" t="s">
        <v>6228</v>
      </c>
      <c r="M904" t="s">
        <v>6229</v>
      </c>
      <c r="N904" t="s">
        <v>754</v>
      </c>
      <c r="O904" t="s">
        <v>6230</v>
      </c>
      <c r="P904" t="s">
        <v>6231</v>
      </c>
      <c r="R904" s="7">
        <v>28665</v>
      </c>
      <c r="W904" s="15">
        <v>6.2927</v>
      </c>
      <c r="X904" s="15">
        <v>-75.507090000000005</v>
      </c>
      <c r="Y904">
        <v>3749.79</v>
      </c>
      <c r="Z904">
        <v>2379</v>
      </c>
      <c r="AB904" t="s">
        <v>2654</v>
      </c>
      <c r="AF904" t="s">
        <v>50</v>
      </c>
      <c r="AG904" t="s">
        <v>402</v>
      </c>
      <c r="AH904" t="s">
        <v>855</v>
      </c>
      <c r="AI904" t="s">
        <v>6232</v>
      </c>
      <c r="AJ904">
        <v>965</v>
      </c>
    </row>
    <row r="905" spans="1:36">
      <c r="A905" t="s">
        <v>6222</v>
      </c>
      <c r="B905" t="s">
        <v>6223</v>
      </c>
      <c r="C905" t="s">
        <v>6224</v>
      </c>
      <c r="D905" t="s">
        <v>6233</v>
      </c>
      <c r="E905" t="s">
        <v>6226</v>
      </c>
      <c r="F905">
        <v>2240</v>
      </c>
      <c r="G905">
        <v>2240</v>
      </c>
      <c r="H905">
        <v>2240</v>
      </c>
      <c r="I905" t="s">
        <v>4189</v>
      </c>
      <c r="J905" t="s">
        <v>4190</v>
      </c>
      <c r="K905" t="s">
        <v>6227</v>
      </c>
      <c r="L905" t="s">
        <v>6228</v>
      </c>
      <c r="M905" t="s">
        <v>6229</v>
      </c>
      <c r="N905" t="s">
        <v>754</v>
      </c>
      <c r="O905" t="s">
        <v>6230</v>
      </c>
      <c r="P905" t="s">
        <v>6231</v>
      </c>
      <c r="R905" s="7">
        <v>28665</v>
      </c>
      <c r="W905" s="15">
        <v>6.2927</v>
      </c>
      <c r="X905" s="15">
        <v>-75.507090000000005</v>
      </c>
      <c r="Y905">
        <v>3749.79</v>
      </c>
      <c r="Z905">
        <v>2379</v>
      </c>
      <c r="AB905" t="s">
        <v>2654</v>
      </c>
      <c r="AF905" t="s">
        <v>50</v>
      </c>
      <c r="AG905" t="s">
        <v>402</v>
      </c>
      <c r="AH905" t="s">
        <v>855</v>
      </c>
      <c r="AI905" t="s">
        <v>6232</v>
      </c>
      <c r="AJ905">
        <v>966</v>
      </c>
    </row>
    <row r="906" spans="1:36">
      <c r="A906" t="s">
        <v>6222</v>
      </c>
      <c r="B906" t="s">
        <v>6223</v>
      </c>
      <c r="C906" t="s">
        <v>6234</v>
      </c>
      <c r="D906" t="s">
        <v>6235</v>
      </c>
      <c r="E906" t="s">
        <v>6236</v>
      </c>
      <c r="F906">
        <v>1850</v>
      </c>
      <c r="G906">
        <v>1850</v>
      </c>
      <c r="H906">
        <v>1850</v>
      </c>
      <c r="I906" t="s">
        <v>4492</v>
      </c>
      <c r="J906" t="s">
        <v>4493</v>
      </c>
      <c r="K906" t="s">
        <v>6237</v>
      </c>
      <c r="L906" t="s">
        <v>3682</v>
      </c>
      <c r="M906" t="s">
        <v>6238</v>
      </c>
      <c r="N906" t="s">
        <v>4497</v>
      </c>
      <c r="O906" t="s">
        <v>2365</v>
      </c>
      <c r="P906" t="s">
        <v>6239</v>
      </c>
      <c r="R906" s="7">
        <v>31896</v>
      </c>
      <c r="T906" t="s">
        <v>119</v>
      </c>
      <c r="W906" s="15">
        <v>6.3112199999999996</v>
      </c>
      <c r="X906" s="15">
        <v>-75.146090000000001</v>
      </c>
      <c r="Y906">
        <v>2681.63</v>
      </c>
      <c r="Z906">
        <v>1854</v>
      </c>
      <c r="AB906" t="s">
        <v>2229</v>
      </c>
      <c r="AF906" t="s">
        <v>50</v>
      </c>
      <c r="AG906" t="s">
        <v>402</v>
      </c>
      <c r="AH906" t="s">
        <v>2230</v>
      </c>
      <c r="AI906" t="s">
        <v>6240</v>
      </c>
      <c r="AJ906">
        <v>967</v>
      </c>
    </row>
    <row r="907" spans="1:36">
      <c r="A907" t="s">
        <v>6222</v>
      </c>
      <c r="B907" t="s">
        <v>6223</v>
      </c>
      <c r="C907" t="s">
        <v>6241</v>
      </c>
      <c r="D907" t="s">
        <v>6242</v>
      </c>
      <c r="E907" t="s">
        <v>6236</v>
      </c>
      <c r="F907">
        <v>1850</v>
      </c>
      <c r="G907">
        <v>1850</v>
      </c>
      <c r="H907">
        <v>1850</v>
      </c>
      <c r="I907" t="s">
        <v>4492</v>
      </c>
      <c r="J907" t="s">
        <v>4493</v>
      </c>
      <c r="K907" t="s">
        <v>6237</v>
      </c>
      <c r="L907" t="s">
        <v>3682</v>
      </c>
      <c r="M907" t="s">
        <v>6238</v>
      </c>
      <c r="N907" t="s">
        <v>4497</v>
      </c>
      <c r="O907" t="s">
        <v>2365</v>
      </c>
      <c r="P907" t="s">
        <v>6239</v>
      </c>
      <c r="R907" s="7">
        <v>31896</v>
      </c>
      <c r="T907" t="s">
        <v>65</v>
      </c>
      <c r="W907" s="15">
        <v>6.3112199999999996</v>
      </c>
      <c r="X907" s="15">
        <v>-75.146090000000001</v>
      </c>
      <c r="Y907">
        <v>2681.63</v>
      </c>
      <c r="Z907">
        <v>1854</v>
      </c>
      <c r="AB907" t="s">
        <v>2229</v>
      </c>
      <c r="AF907" t="s">
        <v>50</v>
      </c>
      <c r="AG907" t="s">
        <v>402</v>
      </c>
      <c r="AH907" t="s">
        <v>2230</v>
      </c>
      <c r="AI907" t="s">
        <v>6240</v>
      </c>
      <c r="AJ907">
        <v>968</v>
      </c>
    </row>
    <row r="908" spans="1:36">
      <c r="A908" t="s">
        <v>6222</v>
      </c>
      <c r="B908" t="s">
        <v>6223</v>
      </c>
      <c r="C908" t="s">
        <v>6243</v>
      </c>
      <c r="D908" t="s">
        <v>3301</v>
      </c>
      <c r="E908" t="s">
        <v>4315</v>
      </c>
      <c r="F908">
        <v>2680</v>
      </c>
      <c r="G908">
        <v>2680</v>
      </c>
      <c r="H908">
        <v>2680</v>
      </c>
      <c r="I908" t="s">
        <v>4316</v>
      </c>
      <c r="J908" t="s">
        <v>2306</v>
      </c>
      <c r="K908" t="s">
        <v>4317</v>
      </c>
      <c r="L908" t="s">
        <v>2307</v>
      </c>
      <c r="M908" t="s">
        <v>2308</v>
      </c>
      <c r="N908" t="s">
        <v>2309</v>
      </c>
      <c r="O908" t="s">
        <v>2310</v>
      </c>
      <c r="P908" t="s">
        <v>2311</v>
      </c>
      <c r="R908" s="7">
        <v>31965</v>
      </c>
      <c r="W908" s="15">
        <v>5.6833333000000001</v>
      </c>
      <c r="X908" s="15">
        <v>-75.233333299999998</v>
      </c>
      <c r="AF908" t="s">
        <v>50</v>
      </c>
      <c r="AG908" t="s">
        <v>402</v>
      </c>
      <c r="AH908" t="s">
        <v>3306</v>
      </c>
      <c r="AI908" t="s">
        <v>4318</v>
      </c>
      <c r="AJ908">
        <v>969</v>
      </c>
    </row>
    <row r="909" spans="1:36">
      <c r="A909" t="s">
        <v>6222</v>
      </c>
      <c r="B909" t="s">
        <v>6223</v>
      </c>
      <c r="C909" t="s">
        <v>6244</v>
      </c>
      <c r="D909" t="s">
        <v>6245</v>
      </c>
      <c r="E909" t="s">
        <v>6246</v>
      </c>
      <c r="F909">
        <v>1590</v>
      </c>
      <c r="G909">
        <v>1590</v>
      </c>
      <c r="H909">
        <v>1590</v>
      </c>
      <c r="I909" t="s">
        <v>6247</v>
      </c>
      <c r="J909" t="s">
        <v>6248</v>
      </c>
      <c r="K909" t="s">
        <v>3453</v>
      </c>
      <c r="L909" t="s">
        <v>3454</v>
      </c>
      <c r="M909" t="s">
        <v>6249</v>
      </c>
      <c r="N909" t="s">
        <v>6250</v>
      </c>
      <c r="O909" t="s">
        <v>3457</v>
      </c>
      <c r="P909" t="s">
        <v>6251</v>
      </c>
      <c r="R909" s="7">
        <v>32416</v>
      </c>
      <c r="T909" t="s">
        <v>901</v>
      </c>
      <c r="W909" s="15">
        <v>6.9058333000000003</v>
      </c>
      <c r="X909" s="15">
        <v>-75.134500000000003</v>
      </c>
      <c r="AF909" t="s">
        <v>50</v>
      </c>
      <c r="AG909" t="s">
        <v>402</v>
      </c>
      <c r="AH909" t="s">
        <v>6252</v>
      </c>
      <c r="AI909" t="s">
        <v>6253</v>
      </c>
      <c r="AJ909">
        <v>970</v>
      </c>
    </row>
    <row r="910" spans="1:36">
      <c r="A910" t="s">
        <v>6222</v>
      </c>
      <c r="B910" t="s">
        <v>6223</v>
      </c>
      <c r="C910" t="s">
        <v>6254</v>
      </c>
      <c r="D910" t="s">
        <v>6255</v>
      </c>
      <c r="E910" t="s">
        <v>6256</v>
      </c>
      <c r="F910">
        <v>1850</v>
      </c>
      <c r="G910">
        <v>1850</v>
      </c>
      <c r="H910">
        <v>1850</v>
      </c>
      <c r="I910" t="s">
        <v>4492</v>
      </c>
      <c r="J910" t="s">
        <v>4493</v>
      </c>
      <c r="K910" t="s">
        <v>6237</v>
      </c>
      <c r="L910" t="s">
        <v>3682</v>
      </c>
      <c r="M910" t="s">
        <v>6238</v>
      </c>
      <c r="N910" t="s">
        <v>4497</v>
      </c>
      <c r="O910" t="s">
        <v>2365</v>
      </c>
      <c r="P910" t="s">
        <v>6239</v>
      </c>
      <c r="R910" s="7">
        <v>32910</v>
      </c>
      <c r="T910" t="s">
        <v>119</v>
      </c>
      <c r="W910" s="15">
        <v>6.3112199999999996</v>
      </c>
      <c r="X910" s="15">
        <v>-75.146090000000001</v>
      </c>
      <c r="Y910">
        <v>2681.63</v>
      </c>
      <c r="Z910">
        <v>1854</v>
      </c>
      <c r="AB910" t="s">
        <v>2229</v>
      </c>
      <c r="AF910" t="s">
        <v>50</v>
      </c>
      <c r="AG910" t="s">
        <v>402</v>
      </c>
      <c r="AH910" t="s">
        <v>2230</v>
      </c>
      <c r="AI910" t="s">
        <v>6257</v>
      </c>
      <c r="AJ910">
        <v>971</v>
      </c>
    </row>
    <row r="911" spans="1:36">
      <c r="A911" t="s">
        <v>6222</v>
      </c>
      <c r="B911" t="s">
        <v>6223</v>
      </c>
      <c r="C911" t="s">
        <v>6258</v>
      </c>
      <c r="D911" t="s">
        <v>6259</v>
      </c>
      <c r="E911" t="s">
        <v>6256</v>
      </c>
      <c r="F911">
        <v>1850</v>
      </c>
      <c r="G911">
        <v>1850</v>
      </c>
      <c r="H911">
        <v>1850</v>
      </c>
      <c r="I911" t="s">
        <v>4492</v>
      </c>
      <c r="J911" t="s">
        <v>4493</v>
      </c>
      <c r="K911" t="s">
        <v>6237</v>
      </c>
      <c r="L911" t="s">
        <v>3682</v>
      </c>
      <c r="M911" t="s">
        <v>6238</v>
      </c>
      <c r="N911" t="s">
        <v>4497</v>
      </c>
      <c r="O911" t="s">
        <v>2365</v>
      </c>
      <c r="P911" t="s">
        <v>6239</v>
      </c>
      <c r="R911" s="7">
        <v>32938</v>
      </c>
      <c r="T911" t="s">
        <v>901</v>
      </c>
      <c r="W911" s="15">
        <v>6.3112199999999996</v>
      </c>
      <c r="X911" s="15">
        <v>-75.146090000000001</v>
      </c>
      <c r="Y911">
        <v>2681.63</v>
      </c>
      <c r="Z911">
        <v>1854</v>
      </c>
      <c r="AB911" t="s">
        <v>2229</v>
      </c>
      <c r="AF911" t="s">
        <v>50</v>
      </c>
      <c r="AG911" t="s">
        <v>402</v>
      </c>
      <c r="AH911" t="s">
        <v>2230</v>
      </c>
      <c r="AI911" t="s">
        <v>6257</v>
      </c>
      <c r="AJ911">
        <v>972</v>
      </c>
    </row>
    <row r="912" spans="1:36">
      <c r="A912" t="s">
        <v>6222</v>
      </c>
      <c r="B912" t="s">
        <v>6223</v>
      </c>
      <c r="C912" t="s">
        <v>6260</v>
      </c>
      <c r="D912" t="s">
        <v>6261</v>
      </c>
      <c r="E912" t="s">
        <v>6262</v>
      </c>
      <c r="F912">
        <v>2350</v>
      </c>
      <c r="G912">
        <v>2350</v>
      </c>
      <c r="H912">
        <v>2350</v>
      </c>
      <c r="I912" t="s">
        <v>4189</v>
      </c>
      <c r="J912" t="s">
        <v>4190</v>
      </c>
      <c r="K912" t="s">
        <v>6227</v>
      </c>
      <c r="L912" t="s">
        <v>6228</v>
      </c>
      <c r="M912" t="s">
        <v>6229</v>
      </c>
      <c r="N912" t="s">
        <v>754</v>
      </c>
      <c r="O912" t="s">
        <v>6230</v>
      </c>
      <c r="P912" t="s">
        <v>6231</v>
      </c>
      <c r="R912" s="7">
        <v>34678</v>
      </c>
      <c r="W912" s="15">
        <v>6.3038699999999999</v>
      </c>
      <c r="X912" s="15">
        <v>-75.518129999999999</v>
      </c>
      <c r="Y912" t="s">
        <v>6263</v>
      </c>
      <c r="Z912">
        <v>2278</v>
      </c>
      <c r="AF912" t="s">
        <v>50</v>
      </c>
      <c r="AG912" t="s">
        <v>402</v>
      </c>
      <c r="AH912" t="s">
        <v>2288</v>
      </c>
      <c r="AI912" t="s">
        <v>6264</v>
      </c>
      <c r="AJ912">
        <v>973</v>
      </c>
    </row>
    <row r="913" spans="1:36">
      <c r="A913" t="s">
        <v>6222</v>
      </c>
      <c r="B913" t="s">
        <v>6223</v>
      </c>
      <c r="C913" t="s">
        <v>6260</v>
      </c>
      <c r="D913" t="s">
        <v>6265</v>
      </c>
      <c r="E913" t="s">
        <v>6262</v>
      </c>
      <c r="F913">
        <v>2350</v>
      </c>
      <c r="G913">
        <v>2350</v>
      </c>
      <c r="H913">
        <v>2350</v>
      </c>
      <c r="I913" t="s">
        <v>4189</v>
      </c>
      <c r="J913" t="s">
        <v>4190</v>
      </c>
      <c r="K913" t="s">
        <v>6227</v>
      </c>
      <c r="L913" t="s">
        <v>6228</v>
      </c>
      <c r="M913" t="s">
        <v>6229</v>
      </c>
      <c r="N913" t="s">
        <v>754</v>
      </c>
      <c r="O913" t="s">
        <v>6230</v>
      </c>
      <c r="P913" t="s">
        <v>6231</v>
      </c>
      <c r="R913" s="7">
        <v>34678</v>
      </c>
      <c r="T913" t="s">
        <v>119</v>
      </c>
      <c r="W913" s="15">
        <v>6.3038699999999999</v>
      </c>
      <c r="X913" s="15">
        <v>-75.518129999999999</v>
      </c>
      <c r="Y913" t="s">
        <v>6263</v>
      </c>
      <c r="Z913">
        <v>2278</v>
      </c>
      <c r="AF913" t="s">
        <v>50</v>
      </c>
      <c r="AG913" t="s">
        <v>402</v>
      </c>
      <c r="AH913" t="s">
        <v>2288</v>
      </c>
      <c r="AI913" t="s">
        <v>6264</v>
      </c>
      <c r="AJ913">
        <v>974</v>
      </c>
    </row>
    <row r="914" spans="1:36">
      <c r="A914" t="s">
        <v>6222</v>
      </c>
      <c r="B914" t="s">
        <v>6223</v>
      </c>
      <c r="C914" t="s">
        <v>6266</v>
      </c>
      <c r="D914" t="s">
        <v>3562</v>
      </c>
      <c r="E914" t="s">
        <v>6267</v>
      </c>
      <c r="F914">
        <v>2420</v>
      </c>
      <c r="G914">
        <v>2420</v>
      </c>
      <c r="H914">
        <v>2420</v>
      </c>
      <c r="I914" t="s">
        <v>6268</v>
      </c>
      <c r="J914" t="s">
        <v>6269</v>
      </c>
      <c r="K914" t="s">
        <v>3554</v>
      </c>
      <c r="L914" t="s">
        <v>3555</v>
      </c>
      <c r="M914" t="s">
        <v>6270</v>
      </c>
      <c r="N914" t="s">
        <v>6271</v>
      </c>
      <c r="O914" t="s">
        <v>3558</v>
      </c>
      <c r="P914" t="s">
        <v>6272</v>
      </c>
      <c r="R914" s="7">
        <v>36826</v>
      </c>
      <c r="W914" s="15">
        <v>6.3056111000000001</v>
      </c>
      <c r="X914" s="15">
        <v>-75.515166699999995</v>
      </c>
      <c r="AF914" t="s">
        <v>50</v>
      </c>
      <c r="AG914" t="s">
        <v>402</v>
      </c>
      <c r="AH914" t="s">
        <v>3560</v>
      </c>
      <c r="AI914" t="s">
        <v>6273</v>
      </c>
      <c r="AJ914">
        <v>975</v>
      </c>
    </row>
    <row r="915" spans="1:36">
      <c r="A915" t="s">
        <v>6222</v>
      </c>
      <c r="B915" t="s">
        <v>6223</v>
      </c>
      <c r="C915" t="s">
        <v>6274</v>
      </c>
      <c r="D915" t="s">
        <v>6275</v>
      </c>
      <c r="E915" t="s">
        <v>6276</v>
      </c>
      <c r="F915">
        <v>2500</v>
      </c>
      <c r="G915">
        <v>2500</v>
      </c>
      <c r="H915">
        <v>2500</v>
      </c>
      <c r="I915" t="s">
        <v>4595</v>
      </c>
      <c r="J915" t="s">
        <v>974</v>
      </c>
      <c r="K915" t="s">
        <v>4596</v>
      </c>
      <c r="L915" t="s">
        <v>975</v>
      </c>
      <c r="M915" t="s">
        <v>976</v>
      </c>
      <c r="N915" t="s">
        <v>977</v>
      </c>
      <c r="O915" t="s">
        <v>978</v>
      </c>
      <c r="P915" t="s">
        <v>979</v>
      </c>
      <c r="R915" s="7">
        <v>37667</v>
      </c>
      <c r="T915" t="s">
        <v>901</v>
      </c>
      <c r="W915" s="15">
        <v>6.2133333000000004</v>
      </c>
      <c r="X915" s="15">
        <v>-75.492277799999997</v>
      </c>
      <c r="AF915" t="s">
        <v>50</v>
      </c>
      <c r="AG915" t="s">
        <v>402</v>
      </c>
      <c r="AH915" t="s">
        <v>855</v>
      </c>
      <c r="AI915" t="s">
        <v>6277</v>
      </c>
      <c r="AJ915">
        <v>976</v>
      </c>
    </row>
    <row r="916" spans="1:36">
      <c r="A916" t="s">
        <v>6222</v>
      </c>
      <c r="B916" t="s">
        <v>6223</v>
      </c>
      <c r="C916" t="s">
        <v>6278</v>
      </c>
      <c r="D916" t="s">
        <v>3309</v>
      </c>
      <c r="E916" t="s">
        <v>6279</v>
      </c>
      <c r="F916">
        <v>1815</v>
      </c>
      <c r="G916">
        <v>1815</v>
      </c>
      <c r="H916">
        <v>1815</v>
      </c>
      <c r="I916" t="s">
        <v>6280</v>
      </c>
      <c r="J916" t="s">
        <v>6281</v>
      </c>
      <c r="K916" t="s">
        <v>6282</v>
      </c>
      <c r="L916" t="s">
        <v>6283</v>
      </c>
      <c r="M916" t="s">
        <v>6284</v>
      </c>
      <c r="N916" t="s">
        <v>3314</v>
      </c>
      <c r="O916" t="s">
        <v>3315</v>
      </c>
      <c r="P916" t="s">
        <v>3316</v>
      </c>
      <c r="R916" s="7">
        <v>37891</v>
      </c>
      <c r="T916" t="s">
        <v>119</v>
      </c>
      <c r="W916" s="15">
        <v>6.9876667000000001</v>
      </c>
      <c r="X916" s="15">
        <v>-75.143222199999997</v>
      </c>
      <c r="AF916" t="s">
        <v>50</v>
      </c>
      <c r="AG916" t="s">
        <v>402</v>
      </c>
      <c r="AH916" t="s">
        <v>1186</v>
      </c>
      <c r="AI916" t="s">
        <v>6285</v>
      </c>
      <c r="AJ916">
        <v>977</v>
      </c>
    </row>
    <row r="917" spans="1:36">
      <c r="A917" t="s">
        <v>6222</v>
      </c>
      <c r="B917" t="s">
        <v>6223</v>
      </c>
      <c r="C917" t="s">
        <v>6286</v>
      </c>
      <c r="D917" t="s">
        <v>6287</v>
      </c>
      <c r="E917" t="s">
        <v>6288</v>
      </c>
      <c r="F917">
        <v>2100</v>
      </c>
      <c r="G917">
        <v>2100</v>
      </c>
      <c r="H917">
        <v>2100</v>
      </c>
      <c r="P917" t="s">
        <v>80</v>
      </c>
      <c r="R917" s="7">
        <v>39553</v>
      </c>
      <c r="T917" t="s">
        <v>119</v>
      </c>
      <c r="W917" s="15">
        <v>6.1300999999999997</v>
      </c>
      <c r="X917" s="15">
        <v>-75.414150000000006</v>
      </c>
      <c r="Y917">
        <v>2529.7350000000001</v>
      </c>
      <c r="Z917">
        <v>2117</v>
      </c>
      <c r="AB917" t="s">
        <v>6289</v>
      </c>
      <c r="AF917" t="s">
        <v>50</v>
      </c>
      <c r="AG917" t="s">
        <v>402</v>
      </c>
      <c r="AH917" t="s">
        <v>469</v>
      </c>
      <c r="AI917" t="s">
        <v>6290</v>
      </c>
      <c r="AJ917">
        <v>978</v>
      </c>
    </row>
    <row r="918" spans="1:36">
      <c r="A918" t="s">
        <v>6291</v>
      </c>
      <c r="B918" t="s">
        <v>6292</v>
      </c>
      <c r="C918" t="s">
        <v>6293</v>
      </c>
      <c r="D918" t="s">
        <v>6294</v>
      </c>
      <c r="E918" t="s">
        <v>6295</v>
      </c>
      <c r="F918">
        <v>2225</v>
      </c>
      <c r="G918">
        <v>2225</v>
      </c>
      <c r="H918">
        <v>2225</v>
      </c>
      <c r="I918" t="s">
        <v>6296</v>
      </c>
      <c r="J918" t="s">
        <v>6297</v>
      </c>
      <c r="K918" t="s">
        <v>6298</v>
      </c>
      <c r="L918" t="s">
        <v>6299</v>
      </c>
      <c r="M918" t="s">
        <v>6300</v>
      </c>
      <c r="N918" t="s">
        <v>6301</v>
      </c>
      <c r="O918" t="s">
        <v>6302</v>
      </c>
      <c r="P918" t="s">
        <v>6303</v>
      </c>
      <c r="R918" s="7">
        <v>19434</v>
      </c>
      <c r="W918" s="15">
        <v>1.1691800000000001</v>
      </c>
      <c r="X918" s="15">
        <v>-76.693349999999995</v>
      </c>
      <c r="Y918" t="s">
        <v>6304</v>
      </c>
      <c r="Z918">
        <v>1587</v>
      </c>
      <c r="AF918" t="s">
        <v>50</v>
      </c>
      <c r="AG918" t="s">
        <v>67</v>
      </c>
      <c r="AH918" t="s">
        <v>6305</v>
      </c>
      <c r="AJ918">
        <v>979</v>
      </c>
    </row>
    <row r="919" spans="1:36">
      <c r="A919" t="s">
        <v>6291</v>
      </c>
      <c r="B919" t="s">
        <v>6292</v>
      </c>
      <c r="C919" t="s">
        <v>6306</v>
      </c>
      <c r="D919" t="s">
        <v>6307</v>
      </c>
      <c r="E919" t="s">
        <v>6308</v>
      </c>
      <c r="F919">
        <v>1540</v>
      </c>
      <c r="G919">
        <v>1540</v>
      </c>
      <c r="H919">
        <v>1540</v>
      </c>
      <c r="P919" t="s">
        <v>80</v>
      </c>
      <c r="R919" s="7">
        <v>24828</v>
      </c>
      <c r="T919" t="s">
        <v>111</v>
      </c>
      <c r="W919" s="15">
        <v>4.9695</v>
      </c>
      <c r="X919" s="15">
        <v>-74.393960000000007</v>
      </c>
      <c r="Y919">
        <v>377.488</v>
      </c>
      <c r="Z919">
        <v>1283</v>
      </c>
      <c r="AB919" t="s">
        <v>1589</v>
      </c>
      <c r="AF919" t="s">
        <v>50</v>
      </c>
      <c r="AG919" t="s">
        <v>98</v>
      </c>
      <c r="AH919" t="s">
        <v>6309</v>
      </c>
      <c r="AI919" t="s">
        <v>6310</v>
      </c>
      <c r="AJ919">
        <v>981</v>
      </c>
    </row>
    <row r="920" spans="1:36">
      <c r="A920" t="s">
        <v>6291</v>
      </c>
      <c r="B920" t="s">
        <v>6292</v>
      </c>
      <c r="C920" t="s">
        <v>6311</v>
      </c>
      <c r="D920" t="s">
        <v>6017</v>
      </c>
      <c r="E920" t="s">
        <v>6312</v>
      </c>
      <c r="F920">
        <v>1350</v>
      </c>
      <c r="R920" s="7">
        <v>24761</v>
      </c>
      <c r="W920" s="15">
        <v>5.8185000000000002</v>
      </c>
      <c r="X920" s="15">
        <v>-74.078410000000005</v>
      </c>
      <c r="Y920" t="s">
        <v>6313</v>
      </c>
      <c r="Z920">
        <v>326</v>
      </c>
      <c r="AB920" t="s">
        <v>6314</v>
      </c>
    </row>
    <row r="921" spans="1:36">
      <c r="A921" t="s">
        <v>6291</v>
      </c>
      <c r="B921" t="s">
        <v>6292</v>
      </c>
      <c r="C921" t="s">
        <v>6315</v>
      </c>
      <c r="D921" t="s">
        <v>6017</v>
      </c>
      <c r="E921" t="s">
        <v>6316</v>
      </c>
      <c r="F921">
        <v>506</v>
      </c>
      <c r="I921" t="s">
        <v>6317</v>
      </c>
      <c r="K921" t="s">
        <v>6318</v>
      </c>
      <c r="N921" s="5" t="s">
        <v>6319</v>
      </c>
      <c r="O921" s="5" t="s">
        <v>6320</v>
      </c>
      <c r="P921" t="s">
        <v>6321</v>
      </c>
      <c r="R921" s="7">
        <v>44365</v>
      </c>
      <c r="W921" s="15">
        <v>1.0869599999999999</v>
      </c>
      <c r="X921" s="15">
        <v>-76.632549999999995</v>
      </c>
      <c r="Y921" t="s">
        <v>6322</v>
      </c>
      <c r="Z921">
        <v>535</v>
      </c>
      <c r="AB921" t="s">
        <v>6323</v>
      </c>
    </row>
    <row r="922" spans="1:36">
      <c r="A922" t="s">
        <v>6324</v>
      </c>
      <c r="B922" t="s">
        <v>6325</v>
      </c>
      <c r="C922" t="s">
        <v>6326</v>
      </c>
      <c r="D922" t="s">
        <v>6327</v>
      </c>
      <c r="E922" t="s">
        <v>6328</v>
      </c>
      <c r="F922" t="s">
        <v>605</v>
      </c>
      <c r="G922">
        <v>2340</v>
      </c>
      <c r="H922">
        <v>2430</v>
      </c>
      <c r="I922" t="s">
        <v>6329</v>
      </c>
      <c r="J922" t="s">
        <v>6330</v>
      </c>
      <c r="K922" t="s">
        <v>6331</v>
      </c>
      <c r="L922" t="s">
        <v>6332</v>
      </c>
      <c r="M922" t="s">
        <v>6333</v>
      </c>
      <c r="N922" t="s">
        <v>6334</v>
      </c>
      <c r="O922" t="s">
        <v>6335</v>
      </c>
      <c r="P922" t="s">
        <v>6336</v>
      </c>
      <c r="R922" s="7">
        <v>31963</v>
      </c>
      <c r="T922" t="s">
        <v>119</v>
      </c>
      <c r="W922" s="15">
        <v>5.9228800000000001</v>
      </c>
      <c r="X922" s="15">
        <v>-75.303579999999997</v>
      </c>
      <c r="Y922">
        <v>2835.0059999999999</v>
      </c>
      <c r="Z922">
        <v>2431</v>
      </c>
      <c r="AB922" t="s">
        <v>613</v>
      </c>
      <c r="AF922" t="s">
        <v>50</v>
      </c>
      <c r="AG922" t="s">
        <v>402</v>
      </c>
      <c r="AH922" t="s">
        <v>614</v>
      </c>
      <c r="AI922" t="s">
        <v>6337</v>
      </c>
      <c r="AJ922">
        <v>983</v>
      </c>
    </row>
    <row r="923" spans="1:36">
      <c r="A923" t="s">
        <v>6324</v>
      </c>
      <c r="B923" t="s">
        <v>6325</v>
      </c>
      <c r="C923" t="s">
        <v>6338</v>
      </c>
      <c r="D923" t="s">
        <v>6339</v>
      </c>
      <c r="E923" t="s">
        <v>6340</v>
      </c>
      <c r="F923" t="s">
        <v>6341</v>
      </c>
      <c r="G923">
        <v>3000</v>
      </c>
      <c r="H923">
        <v>3240</v>
      </c>
      <c r="I923" t="s">
        <v>6342</v>
      </c>
      <c r="J923" t="s">
        <v>6343</v>
      </c>
      <c r="K923" t="s">
        <v>6344</v>
      </c>
      <c r="L923" t="s">
        <v>6345</v>
      </c>
      <c r="M923" t="s">
        <v>6346</v>
      </c>
      <c r="N923" t="s">
        <v>6347</v>
      </c>
      <c r="O923" t="s">
        <v>6348</v>
      </c>
      <c r="P923" t="s">
        <v>6349</v>
      </c>
      <c r="R923" s="7">
        <v>33298</v>
      </c>
      <c r="T923" t="s">
        <v>111</v>
      </c>
      <c r="W923" s="15">
        <v>6.6259721999999996</v>
      </c>
      <c r="X923" s="15">
        <v>-75.666666699999993</v>
      </c>
      <c r="AF923" t="s">
        <v>50</v>
      </c>
      <c r="AG923" t="s">
        <v>402</v>
      </c>
      <c r="AH923" t="s">
        <v>1710</v>
      </c>
      <c r="AI923" t="s">
        <v>6350</v>
      </c>
      <c r="AJ923">
        <v>984</v>
      </c>
    </row>
    <row r="924" spans="1:36">
      <c r="A924" t="s">
        <v>6324</v>
      </c>
      <c r="B924" t="s">
        <v>6325</v>
      </c>
      <c r="C924" t="s">
        <v>6351</v>
      </c>
      <c r="D924" t="s">
        <v>6352</v>
      </c>
      <c r="E924" t="s">
        <v>6353</v>
      </c>
      <c r="F924">
        <v>2500</v>
      </c>
      <c r="G924">
        <v>2500</v>
      </c>
      <c r="H924">
        <v>2500</v>
      </c>
      <c r="I924" t="s">
        <v>6354</v>
      </c>
      <c r="J924" t="s">
        <v>6355</v>
      </c>
      <c r="K924" t="s">
        <v>6356</v>
      </c>
      <c r="L924" t="s">
        <v>6357</v>
      </c>
      <c r="M924" t="s">
        <v>6358</v>
      </c>
      <c r="N924" t="s">
        <v>2474</v>
      </c>
      <c r="O924" t="s">
        <v>2475</v>
      </c>
      <c r="P924" t="s">
        <v>2476</v>
      </c>
      <c r="R924" s="7">
        <v>36491</v>
      </c>
      <c r="T924" t="s">
        <v>111</v>
      </c>
      <c r="W924" s="15">
        <v>5.85</v>
      </c>
      <c r="X924" s="15">
        <v>-75.366666699999996</v>
      </c>
      <c r="AF924" t="s">
        <v>50</v>
      </c>
      <c r="AG924" t="s">
        <v>402</v>
      </c>
      <c r="AH924" t="s">
        <v>2477</v>
      </c>
      <c r="AI924" t="s">
        <v>6359</v>
      </c>
      <c r="AJ924">
        <v>985</v>
      </c>
    </row>
    <row r="925" spans="1:36">
      <c r="A925" t="s">
        <v>6324</v>
      </c>
      <c r="B925" t="s">
        <v>6325</v>
      </c>
      <c r="C925" t="s">
        <v>6360</v>
      </c>
      <c r="D925" t="s">
        <v>6361</v>
      </c>
      <c r="E925" t="s">
        <v>6362</v>
      </c>
      <c r="F925">
        <v>3300</v>
      </c>
      <c r="G925">
        <v>3300</v>
      </c>
      <c r="H925">
        <v>3300</v>
      </c>
      <c r="I925" t="s">
        <v>1702</v>
      </c>
      <c r="J925" t="s">
        <v>1703</v>
      </c>
      <c r="K925" t="s">
        <v>1704</v>
      </c>
      <c r="L925" t="s">
        <v>1705</v>
      </c>
      <c r="M925" t="s">
        <v>1706</v>
      </c>
      <c r="N925" t="s">
        <v>1707</v>
      </c>
      <c r="O925" t="s">
        <v>1708</v>
      </c>
      <c r="P925" t="s">
        <v>1709</v>
      </c>
      <c r="R925" s="7">
        <v>37404</v>
      </c>
      <c r="T925" t="s">
        <v>119</v>
      </c>
      <c r="W925" s="15">
        <v>6.6858611000000003</v>
      </c>
      <c r="X925" s="15">
        <v>-75.674888899999999</v>
      </c>
      <c r="AF925" t="s">
        <v>50</v>
      </c>
      <c r="AG925" t="s">
        <v>402</v>
      </c>
      <c r="AH925" t="s">
        <v>1710</v>
      </c>
      <c r="AI925" t="s">
        <v>6363</v>
      </c>
      <c r="AJ925">
        <v>986</v>
      </c>
    </row>
    <row r="926" spans="1:36">
      <c r="A926" t="s">
        <v>6324</v>
      </c>
      <c r="B926" t="s">
        <v>6325</v>
      </c>
      <c r="C926" t="s">
        <v>6360</v>
      </c>
      <c r="D926" t="s">
        <v>6364</v>
      </c>
      <c r="E926" t="s">
        <v>6362</v>
      </c>
      <c r="F926">
        <v>3300</v>
      </c>
      <c r="G926">
        <v>3300</v>
      </c>
      <c r="H926">
        <v>3300</v>
      </c>
      <c r="I926" t="s">
        <v>1702</v>
      </c>
      <c r="J926" t="s">
        <v>1703</v>
      </c>
      <c r="K926" t="s">
        <v>1704</v>
      </c>
      <c r="L926" t="s">
        <v>1705</v>
      </c>
      <c r="M926" t="s">
        <v>1706</v>
      </c>
      <c r="N926" t="s">
        <v>1707</v>
      </c>
      <c r="O926" t="s">
        <v>1708</v>
      </c>
      <c r="P926" t="s">
        <v>1709</v>
      </c>
      <c r="R926" s="7">
        <v>37404</v>
      </c>
      <c r="T926" t="s">
        <v>119</v>
      </c>
      <c r="W926" s="15">
        <v>6.6858611000000003</v>
      </c>
      <c r="X926" s="15">
        <v>-75.674888899999999</v>
      </c>
      <c r="AF926" t="s">
        <v>50</v>
      </c>
      <c r="AG926" t="s">
        <v>402</v>
      </c>
      <c r="AH926" t="s">
        <v>1710</v>
      </c>
      <c r="AI926" t="s">
        <v>6363</v>
      </c>
      <c r="AJ926">
        <v>987</v>
      </c>
    </row>
    <row r="927" spans="1:36">
      <c r="A927" t="s">
        <v>6324</v>
      </c>
      <c r="B927" t="s">
        <v>6325</v>
      </c>
      <c r="C927" t="s">
        <v>6365</v>
      </c>
      <c r="D927" t="s">
        <v>6366</v>
      </c>
      <c r="E927" t="s">
        <v>6367</v>
      </c>
      <c r="F927">
        <v>3050</v>
      </c>
      <c r="G927">
        <v>3050</v>
      </c>
      <c r="H927">
        <v>3050</v>
      </c>
      <c r="I927" t="s">
        <v>6368</v>
      </c>
      <c r="J927" t="s">
        <v>6369</v>
      </c>
      <c r="K927" t="s">
        <v>6370</v>
      </c>
      <c r="L927" t="s">
        <v>6371</v>
      </c>
      <c r="M927" t="s">
        <v>6372</v>
      </c>
      <c r="N927" t="s">
        <v>6373</v>
      </c>
      <c r="O927" t="s">
        <v>6374</v>
      </c>
      <c r="P927" t="s">
        <v>6375</v>
      </c>
      <c r="R927" s="7">
        <v>37426</v>
      </c>
      <c r="T927" t="s">
        <v>119</v>
      </c>
      <c r="W927" s="15">
        <v>6.6928333000000002</v>
      </c>
      <c r="X927" s="15">
        <v>-75.696722199999996</v>
      </c>
      <c r="AF927" t="s">
        <v>50</v>
      </c>
      <c r="AG927" t="s">
        <v>402</v>
      </c>
      <c r="AH927" t="s">
        <v>1710</v>
      </c>
      <c r="AI927" t="s">
        <v>6376</v>
      </c>
      <c r="AJ927">
        <v>989</v>
      </c>
    </row>
    <row r="928" spans="1:36">
      <c r="A928" t="s">
        <v>6324</v>
      </c>
      <c r="B928" t="s">
        <v>6325</v>
      </c>
      <c r="C928" t="s">
        <v>6377</v>
      </c>
      <c r="D928" t="s">
        <v>6378</v>
      </c>
      <c r="E928" t="s">
        <v>6379</v>
      </c>
      <c r="F928">
        <v>3100</v>
      </c>
      <c r="G928">
        <v>3100</v>
      </c>
      <c r="H928">
        <v>3100</v>
      </c>
      <c r="I928" t="s">
        <v>1716</v>
      </c>
      <c r="J928" t="s">
        <v>1717</v>
      </c>
      <c r="K928" t="s">
        <v>1718</v>
      </c>
      <c r="L928" t="s">
        <v>1719</v>
      </c>
      <c r="M928" t="s">
        <v>1720</v>
      </c>
      <c r="N928" t="s">
        <v>1721</v>
      </c>
      <c r="O928" t="s">
        <v>1722</v>
      </c>
      <c r="P928" t="s">
        <v>1723</v>
      </c>
      <c r="R928" s="7">
        <v>37430</v>
      </c>
      <c r="T928" t="s">
        <v>119</v>
      </c>
      <c r="W928" s="15">
        <v>6.7717499999999999</v>
      </c>
      <c r="X928" s="15">
        <v>-75.694694400000003</v>
      </c>
      <c r="AF928" t="s">
        <v>50</v>
      </c>
      <c r="AG928" t="s">
        <v>402</v>
      </c>
      <c r="AH928" t="s">
        <v>6380</v>
      </c>
      <c r="AI928" t="s">
        <v>6381</v>
      </c>
      <c r="AJ928">
        <v>990</v>
      </c>
    </row>
    <row r="929" spans="1:36">
      <c r="A929" t="s">
        <v>6324</v>
      </c>
      <c r="B929" t="s">
        <v>6325</v>
      </c>
      <c r="C929" t="s">
        <v>6377</v>
      </c>
      <c r="D929" t="s">
        <v>6382</v>
      </c>
      <c r="E929" t="s">
        <v>6379</v>
      </c>
      <c r="F929">
        <v>3110</v>
      </c>
      <c r="G929">
        <v>3110</v>
      </c>
      <c r="H929">
        <v>3110</v>
      </c>
      <c r="I929" t="s">
        <v>1716</v>
      </c>
      <c r="J929" t="s">
        <v>1717</v>
      </c>
      <c r="K929" t="s">
        <v>1718</v>
      </c>
      <c r="L929" t="s">
        <v>1719</v>
      </c>
      <c r="M929" t="s">
        <v>1720</v>
      </c>
      <c r="N929" t="s">
        <v>1721</v>
      </c>
      <c r="O929" t="s">
        <v>1722</v>
      </c>
      <c r="P929" t="s">
        <v>1723</v>
      </c>
      <c r="R929" s="7">
        <v>37430</v>
      </c>
      <c r="T929" t="s">
        <v>119</v>
      </c>
      <c r="W929" s="15">
        <v>6.7717499999999999</v>
      </c>
      <c r="X929" s="15">
        <v>-75.694694400000003</v>
      </c>
      <c r="AF929" t="s">
        <v>50</v>
      </c>
      <c r="AG929" t="s">
        <v>402</v>
      </c>
      <c r="AH929" t="s">
        <v>6380</v>
      </c>
      <c r="AI929" t="s">
        <v>6381</v>
      </c>
      <c r="AJ929">
        <v>991</v>
      </c>
    </row>
    <row r="930" spans="1:36">
      <c r="A930" t="s">
        <v>6324</v>
      </c>
      <c r="B930" t="s">
        <v>6325</v>
      </c>
      <c r="C930" t="s">
        <v>6383</v>
      </c>
      <c r="D930" t="s">
        <v>6384</v>
      </c>
      <c r="E930" t="s">
        <v>6385</v>
      </c>
      <c r="F930">
        <v>3050</v>
      </c>
      <c r="G930">
        <v>3050</v>
      </c>
      <c r="H930">
        <v>3050</v>
      </c>
      <c r="I930" t="s">
        <v>6342</v>
      </c>
      <c r="J930" t="s">
        <v>6343</v>
      </c>
      <c r="K930" t="s">
        <v>6386</v>
      </c>
      <c r="L930" t="s">
        <v>6387</v>
      </c>
      <c r="M930" t="s">
        <v>6388</v>
      </c>
      <c r="N930" t="s">
        <v>6347</v>
      </c>
      <c r="O930" t="s">
        <v>6389</v>
      </c>
      <c r="P930" t="s">
        <v>6390</v>
      </c>
      <c r="R930" s="7">
        <v>37440</v>
      </c>
      <c r="T930" t="s">
        <v>119</v>
      </c>
      <c r="W930" s="15">
        <v>6.6259721999999996</v>
      </c>
      <c r="X930" s="15">
        <v>-75.656722200000004</v>
      </c>
      <c r="AF930" t="s">
        <v>50</v>
      </c>
      <c r="AG930" t="s">
        <v>402</v>
      </c>
      <c r="AH930" t="s">
        <v>1710</v>
      </c>
      <c r="AI930" t="s">
        <v>6391</v>
      </c>
      <c r="AJ930">
        <v>992</v>
      </c>
    </row>
    <row r="931" spans="1:36">
      <c r="A931" t="s">
        <v>6324</v>
      </c>
      <c r="B931" t="s">
        <v>6325</v>
      </c>
      <c r="C931" t="s">
        <v>6383</v>
      </c>
      <c r="D931" t="s">
        <v>6392</v>
      </c>
      <c r="E931" t="s">
        <v>6385</v>
      </c>
      <c r="F931">
        <v>3050</v>
      </c>
      <c r="G931">
        <v>3050</v>
      </c>
      <c r="H931">
        <v>3050</v>
      </c>
      <c r="I931" t="s">
        <v>6342</v>
      </c>
      <c r="J931" t="s">
        <v>6343</v>
      </c>
      <c r="K931" t="s">
        <v>6386</v>
      </c>
      <c r="L931" t="s">
        <v>6387</v>
      </c>
      <c r="M931" t="s">
        <v>6388</v>
      </c>
      <c r="N931" t="s">
        <v>6347</v>
      </c>
      <c r="O931" t="s">
        <v>6389</v>
      </c>
      <c r="P931" t="s">
        <v>6390</v>
      </c>
      <c r="R931" s="7">
        <v>37440</v>
      </c>
      <c r="T931" t="s">
        <v>119</v>
      </c>
      <c r="W931" s="15">
        <v>6.6259721999999996</v>
      </c>
      <c r="X931" s="15">
        <v>-75.656722200000004</v>
      </c>
      <c r="AF931" t="s">
        <v>50</v>
      </c>
      <c r="AG931" t="s">
        <v>402</v>
      </c>
      <c r="AH931" t="s">
        <v>1710</v>
      </c>
      <c r="AI931" t="s">
        <v>6391</v>
      </c>
      <c r="AJ931">
        <v>993</v>
      </c>
    </row>
    <row r="932" spans="1:36">
      <c r="A932" t="s">
        <v>6324</v>
      </c>
      <c r="B932" t="s">
        <v>6325</v>
      </c>
      <c r="C932" t="s">
        <v>6383</v>
      </c>
      <c r="D932" t="s">
        <v>6393</v>
      </c>
      <c r="E932" t="s">
        <v>6385</v>
      </c>
      <c r="F932">
        <v>3040</v>
      </c>
      <c r="G932">
        <v>3040</v>
      </c>
      <c r="H932">
        <v>3040</v>
      </c>
      <c r="I932" t="s">
        <v>6342</v>
      </c>
      <c r="J932" t="s">
        <v>6343</v>
      </c>
      <c r="K932" t="s">
        <v>6386</v>
      </c>
      <c r="L932" t="s">
        <v>6387</v>
      </c>
      <c r="M932" t="s">
        <v>6388</v>
      </c>
      <c r="N932" t="s">
        <v>6347</v>
      </c>
      <c r="O932" t="s">
        <v>6389</v>
      </c>
      <c r="P932" t="s">
        <v>6390</v>
      </c>
      <c r="R932" s="7">
        <v>37440</v>
      </c>
      <c r="T932" t="s">
        <v>119</v>
      </c>
      <c r="W932" s="15">
        <v>6.6259721999999996</v>
      </c>
      <c r="X932" s="15">
        <v>-75.656722200000004</v>
      </c>
      <c r="AF932" t="s">
        <v>50</v>
      </c>
      <c r="AG932" t="s">
        <v>402</v>
      </c>
      <c r="AH932" t="s">
        <v>1710</v>
      </c>
      <c r="AI932" t="s">
        <v>6391</v>
      </c>
      <c r="AJ932">
        <v>994</v>
      </c>
    </row>
    <row r="933" spans="1:36">
      <c r="A933" t="s">
        <v>6324</v>
      </c>
      <c r="B933" t="s">
        <v>6325</v>
      </c>
      <c r="C933" t="s">
        <v>6394</v>
      </c>
      <c r="D933" t="s">
        <v>6395</v>
      </c>
      <c r="E933" t="s">
        <v>6396</v>
      </c>
      <c r="F933">
        <v>1800</v>
      </c>
      <c r="G933">
        <v>1800</v>
      </c>
      <c r="H933">
        <v>1800</v>
      </c>
      <c r="I933" t="s">
        <v>6397</v>
      </c>
      <c r="J933" t="s">
        <v>6398</v>
      </c>
      <c r="K933" t="s">
        <v>6399</v>
      </c>
      <c r="L933" t="s">
        <v>6400</v>
      </c>
      <c r="M933" t="s">
        <v>6401</v>
      </c>
      <c r="N933" t="s">
        <v>6402</v>
      </c>
      <c r="O933" t="s">
        <v>6403</v>
      </c>
      <c r="P933" t="s">
        <v>6404</v>
      </c>
      <c r="R933" s="7">
        <v>37931</v>
      </c>
      <c r="T933" t="s">
        <v>119</v>
      </c>
      <c r="W933" s="15">
        <v>6.8886111000000003</v>
      </c>
      <c r="X933" s="15">
        <v>-75.355555600000002</v>
      </c>
      <c r="AF933" t="s">
        <v>50</v>
      </c>
      <c r="AG933" t="s">
        <v>402</v>
      </c>
      <c r="AH933" t="s">
        <v>6405</v>
      </c>
      <c r="AI933" t="s">
        <v>6406</v>
      </c>
      <c r="AJ933">
        <v>995</v>
      </c>
    </row>
    <row r="934" spans="1:36">
      <c r="A934" t="s">
        <v>6324</v>
      </c>
      <c r="B934" t="s">
        <v>6325</v>
      </c>
      <c r="C934" t="s">
        <v>6407</v>
      </c>
      <c r="D934" t="s">
        <v>6408</v>
      </c>
      <c r="E934" t="s">
        <v>6409</v>
      </c>
      <c r="F934" t="s">
        <v>6410</v>
      </c>
      <c r="G934">
        <v>2580</v>
      </c>
      <c r="H934">
        <v>2650</v>
      </c>
      <c r="I934" t="s">
        <v>6411</v>
      </c>
      <c r="J934" t="s">
        <v>6412</v>
      </c>
      <c r="K934" t="s">
        <v>6413</v>
      </c>
      <c r="L934" t="s">
        <v>6414</v>
      </c>
      <c r="M934" t="s">
        <v>6415</v>
      </c>
      <c r="N934" t="s">
        <v>6416</v>
      </c>
      <c r="O934" t="s">
        <v>6417</v>
      </c>
      <c r="P934" t="s">
        <v>6418</v>
      </c>
      <c r="R934" s="7">
        <v>38691</v>
      </c>
      <c r="T934" t="s">
        <v>119</v>
      </c>
      <c r="W934" s="15">
        <v>6.2536110999999996</v>
      </c>
      <c r="X934" s="15">
        <v>-75.669444400000003</v>
      </c>
      <c r="AF934" t="s">
        <v>50</v>
      </c>
      <c r="AG934" t="s">
        <v>402</v>
      </c>
      <c r="AH934" t="s">
        <v>855</v>
      </c>
      <c r="AI934" t="s">
        <v>6419</v>
      </c>
      <c r="AJ934">
        <v>996</v>
      </c>
    </row>
    <row r="935" spans="1:36">
      <c r="A935" t="s">
        <v>6324</v>
      </c>
      <c r="B935" t="s">
        <v>6325</v>
      </c>
      <c r="C935" t="s">
        <v>6420</v>
      </c>
      <c r="D935" t="s">
        <v>1529</v>
      </c>
      <c r="E935" t="s">
        <v>5825</v>
      </c>
      <c r="F935">
        <v>2839</v>
      </c>
      <c r="G935">
        <v>2839</v>
      </c>
      <c r="H935">
        <v>2839</v>
      </c>
      <c r="I935" t="s">
        <v>6421</v>
      </c>
      <c r="J935" t="s">
        <v>6422</v>
      </c>
      <c r="K935" t="s">
        <v>5828</v>
      </c>
      <c r="L935" t="s">
        <v>5829</v>
      </c>
      <c r="M935" t="s">
        <v>6423</v>
      </c>
      <c r="P935" t="s">
        <v>80</v>
      </c>
      <c r="R935" s="7">
        <v>40948</v>
      </c>
      <c r="T935" t="s">
        <v>119</v>
      </c>
      <c r="W935" s="15">
        <v>6.6219666669999997</v>
      </c>
      <c r="X935" s="15">
        <v>-75.644949999999994</v>
      </c>
      <c r="AF935" t="s">
        <v>50</v>
      </c>
      <c r="AG935" t="s">
        <v>402</v>
      </c>
      <c r="AH935" t="s">
        <v>1710</v>
      </c>
      <c r="AI935" t="s">
        <v>5831</v>
      </c>
      <c r="AJ935">
        <v>997</v>
      </c>
    </row>
    <row r="936" spans="1:36">
      <c r="A936" t="s">
        <v>6324</v>
      </c>
      <c r="B936" t="s">
        <v>6325</v>
      </c>
      <c r="C936" t="s">
        <v>6424</v>
      </c>
      <c r="D936" t="s">
        <v>6425</v>
      </c>
      <c r="E936" t="s">
        <v>6426</v>
      </c>
      <c r="F936">
        <v>1810</v>
      </c>
      <c r="G936">
        <v>1810</v>
      </c>
      <c r="H936">
        <v>1810</v>
      </c>
      <c r="P936" t="s">
        <v>80</v>
      </c>
      <c r="R936" s="7">
        <v>37930</v>
      </c>
      <c r="T936" t="s">
        <v>119</v>
      </c>
      <c r="W936" s="15">
        <v>4.8548900000000001</v>
      </c>
      <c r="X936" s="15">
        <v>-73.300460000000001</v>
      </c>
      <c r="Y936">
        <v>5085.902</v>
      </c>
      <c r="Z936">
        <v>1933</v>
      </c>
      <c r="AB936" t="s">
        <v>6427</v>
      </c>
      <c r="AF936" t="s">
        <v>50</v>
      </c>
      <c r="AG936" t="s">
        <v>90</v>
      </c>
      <c r="AH936" t="s">
        <v>6428</v>
      </c>
      <c r="AI936" t="s">
        <v>6429</v>
      </c>
      <c r="AJ936">
        <v>999</v>
      </c>
    </row>
    <row r="937" spans="1:36">
      <c r="A937" t="s">
        <v>6324</v>
      </c>
      <c r="B937" t="s">
        <v>6325</v>
      </c>
      <c r="C937" t="s">
        <v>6430</v>
      </c>
      <c r="D937" t="s">
        <v>1060</v>
      </c>
      <c r="E937" t="s">
        <v>6431</v>
      </c>
      <c r="F937">
        <v>2697</v>
      </c>
      <c r="G937">
        <v>2697</v>
      </c>
      <c r="H937">
        <v>2697</v>
      </c>
      <c r="I937" t="s">
        <v>572</v>
      </c>
      <c r="J937" t="s">
        <v>573</v>
      </c>
      <c r="K937" t="s">
        <v>574</v>
      </c>
      <c r="L937" t="s">
        <v>575</v>
      </c>
      <c r="M937" t="s">
        <v>576</v>
      </c>
      <c r="N937" t="s">
        <v>577</v>
      </c>
      <c r="O937" t="s">
        <v>578</v>
      </c>
      <c r="P937" t="s">
        <v>579</v>
      </c>
      <c r="R937" s="7">
        <v>38057</v>
      </c>
      <c r="T937" t="s">
        <v>119</v>
      </c>
      <c r="W937" s="15">
        <v>5.0671333000000001</v>
      </c>
      <c r="X937" s="15">
        <v>-75.518288900000002</v>
      </c>
      <c r="AF937" t="s">
        <v>50</v>
      </c>
      <c r="AG937" t="s">
        <v>167</v>
      </c>
      <c r="AH937" t="s">
        <v>168</v>
      </c>
      <c r="AI937" t="s">
        <v>6432</v>
      </c>
      <c r="AJ937">
        <v>1000</v>
      </c>
    </row>
    <row r="938" spans="1:36">
      <c r="A938" t="s">
        <v>6324</v>
      </c>
      <c r="B938" t="s">
        <v>6325</v>
      </c>
      <c r="C938" t="s">
        <v>6433</v>
      </c>
      <c r="D938" t="s">
        <v>1060</v>
      </c>
      <c r="E938" t="s">
        <v>6434</v>
      </c>
      <c r="F938" t="s">
        <v>1445</v>
      </c>
      <c r="G938">
        <v>2700</v>
      </c>
      <c r="H938">
        <v>2800</v>
      </c>
      <c r="I938" t="s">
        <v>708</v>
      </c>
      <c r="J938" t="s">
        <v>709</v>
      </c>
      <c r="K938" t="s">
        <v>6435</v>
      </c>
      <c r="L938" t="s">
        <v>6436</v>
      </c>
      <c r="M938" t="s">
        <v>6437</v>
      </c>
      <c r="N938" t="s">
        <v>713</v>
      </c>
      <c r="O938" t="s">
        <v>2354</v>
      </c>
      <c r="P938" t="s">
        <v>6438</v>
      </c>
      <c r="R938" s="7">
        <v>39516</v>
      </c>
      <c r="T938" t="s">
        <v>119</v>
      </c>
      <c r="W938" s="15">
        <v>5.3832899999999997</v>
      </c>
      <c r="X938" s="15">
        <v>-75.353309999999993</v>
      </c>
      <c r="Y938">
        <v>1469.046</v>
      </c>
      <c r="Z938">
        <v>2946</v>
      </c>
      <c r="AB938" t="s">
        <v>1822</v>
      </c>
      <c r="AF938" t="s">
        <v>50</v>
      </c>
      <c r="AG938" t="s">
        <v>167</v>
      </c>
      <c r="AH938" t="s">
        <v>1823</v>
      </c>
      <c r="AI938" t="s">
        <v>6439</v>
      </c>
      <c r="AJ938">
        <v>1001</v>
      </c>
    </row>
    <row r="939" spans="1:36">
      <c r="A939" t="s">
        <v>6324</v>
      </c>
      <c r="B939" t="s">
        <v>6325</v>
      </c>
      <c r="C939" t="s">
        <v>6440</v>
      </c>
      <c r="D939" t="s">
        <v>1060</v>
      </c>
      <c r="E939" t="s">
        <v>6434</v>
      </c>
      <c r="F939">
        <v>3000</v>
      </c>
      <c r="G939">
        <v>3000</v>
      </c>
      <c r="H939">
        <v>3000</v>
      </c>
      <c r="P939" t="s">
        <v>80</v>
      </c>
      <c r="R939" s="7">
        <v>39693</v>
      </c>
      <c r="T939" t="s">
        <v>119</v>
      </c>
      <c r="W939" s="15">
        <v>5.3832899999999997</v>
      </c>
      <c r="X939" s="15">
        <v>-75.353309999999993</v>
      </c>
      <c r="Y939">
        <v>1469.046</v>
      </c>
      <c r="Z939">
        <v>2946</v>
      </c>
      <c r="AB939" t="s">
        <v>1822</v>
      </c>
      <c r="AF939" t="s">
        <v>50</v>
      </c>
      <c r="AG939" t="s">
        <v>167</v>
      </c>
      <c r="AH939" t="s">
        <v>1823</v>
      </c>
      <c r="AI939" t="s">
        <v>6439</v>
      </c>
      <c r="AJ939">
        <v>1002</v>
      </c>
    </row>
    <row r="940" spans="1:36">
      <c r="A940" t="s">
        <v>6324</v>
      </c>
      <c r="B940" t="s">
        <v>6325</v>
      </c>
      <c r="C940" t="s">
        <v>6441</v>
      </c>
      <c r="D940" t="s">
        <v>1529</v>
      </c>
      <c r="E940" t="s">
        <v>6434</v>
      </c>
      <c r="F940">
        <v>3000</v>
      </c>
      <c r="G940">
        <v>3000</v>
      </c>
      <c r="H940">
        <v>3000</v>
      </c>
      <c r="P940" t="s">
        <v>80</v>
      </c>
      <c r="R940" s="7">
        <v>39693</v>
      </c>
      <c r="T940" t="s">
        <v>119</v>
      </c>
      <c r="W940" s="15">
        <v>5.3832899999999997</v>
      </c>
      <c r="X940" s="15">
        <v>-75.353309999999993</v>
      </c>
      <c r="Y940">
        <v>1469.046</v>
      </c>
      <c r="Z940">
        <v>2946</v>
      </c>
      <c r="AB940" t="s">
        <v>1822</v>
      </c>
      <c r="AF940" t="s">
        <v>50</v>
      </c>
      <c r="AG940" t="s">
        <v>167</v>
      </c>
      <c r="AH940" t="s">
        <v>1823</v>
      </c>
      <c r="AI940" t="s">
        <v>6439</v>
      </c>
      <c r="AJ940">
        <v>1003</v>
      </c>
    </row>
    <row r="941" spans="1:36">
      <c r="A941" t="s">
        <v>6324</v>
      </c>
      <c r="B941" t="s">
        <v>6325</v>
      </c>
      <c r="C941" t="s">
        <v>6442</v>
      </c>
      <c r="D941" t="s">
        <v>6443</v>
      </c>
      <c r="E941" t="s">
        <v>6434</v>
      </c>
      <c r="F941" t="s">
        <v>1445</v>
      </c>
      <c r="G941">
        <v>2700</v>
      </c>
      <c r="H941">
        <v>2800</v>
      </c>
      <c r="P941" t="s">
        <v>80</v>
      </c>
      <c r="R941" s="7">
        <v>39694</v>
      </c>
      <c r="T941" t="s">
        <v>119</v>
      </c>
      <c r="W941" s="15">
        <v>5.3832899999999997</v>
      </c>
      <c r="X941" s="15">
        <v>-75.353309999999993</v>
      </c>
      <c r="Y941">
        <v>1469.046</v>
      </c>
      <c r="Z941">
        <v>2946</v>
      </c>
      <c r="AB941" t="s">
        <v>1822</v>
      </c>
      <c r="AF941" t="s">
        <v>50</v>
      </c>
      <c r="AG941" t="s">
        <v>167</v>
      </c>
      <c r="AH941" t="s">
        <v>1823</v>
      </c>
      <c r="AI941" t="s">
        <v>6439</v>
      </c>
      <c r="AJ941">
        <v>1004</v>
      </c>
    </row>
    <row r="942" spans="1:36">
      <c r="A942" t="s">
        <v>6324</v>
      </c>
      <c r="B942" t="s">
        <v>6325</v>
      </c>
      <c r="C942" t="s">
        <v>6444</v>
      </c>
      <c r="D942" t="s">
        <v>1060</v>
      </c>
      <c r="E942" t="s">
        <v>6445</v>
      </c>
      <c r="F942">
        <v>2945</v>
      </c>
      <c r="G942">
        <v>2945</v>
      </c>
      <c r="H942">
        <v>2945</v>
      </c>
      <c r="I942" t="s">
        <v>6446</v>
      </c>
      <c r="J942" t="s">
        <v>6447</v>
      </c>
      <c r="K942" t="s">
        <v>6448</v>
      </c>
      <c r="L942" t="s">
        <v>6449</v>
      </c>
      <c r="M942" t="s">
        <v>6450</v>
      </c>
      <c r="N942" t="s">
        <v>6451</v>
      </c>
      <c r="O942" t="s">
        <v>6452</v>
      </c>
      <c r="P942" t="s">
        <v>6453</v>
      </c>
      <c r="R942" s="7">
        <v>40053</v>
      </c>
      <c r="T942" t="s">
        <v>119</v>
      </c>
      <c r="W942" s="15">
        <v>5.3832899999999997</v>
      </c>
      <c r="X942" s="15">
        <v>-75.353309999999993</v>
      </c>
      <c r="Y942">
        <v>1469.046</v>
      </c>
      <c r="Z942">
        <v>2946</v>
      </c>
      <c r="AB942" t="s">
        <v>1822</v>
      </c>
      <c r="AF942" t="s">
        <v>50</v>
      </c>
      <c r="AG942" t="s">
        <v>167</v>
      </c>
      <c r="AH942" t="s">
        <v>1823</v>
      </c>
      <c r="AI942" t="s">
        <v>6454</v>
      </c>
      <c r="AJ942">
        <v>1005</v>
      </c>
    </row>
    <row r="943" spans="1:36">
      <c r="A943" t="s">
        <v>6324</v>
      </c>
      <c r="B943" t="s">
        <v>6325</v>
      </c>
      <c r="C943" t="s">
        <v>6455</v>
      </c>
      <c r="D943" t="s">
        <v>1820</v>
      </c>
      <c r="E943" t="s">
        <v>6456</v>
      </c>
      <c r="F943">
        <v>3227</v>
      </c>
      <c r="G943">
        <v>3227</v>
      </c>
      <c r="H943">
        <v>3227</v>
      </c>
      <c r="P943" t="s">
        <v>80</v>
      </c>
      <c r="R943" s="7">
        <v>40602</v>
      </c>
      <c r="T943" t="s">
        <v>119</v>
      </c>
      <c r="W943" s="15">
        <v>5.3704499999999999</v>
      </c>
      <c r="X943" s="15">
        <v>-75.385949999999994</v>
      </c>
      <c r="Y943">
        <v>5096.4889999999996</v>
      </c>
      <c r="Z943">
        <v>2888</v>
      </c>
      <c r="AB943" t="s">
        <v>1844</v>
      </c>
      <c r="AF943" t="s">
        <v>50</v>
      </c>
      <c r="AG943" t="s">
        <v>167</v>
      </c>
      <c r="AH943" t="s">
        <v>1823</v>
      </c>
      <c r="AI943" t="s">
        <v>6457</v>
      </c>
      <c r="AJ943">
        <v>1006</v>
      </c>
    </row>
    <row r="944" spans="1:36">
      <c r="A944" t="s">
        <v>6324</v>
      </c>
      <c r="B944" t="s">
        <v>6325</v>
      </c>
      <c r="C944" t="s">
        <v>6458</v>
      </c>
      <c r="D944" t="s">
        <v>6459</v>
      </c>
      <c r="E944" t="s">
        <v>6460</v>
      </c>
      <c r="F944" t="s">
        <v>6461</v>
      </c>
      <c r="G944">
        <v>3200</v>
      </c>
      <c r="H944">
        <v>3510</v>
      </c>
      <c r="I944" t="s">
        <v>6462</v>
      </c>
      <c r="J944" t="s">
        <v>6463</v>
      </c>
      <c r="K944" t="s">
        <v>6464</v>
      </c>
      <c r="L944" t="s">
        <v>6465</v>
      </c>
      <c r="M944" t="s">
        <v>6466</v>
      </c>
      <c r="N944" t="s">
        <v>6467</v>
      </c>
      <c r="O944" t="s">
        <v>6468</v>
      </c>
      <c r="P944" t="s">
        <v>6469</v>
      </c>
      <c r="R944" s="7">
        <v>21496</v>
      </c>
      <c r="T944" t="s">
        <v>119</v>
      </c>
      <c r="W944" s="15">
        <v>2.2902722</v>
      </c>
      <c r="X944" s="15">
        <v>-76.381327799999994</v>
      </c>
      <c r="AF944" t="s">
        <v>50</v>
      </c>
      <c r="AG944" t="s">
        <v>283</v>
      </c>
      <c r="AH944" t="s">
        <v>6470</v>
      </c>
      <c r="AI944" t="s">
        <v>6471</v>
      </c>
      <c r="AJ944">
        <v>1007</v>
      </c>
    </row>
    <row r="945" spans="1:36">
      <c r="A945" t="s">
        <v>6324</v>
      </c>
      <c r="B945" t="s">
        <v>6325</v>
      </c>
      <c r="C945" t="s">
        <v>6472</v>
      </c>
      <c r="D945" t="s">
        <v>6473</v>
      </c>
      <c r="E945" t="s">
        <v>6474</v>
      </c>
      <c r="F945">
        <v>3200</v>
      </c>
      <c r="G945">
        <v>3200</v>
      </c>
      <c r="H945">
        <v>3200</v>
      </c>
      <c r="I945" t="s">
        <v>6475</v>
      </c>
      <c r="J945" t="s">
        <v>6476</v>
      </c>
      <c r="K945" t="s">
        <v>6477</v>
      </c>
      <c r="L945" t="s">
        <v>6478</v>
      </c>
      <c r="M945" t="s">
        <v>6479</v>
      </c>
      <c r="N945" t="s">
        <v>6480</v>
      </c>
      <c r="O945" t="s">
        <v>6481</v>
      </c>
      <c r="P945" t="s">
        <v>6482</v>
      </c>
      <c r="R945" s="7">
        <v>37660</v>
      </c>
      <c r="T945" t="s">
        <v>111</v>
      </c>
      <c r="W945" s="15">
        <v>2.7827111000000002</v>
      </c>
      <c r="X945" s="15">
        <v>-76.250455599999995</v>
      </c>
      <c r="AF945" t="s">
        <v>50</v>
      </c>
      <c r="AG945" t="s">
        <v>283</v>
      </c>
      <c r="AH945" t="s">
        <v>703</v>
      </c>
      <c r="AI945" t="s">
        <v>6483</v>
      </c>
      <c r="AJ945">
        <v>1008</v>
      </c>
    </row>
    <row r="946" spans="1:36">
      <c r="A946" t="s">
        <v>6324</v>
      </c>
      <c r="B946" t="s">
        <v>6325</v>
      </c>
      <c r="C946" t="s">
        <v>6484</v>
      </c>
      <c r="D946" t="s">
        <v>6485</v>
      </c>
      <c r="E946" t="s">
        <v>6486</v>
      </c>
      <c r="F946">
        <v>2900</v>
      </c>
      <c r="G946">
        <v>2900</v>
      </c>
      <c r="H946">
        <v>2900</v>
      </c>
      <c r="I946" t="s">
        <v>6487</v>
      </c>
      <c r="J946" t="s">
        <v>6488</v>
      </c>
      <c r="K946" t="s">
        <v>6489</v>
      </c>
      <c r="L946" t="s">
        <v>6490</v>
      </c>
      <c r="M946" t="s">
        <v>6491</v>
      </c>
      <c r="N946" t="s">
        <v>6492</v>
      </c>
      <c r="O946" t="s">
        <v>6493</v>
      </c>
      <c r="P946" t="s">
        <v>6494</v>
      </c>
      <c r="R946" s="7">
        <v>38815</v>
      </c>
      <c r="T946" t="s">
        <v>119</v>
      </c>
      <c r="W946" s="15">
        <v>2.5931443999999999</v>
      </c>
      <c r="X946" s="15">
        <v>-76.329322199999993</v>
      </c>
      <c r="AF946" t="s">
        <v>50</v>
      </c>
      <c r="AG946" t="s">
        <v>283</v>
      </c>
      <c r="AH946" t="s">
        <v>6495</v>
      </c>
      <c r="AI946" t="s">
        <v>6496</v>
      </c>
      <c r="AJ946">
        <v>1009</v>
      </c>
    </row>
    <row r="947" spans="1:36">
      <c r="A947" t="s">
        <v>6324</v>
      </c>
      <c r="B947" t="s">
        <v>6325</v>
      </c>
      <c r="C947" t="s">
        <v>6497</v>
      </c>
      <c r="D947" t="s">
        <v>6498</v>
      </c>
      <c r="E947" t="s">
        <v>6499</v>
      </c>
      <c r="F947" t="s">
        <v>2048</v>
      </c>
      <c r="G947">
        <v>3000</v>
      </c>
      <c r="H947">
        <v>3200</v>
      </c>
      <c r="I947" t="s">
        <v>6500</v>
      </c>
      <c r="J947" t="s">
        <v>6501</v>
      </c>
      <c r="K947" t="s">
        <v>6502</v>
      </c>
      <c r="L947" t="s">
        <v>6503</v>
      </c>
      <c r="M947" t="s">
        <v>6504</v>
      </c>
      <c r="N947" t="s">
        <v>6505</v>
      </c>
      <c r="O947" t="s">
        <v>6506</v>
      </c>
      <c r="P947" t="s">
        <v>6507</v>
      </c>
      <c r="R947" s="7">
        <v>38904</v>
      </c>
      <c r="T947" t="s">
        <v>65</v>
      </c>
      <c r="W947" s="15">
        <v>1.8183332999999999</v>
      </c>
      <c r="X947" s="15">
        <v>-76.889444400000002</v>
      </c>
      <c r="AF947" t="s">
        <v>50</v>
      </c>
      <c r="AG947" t="s">
        <v>283</v>
      </c>
      <c r="AH947" t="s">
        <v>1922</v>
      </c>
      <c r="AI947" t="s">
        <v>6508</v>
      </c>
      <c r="AJ947">
        <v>1010</v>
      </c>
    </row>
    <row r="948" spans="1:36">
      <c r="A948" t="s">
        <v>6324</v>
      </c>
      <c r="B948" t="s">
        <v>6325</v>
      </c>
      <c r="C948" t="s">
        <v>6509</v>
      </c>
      <c r="D948" t="s">
        <v>1060</v>
      </c>
      <c r="E948" t="s">
        <v>1926</v>
      </c>
      <c r="F948">
        <v>3887</v>
      </c>
      <c r="G948">
        <v>3887</v>
      </c>
      <c r="H948">
        <v>3887</v>
      </c>
      <c r="I948" t="s">
        <v>1927</v>
      </c>
      <c r="J948" t="s">
        <v>1928</v>
      </c>
      <c r="K948" t="s">
        <v>6510</v>
      </c>
      <c r="L948" t="s">
        <v>6511</v>
      </c>
      <c r="M948" t="s">
        <v>6512</v>
      </c>
      <c r="P948" t="s">
        <v>80</v>
      </c>
      <c r="R948" s="7">
        <v>40020</v>
      </c>
      <c r="T948" t="s">
        <v>119</v>
      </c>
      <c r="W948" s="15">
        <v>2.3807666666666671</v>
      </c>
      <c r="X948" s="15">
        <v>-76.444083333333339</v>
      </c>
      <c r="AF948" t="s">
        <v>50</v>
      </c>
      <c r="AG948" t="s">
        <v>283</v>
      </c>
      <c r="AH948" t="s">
        <v>703</v>
      </c>
      <c r="AI948" t="s">
        <v>1935</v>
      </c>
      <c r="AJ948">
        <v>1011</v>
      </c>
    </row>
    <row r="949" spans="1:36">
      <c r="A949" t="s">
        <v>6324</v>
      </c>
      <c r="B949" t="s">
        <v>6325</v>
      </c>
      <c r="C949" t="s">
        <v>6513</v>
      </c>
      <c r="D949" t="s">
        <v>6514</v>
      </c>
      <c r="E949" t="s">
        <v>6460</v>
      </c>
      <c r="F949" t="s">
        <v>6461</v>
      </c>
      <c r="G949">
        <v>3200</v>
      </c>
      <c r="H949">
        <v>3510</v>
      </c>
      <c r="I949" t="s">
        <v>6462</v>
      </c>
      <c r="J949" t="s">
        <v>6463</v>
      </c>
      <c r="K949" t="s">
        <v>6464</v>
      </c>
      <c r="L949" t="s">
        <v>6465</v>
      </c>
      <c r="M949" t="s">
        <v>6466</v>
      </c>
      <c r="N949" t="s">
        <v>6467</v>
      </c>
      <c r="O949" t="s">
        <v>6468</v>
      </c>
      <c r="P949" t="s">
        <v>6469</v>
      </c>
      <c r="R949" s="7">
        <v>21393</v>
      </c>
      <c r="T949" t="s">
        <v>119</v>
      </c>
      <c r="W949" s="15">
        <v>2.2902722</v>
      </c>
      <c r="X949" s="15">
        <v>-76.381327799999994</v>
      </c>
      <c r="AF949" t="s">
        <v>50</v>
      </c>
      <c r="AG949" t="s">
        <v>283</v>
      </c>
      <c r="AH949" t="s">
        <v>6470</v>
      </c>
      <c r="AI949" t="s">
        <v>6471</v>
      </c>
      <c r="AJ949">
        <v>1012</v>
      </c>
    </row>
    <row r="950" spans="1:36">
      <c r="A950" t="s">
        <v>6324</v>
      </c>
      <c r="B950" t="s">
        <v>6325</v>
      </c>
      <c r="C950" t="s">
        <v>6515</v>
      </c>
      <c r="D950" t="s">
        <v>6516</v>
      </c>
      <c r="E950" t="s">
        <v>6517</v>
      </c>
      <c r="F950" t="s">
        <v>6518</v>
      </c>
      <c r="G950">
        <v>2700</v>
      </c>
      <c r="H950">
        <v>3250</v>
      </c>
      <c r="P950" t="s">
        <v>80</v>
      </c>
      <c r="R950" s="7">
        <v>23356</v>
      </c>
      <c r="T950" t="s">
        <v>119</v>
      </c>
      <c r="W950" s="15">
        <v>4.5693599999999996</v>
      </c>
      <c r="X950" s="15">
        <v>-73.826279999999997</v>
      </c>
      <c r="Y950">
        <v>5046.9340000000002</v>
      </c>
      <c r="Z950">
        <v>3220</v>
      </c>
      <c r="AB950" t="s">
        <v>6519</v>
      </c>
      <c r="AF950" t="s">
        <v>50</v>
      </c>
      <c r="AG950" t="s">
        <v>98</v>
      </c>
      <c r="AH950" t="s">
        <v>1951</v>
      </c>
      <c r="AI950" t="s">
        <v>6520</v>
      </c>
      <c r="AJ950">
        <v>1013</v>
      </c>
    </row>
    <row r="951" spans="1:36">
      <c r="A951" t="s">
        <v>6324</v>
      </c>
      <c r="B951" t="s">
        <v>6325</v>
      </c>
      <c r="C951" t="s">
        <v>6521</v>
      </c>
      <c r="D951" t="s">
        <v>6522</v>
      </c>
      <c r="E951" t="s">
        <v>6523</v>
      </c>
      <c r="F951" t="s">
        <v>110</v>
      </c>
      <c r="G951">
        <v>2000</v>
      </c>
      <c r="H951">
        <v>2300</v>
      </c>
      <c r="I951" t="s">
        <v>6524</v>
      </c>
      <c r="J951" t="s">
        <v>6525</v>
      </c>
      <c r="K951" t="s">
        <v>6526</v>
      </c>
      <c r="L951" t="s">
        <v>6527</v>
      </c>
      <c r="M951" t="s">
        <v>6528</v>
      </c>
      <c r="N951" t="s">
        <v>6529</v>
      </c>
      <c r="O951" t="s">
        <v>6530</v>
      </c>
      <c r="P951" t="s">
        <v>6531</v>
      </c>
      <c r="R951" s="7">
        <v>29224</v>
      </c>
      <c r="T951" t="s">
        <v>119</v>
      </c>
      <c r="W951" s="15">
        <v>2.3953250000000001</v>
      </c>
      <c r="X951" s="15">
        <v>-75.891202800000002</v>
      </c>
      <c r="AF951" t="s">
        <v>50</v>
      </c>
      <c r="AG951" t="s">
        <v>51</v>
      </c>
      <c r="AH951" t="s">
        <v>6532</v>
      </c>
      <c r="AI951" t="s">
        <v>6533</v>
      </c>
      <c r="AJ951">
        <v>1014</v>
      </c>
    </row>
    <row r="952" spans="1:36">
      <c r="A952" t="s">
        <v>6324</v>
      </c>
      <c r="B952" t="s">
        <v>6325</v>
      </c>
      <c r="C952" t="s">
        <v>6534</v>
      </c>
      <c r="D952" t="s">
        <v>6535</v>
      </c>
      <c r="E952" t="s">
        <v>6536</v>
      </c>
      <c r="F952">
        <v>1700</v>
      </c>
      <c r="G952">
        <v>1700</v>
      </c>
      <c r="H952">
        <v>1700</v>
      </c>
      <c r="I952" t="s">
        <v>6537</v>
      </c>
      <c r="J952" t="s">
        <v>6538</v>
      </c>
      <c r="K952" t="s">
        <v>6539</v>
      </c>
      <c r="L952" t="s">
        <v>6540</v>
      </c>
      <c r="M952" t="s">
        <v>6541</v>
      </c>
      <c r="N952" t="s">
        <v>6542</v>
      </c>
      <c r="O952" t="s">
        <v>6543</v>
      </c>
      <c r="P952" t="s">
        <v>6544</v>
      </c>
      <c r="R952" s="7">
        <v>30266</v>
      </c>
      <c r="T952" t="s">
        <v>119</v>
      </c>
      <c r="W952" s="15">
        <v>1.8527416999999999</v>
      </c>
      <c r="X952" s="15">
        <v>-76.035583299999999</v>
      </c>
      <c r="AF952" t="s">
        <v>50</v>
      </c>
      <c r="AG952" t="s">
        <v>51</v>
      </c>
      <c r="AH952" t="s">
        <v>140</v>
      </c>
      <c r="AI952" t="s">
        <v>6545</v>
      </c>
      <c r="AJ952">
        <v>1015</v>
      </c>
    </row>
    <row r="953" spans="1:36">
      <c r="A953" t="s">
        <v>6324</v>
      </c>
      <c r="B953" t="s">
        <v>6325</v>
      </c>
      <c r="C953" t="s">
        <v>6534</v>
      </c>
      <c r="D953" t="s">
        <v>6546</v>
      </c>
      <c r="E953" t="s">
        <v>6536</v>
      </c>
      <c r="F953">
        <v>1700</v>
      </c>
      <c r="G953">
        <v>1700</v>
      </c>
      <c r="H953">
        <v>1700</v>
      </c>
      <c r="I953" t="s">
        <v>6537</v>
      </c>
      <c r="J953" t="s">
        <v>6538</v>
      </c>
      <c r="K953" t="s">
        <v>6539</v>
      </c>
      <c r="L953" t="s">
        <v>6540</v>
      </c>
      <c r="M953" t="s">
        <v>6541</v>
      </c>
      <c r="N953" t="s">
        <v>6542</v>
      </c>
      <c r="O953" t="s">
        <v>6543</v>
      </c>
      <c r="P953" t="s">
        <v>6544</v>
      </c>
      <c r="R953" s="7">
        <v>30266</v>
      </c>
      <c r="T953" t="s">
        <v>119</v>
      </c>
      <c r="W953" s="15">
        <v>1.8527416999999999</v>
      </c>
      <c r="X953" s="15">
        <v>-76.035583299999999</v>
      </c>
      <c r="AF953" t="s">
        <v>50</v>
      </c>
      <c r="AG953" t="s">
        <v>51</v>
      </c>
      <c r="AH953" t="s">
        <v>140</v>
      </c>
      <c r="AI953" t="s">
        <v>6545</v>
      </c>
      <c r="AJ953">
        <v>1016</v>
      </c>
    </row>
    <row r="954" spans="1:36">
      <c r="A954" t="s">
        <v>6324</v>
      </c>
      <c r="B954" t="s">
        <v>6325</v>
      </c>
      <c r="C954" t="s">
        <v>6547</v>
      </c>
      <c r="D954" t="s">
        <v>6548</v>
      </c>
      <c r="E954" t="s">
        <v>6549</v>
      </c>
      <c r="F954">
        <v>2100</v>
      </c>
      <c r="G954">
        <v>2100</v>
      </c>
      <c r="H954">
        <v>2100</v>
      </c>
      <c r="P954" t="s">
        <v>80</v>
      </c>
      <c r="R954" s="7">
        <v>30951</v>
      </c>
      <c r="T954" t="s">
        <v>111</v>
      </c>
      <c r="W954" s="15">
        <v>2.2186300000000001</v>
      </c>
      <c r="X954" s="15">
        <v>-75.934240000000003</v>
      </c>
      <c r="Y954">
        <v>1015.408</v>
      </c>
      <c r="Z954">
        <v>2035</v>
      </c>
      <c r="AA954" t="s">
        <v>4974</v>
      </c>
      <c r="AB954" t="s">
        <v>4975</v>
      </c>
      <c r="AF954" t="s">
        <v>50</v>
      </c>
      <c r="AG954" t="s">
        <v>51</v>
      </c>
      <c r="AH954" t="s">
        <v>6550</v>
      </c>
      <c r="AI954" t="s">
        <v>4976</v>
      </c>
      <c r="AJ954">
        <v>1017</v>
      </c>
    </row>
    <row r="955" spans="1:36">
      <c r="A955" t="s">
        <v>6324</v>
      </c>
      <c r="B955" t="s">
        <v>6325</v>
      </c>
      <c r="C955" t="s">
        <v>6551</v>
      </c>
      <c r="D955" t="s">
        <v>6552</v>
      </c>
      <c r="E955" t="s">
        <v>6553</v>
      </c>
      <c r="F955" t="s">
        <v>4973</v>
      </c>
      <c r="G955">
        <v>2100</v>
      </c>
      <c r="H955">
        <v>2320</v>
      </c>
      <c r="I955" t="s">
        <v>6554</v>
      </c>
      <c r="J955" t="s">
        <v>6555</v>
      </c>
      <c r="K955" t="s">
        <v>6556</v>
      </c>
      <c r="L955" t="s">
        <v>6557</v>
      </c>
      <c r="M955" t="s">
        <v>6558</v>
      </c>
      <c r="N955" t="s">
        <v>6559</v>
      </c>
      <c r="O955" t="s">
        <v>6560</v>
      </c>
      <c r="P955" t="s">
        <v>6561</v>
      </c>
      <c r="R955" s="7">
        <v>30953</v>
      </c>
      <c r="T955" t="s">
        <v>119</v>
      </c>
      <c r="W955" s="15">
        <v>2.1968193999999999</v>
      </c>
      <c r="X955" s="15">
        <v>-75.9769194</v>
      </c>
      <c r="AF955" t="s">
        <v>50</v>
      </c>
      <c r="AG955" t="s">
        <v>51</v>
      </c>
      <c r="AH955" t="s">
        <v>6562</v>
      </c>
      <c r="AI955" t="s">
        <v>4976</v>
      </c>
      <c r="AJ955">
        <v>1018</v>
      </c>
    </row>
    <row r="956" spans="1:36">
      <c r="A956" t="s">
        <v>6324</v>
      </c>
      <c r="B956" t="s">
        <v>6325</v>
      </c>
      <c r="C956" t="s">
        <v>6563</v>
      </c>
      <c r="D956" t="s">
        <v>6564</v>
      </c>
      <c r="E956" t="s">
        <v>6565</v>
      </c>
      <c r="F956">
        <v>2070</v>
      </c>
      <c r="G956">
        <v>2070</v>
      </c>
      <c r="H956">
        <v>2070</v>
      </c>
      <c r="I956" t="s">
        <v>6566</v>
      </c>
      <c r="J956" t="s">
        <v>6567</v>
      </c>
      <c r="K956" t="s">
        <v>6568</v>
      </c>
      <c r="L956" t="s">
        <v>6569</v>
      </c>
      <c r="M956" t="s">
        <v>6570</v>
      </c>
      <c r="N956" t="s">
        <v>6571</v>
      </c>
      <c r="O956" t="s">
        <v>6572</v>
      </c>
      <c r="P956" t="s">
        <v>6573</v>
      </c>
      <c r="R956" s="7">
        <v>33201</v>
      </c>
      <c r="T956" t="s">
        <v>119</v>
      </c>
      <c r="W956" s="15">
        <v>2.9216332999999999</v>
      </c>
      <c r="X956" s="15">
        <v>-75.276527799999997</v>
      </c>
      <c r="AF956" t="s">
        <v>50</v>
      </c>
      <c r="AG956" t="s">
        <v>51</v>
      </c>
      <c r="AH956" t="s">
        <v>5017</v>
      </c>
      <c r="AI956" t="s">
        <v>6574</v>
      </c>
      <c r="AJ956">
        <v>1019</v>
      </c>
    </row>
    <row r="957" spans="1:36">
      <c r="A957" t="s">
        <v>6324</v>
      </c>
      <c r="B957" t="s">
        <v>6325</v>
      </c>
      <c r="C957" t="s">
        <v>6575</v>
      </c>
      <c r="D957" t="s">
        <v>1060</v>
      </c>
      <c r="E957" t="s">
        <v>6576</v>
      </c>
      <c r="F957">
        <v>1925</v>
      </c>
      <c r="G957">
        <v>1925</v>
      </c>
      <c r="H957">
        <v>1925</v>
      </c>
      <c r="I957" t="s">
        <v>5007</v>
      </c>
      <c r="J957" t="s">
        <v>5008</v>
      </c>
      <c r="K957" t="s">
        <v>5009</v>
      </c>
      <c r="L957" t="s">
        <v>5010</v>
      </c>
      <c r="M957" t="s">
        <v>5011</v>
      </c>
      <c r="N957" t="s">
        <v>2958</v>
      </c>
      <c r="O957" t="s">
        <v>329</v>
      </c>
      <c r="P957" t="s">
        <v>2959</v>
      </c>
      <c r="R957" s="7">
        <v>40022</v>
      </c>
      <c r="T957" t="s">
        <v>119</v>
      </c>
      <c r="W957" s="15">
        <v>1.7689805999999999</v>
      </c>
      <c r="X957" s="15">
        <v>-76.018733299999994</v>
      </c>
      <c r="AF957" t="s">
        <v>50</v>
      </c>
      <c r="AG957" t="s">
        <v>51</v>
      </c>
      <c r="AH957" t="s">
        <v>140</v>
      </c>
      <c r="AI957" t="s">
        <v>6577</v>
      </c>
      <c r="AJ957">
        <v>1020</v>
      </c>
    </row>
    <row r="958" spans="1:36">
      <c r="A958" t="s">
        <v>6324</v>
      </c>
      <c r="B958" t="s">
        <v>6325</v>
      </c>
      <c r="C958" t="s">
        <v>6575</v>
      </c>
      <c r="D958" t="s">
        <v>1060</v>
      </c>
      <c r="E958" t="s">
        <v>6576</v>
      </c>
      <c r="F958">
        <v>1925</v>
      </c>
      <c r="G958">
        <v>1925</v>
      </c>
      <c r="H958">
        <v>1925</v>
      </c>
      <c r="I958" t="s">
        <v>5007</v>
      </c>
      <c r="J958" t="s">
        <v>5008</v>
      </c>
      <c r="K958" t="s">
        <v>5009</v>
      </c>
      <c r="L958" t="s">
        <v>5010</v>
      </c>
      <c r="M958" t="s">
        <v>5011</v>
      </c>
      <c r="N958" t="s">
        <v>2958</v>
      </c>
      <c r="O958" t="s">
        <v>329</v>
      </c>
      <c r="P958" t="s">
        <v>2959</v>
      </c>
      <c r="R958" s="7">
        <v>40022</v>
      </c>
      <c r="T958" t="s">
        <v>119</v>
      </c>
      <c r="W958" s="15">
        <v>1.7689805999999999</v>
      </c>
      <c r="X958" s="15">
        <v>-76.018733299999994</v>
      </c>
      <c r="AF958" t="s">
        <v>50</v>
      </c>
      <c r="AG958" t="s">
        <v>51</v>
      </c>
      <c r="AH958" t="s">
        <v>140</v>
      </c>
      <c r="AI958" t="s">
        <v>6577</v>
      </c>
      <c r="AJ958">
        <v>1021</v>
      </c>
    </row>
    <row r="959" spans="1:36">
      <c r="A959" t="s">
        <v>6324</v>
      </c>
      <c r="B959" t="s">
        <v>6325</v>
      </c>
      <c r="C959" t="s">
        <v>6578</v>
      </c>
      <c r="D959" t="s">
        <v>1060</v>
      </c>
      <c r="E959" t="s">
        <v>6576</v>
      </c>
      <c r="F959">
        <v>1925</v>
      </c>
      <c r="G959">
        <v>1925</v>
      </c>
      <c r="H959">
        <v>1925</v>
      </c>
      <c r="I959" t="s">
        <v>5007</v>
      </c>
      <c r="J959" t="s">
        <v>5008</v>
      </c>
      <c r="K959" t="s">
        <v>5009</v>
      </c>
      <c r="L959" t="s">
        <v>5010</v>
      </c>
      <c r="M959" t="s">
        <v>5011</v>
      </c>
      <c r="N959" t="s">
        <v>2958</v>
      </c>
      <c r="O959" t="s">
        <v>329</v>
      </c>
      <c r="P959" t="s">
        <v>2959</v>
      </c>
      <c r="R959" s="7">
        <v>40022</v>
      </c>
      <c r="T959" t="s">
        <v>119</v>
      </c>
      <c r="W959" s="15">
        <v>1.7689805999999999</v>
      </c>
      <c r="X959" s="15">
        <v>-76.018733299999994</v>
      </c>
      <c r="AF959" t="s">
        <v>50</v>
      </c>
      <c r="AG959" t="s">
        <v>51</v>
      </c>
      <c r="AH959" t="s">
        <v>140</v>
      </c>
      <c r="AI959" t="s">
        <v>6577</v>
      </c>
      <c r="AJ959">
        <v>1022</v>
      </c>
    </row>
    <row r="960" spans="1:36">
      <c r="A960" t="s">
        <v>6324</v>
      </c>
      <c r="B960" t="s">
        <v>6325</v>
      </c>
      <c r="C960" t="s">
        <v>6579</v>
      </c>
      <c r="D960" t="s">
        <v>6580</v>
      </c>
      <c r="E960" t="s">
        <v>6581</v>
      </c>
      <c r="F960">
        <v>2600</v>
      </c>
      <c r="G960">
        <v>2600</v>
      </c>
      <c r="H960">
        <v>2600</v>
      </c>
      <c r="I960" t="s">
        <v>1988</v>
      </c>
      <c r="J960" t="s">
        <v>1989</v>
      </c>
      <c r="K960" t="s">
        <v>1990</v>
      </c>
      <c r="L960" t="s">
        <v>1991</v>
      </c>
      <c r="M960" t="s">
        <v>1992</v>
      </c>
      <c r="N960" t="s">
        <v>1993</v>
      </c>
      <c r="O960" t="s">
        <v>1994</v>
      </c>
      <c r="P960" t="s">
        <v>1995</v>
      </c>
      <c r="R960" s="7">
        <v>24534</v>
      </c>
      <c r="T960" t="s">
        <v>399</v>
      </c>
      <c r="W960" s="15">
        <v>1.2136917</v>
      </c>
      <c r="X960" s="15">
        <v>-77.2726361</v>
      </c>
      <c r="AF960" t="s">
        <v>50</v>
      </c>
      <c r="AG960" t="s">
        <v>127</v>
      </c>
      <c r="AH960" t="s">
        <v>1996</v>
      </c>
      <c r="AI960" t="s">
        <v>6582</v>
      </c>
      <c r="AJ960">
        <v>1023</v>
      </c>
    </row>
    <row r="961" spans="1:36">
      <c r="A961" t="s">
        <v>6324</v>
      </c>
      <c r="B961" t="s">
        <v>6325</v>
      </c>
      <c r="C961" t="s">
        <v>6583</v>
      </c>
      <c r="D961" t="s">
        <v>6584</v>
      </c>
      <c r="E961" t="s">
        <v>6585</v>
      </c>
      <c r="F961">
        <v>2800</v>
      </c>
      <c r="G961">
        <v>2800</v>
      </c>
      <c r="H961">
        <v>2800</v>
      </c>
      <c r="I961" t="s">
        <v>6586</v>
      </c>
      <c r="J961" t="s">
        <v>6587</v>
      </c>
      <c r="K961" t="s">
        <v>6588</v>
      </c>
      <c r="L961" t="s">
        <v>6589</v>
      </c>
      <c r="M961" t="s">
        <v>6590</v>
      </c>
      <c r="N961" t="s">
        <v>6591</v>
      </c>
      <c r="O961" t="s">
        <v>6592</v>
      </c>
      <c r="P961" t="s">
        <v>6593</v>
      </c>
      <c r="R961" s="7">
        <v>27143</v>
      </c>
      <c r="T961" t="s">
        <v>399</v>
      </c>
      <c r="W961" s="15">
        <v>1.12957</v>
      </c>
      <c r="X961" s="15">
        <v>-77.149439999999998</v>
      </c>
      <c r="Y961">
        <v>345.22699999999998</v>
      </c>
      <c r="Z961">
        <v>2792</v>
      </c>
      <c r="AB961" t="s">
        <v>5142</v>
      </c>
      <c r="AF961" t="s">
        <v>50</v>
      </c>
      <c r="AG961" t="s">
        <v>127</v>
      </c>
      <c r="AH961" t="s">
        <v>5143</v>
      </c>
      <c r="AI961" t="s">
        <v>6594</v>
      </c>
      <c r="AJ961">
        <v>1024</v>
      </c>
    </row>
    <row r="962" spans="1:36">
      <c r="A962" t="s">
        <v>6324</v>
      </c>
      <c r="B962" t="s">
        <v>6325</v>
      </c>
      <c r="C962" t="s">
        <v>6595</v>
      </c>
      <c r="D962" t="s">
        <v>6596</v>
      </c>
      <c r="E962" t="s">
        <v>6597</v>
      </c>
      <c r="F962">
        <v>2700</v>
      </c>
      <c r="G962">
        <v>2700</v>
      </c>
      <c r="H962">
        <v>2700</v>
      </c>
      <c r="I962" t="s">
        <v>6586</v>
      </c>
      <c r="J962" t="s">
        <v>6587</v>
      </c>
      <c r="K962" t="s">
        <v>6588</v>
      </c>
      <c r="L962" t="s">
        <v>6589</v>
      </c>
      <c r="M962" t="s">
        <v>6590</v>
      </c>
      <c r="N962" t="s">
        <v>6591</v>
      </c>
      <c r="O962" t="s">
        <v>6592</v>
      </c>
      <c r="P962" t="s">
        <v>6593</v>
      </c>
      <c r="R962" s="7">
        <v>29167</v>
      </c>
      <c r="T962" t="s">
        <v>119</v>
      </c>
      <c r="W962" s="15">
        <v>1.12957</v>
      </c>
      <c r="X962" s="15">
        <v>-77.149439999999998</v>
      </c>
      <c r="Y962">
        <v>345.22699999999998</v>
      </c>
      <c r="Z962">
        <v>2792</v>
      </c>
      <c r="AB962" t="s">
        <v>5142</v>
      </c>
      <c r="AF962" t="s">
        <v>50</v>
      </c>
      <c r="AG962" t="s">
        <v>127</v>
      </c>
      <c r="AH962" t="s">
        <v>1996</v>
      </c>
      <c r="AI962" t="s">
        <v>6598</v>
      </c>
      <c r="AJ962">
        <v>1025</v>
      </c>
    </row>
    <row r="963" spans="1:36">
      <c r="A963" t="s">
        <v>6324</v>
      </c>
      <c r="B963" t="s">
        <v>6325</v>
      </c>
      <c r="C963" t="s">
        <v>6599</v>
      </c>
      <c r="D963" t="s">
        <v>6600</v>
      </c>
      <c r="E963" t="s">
        <v>6601</v>
      </c>
      <c r="F963">
        <v>3500</v>
      </c>
      <c r="G963">
        <v>3500</v>
      </c>
      <c r="H963">
        <v>3500</v>
      </c>
      <c r="I963" t="s">
        <v>1988</v>
      </c>
      <c r="J963" t="s">
        <v>1989</v>
      </c>
      <c r="K963" t="s">
        <v>1990</v>
      </c>
      <c r="L963" t="s">
        <v>1991</v>
      </c>
      <c r="M963" t="s">
        <v>1992</v>
      </c>
      <c r="N963" t="s">
        <v>1993</v>
      </c>
      <c r="O963" t="s">
        <v>1994</v>
      </c>
      <c r="P963" t="s">
        <v>1995</v>
      </c>
      <c r="R963" s="7">
        <v>29174</v>
      </c>
      <c r="T963" t="s">
        <v>399</v>
      </c>
      <c r="W963" s="15">
        <v>1.2136917</v>
      </c>
      <c r="X963" s="15">
        <v>-77.2726361</v>
      </c>
      <c r="AF963" t="s">
        <v>50</v>
      </c>
      <c r="AG963" t="s">
        <v>127</v>
      </c>
      <c r="AH963" t="s">
        <v>1996</v>
      </c>
      <c r="AI963" t="s">
        <v>6602</v>
      </c>
      <c r="AJ963">
        <v>1026</v>
      </c>
    </row>
    <row r="964" spans="1:36">
      <c r="A964" t="s">
        <v>6324</v>
      </c>
      <c r="B964" t="s">
        <v>6325</v>
      </c>
      <c r="C964" t="s">
        <v>6603</v>
      </c>
      <c r="D964" t="s">
        <v>6604</v>
      </c>
      <c r="E964" t="s">
        <v>6605</v>
      </c>
      <c r="F964">
        <v>2700</v>
      </c>
      <c r="G964">
        <v>2700</v>
      </c>
      <c r="H964">
        <v>2700</v>
      </c>
      <c r="I964" t="s">
        <v>1988</v>
      </c>
      <c r="J964" t="s">
        <v>1989</v>
      </c>
      <c r="K964" t="s">
        <v>1990</v>
      </c>
      <c r="L964" t="s">
        <v>1991</v>
      </c>
      <c r="M964" t="s">
        <v>1992</v>
      </c>
      <c r="N964" t="s">
        <v>1993</v>
      </c>
      <c r="O964" t="s">
        <v>1994</v>
      </c>
      <c r="P964" t="s">
        <v>1995</v>
      </c>
      <c r="R964" s="7">
        <v>29545</v>
      </c>
      <c r="T964" t="s">
        <v>399</v>
      </c>
      <c r="W964" s="15">
        <v>1.2136917</v>
      </c>
      <c r="X964" s="15">
        <v>-77.2726361</v>
      </c>
      <c r="AF964" t="s">
        <v>50</v>
      </c>
      <c r="AG964" t="s">
        <v>127</v>
      </c>
      <c r="AH964" t="s">
        <v>1996</v>
      </c>
      <c r="AI964" t="s">
        <v>6606</v>
      </c>
      <c r="AJ964">
        <v>1027</v>
      </c>
    </row>
    <row r="965" spans="1:36">
      <c r="A965" t="s">
        <v>6324</v>
      </c>
      <c r="B965" t="s">
        <v>6325</v>
      </c>
      <c r="C965" t="s">
        <v>6607</v>
      </c>
      <c r="D965" t="s">
        <v>6608</v>
      </c>
      <c r="E965" t="s">
        <v>6597</v>
      </c>
      <c r="F965">
        <v>2780</v>
      </c>
      <c r="G965">
        <v>2780</v>
      </c>
      <c r="H965">
        <v>2780</v>
      </c>
      <c r="I965" t="s">
        <v>6586</v>
      </c>
      <c r="J965" t="s">
        <v>6587</v>
      </c>
      <c r="K965" t="s">
        <v>6588</v>
      </c>
      <c r="L965" t="s">
        <v>6589</v>
      </c>
      <c r="M965" t="s">
        <v>6590</v>
      </c>
      <c r="N965" t="s">
        <v>6591</v>
      </c>
      <c r="O965" t="s">
        <v>6592</v>
      </c>
      <c r="P965" t="s">
        <v>6593</v>
      </c>
      <c r="R965" s="7">
        <v>35892</v>
      </c>
      <c r="T965" t="s">
        <v>111</v>
      </c>
      <c r="W965" s="15">
        <v>1.2833333</v>
      </c>
      <c r="X965" s="15">
        <v>-78.233333299999998</v>
      </c>
      <c r="AF965" t="s">
        <v>50</v>
      </c>
      <c r="AG965" t="s">
        <v>127</v>
      </c>
      <c r="AH965" t="s">
        <v>1996</v>
      </c>
      <c r="AI965" t="s">
        <v>6598</v>
      </c>
      <c r="AJ965">
        <v>1028</v>
      </c>
    </row>
    <row r="966" spans="1:36">
      <c r="A966" t="s">
        <v>6324</v>
      </c>
      <c r="B966" t="s">
        <v>6325</v>
      </c>
      <c r="C966" t="s">
        <v>6609</v>
      </c>
      <c r="D966" t="s">
        <v>6610</v>
      </c>
      <c r="E966" t="s">
        <v>6611</v>
      </c>
      <c r="F966" t="s">
        <v>6612</v>
      </c>
      <c r="G966">
        <v>2800</v>
      </c>
      <c r="H966">
        <v>3180</v>
      </c>
      <c r="I966" t="s">
        <v>797</v>
      </c>
      <c r="J966" t="s">
        <v>798</v>
      </c>
      <c r="K966" t="s">
        <v>799</v>
      </c>
      <c r="L966" t="s">
        <v>419</v>
      </c>
      <c r="M966" t="s">
        <v>800</v>
      </c>
      <c r="N966" t="s">
        <v>801</v>
      </c>
      <c r="O966" t="s">
        <v>422</v>
      </c>
      <c r="P966" t="s">
        <v>802</v>
      </c>
      <c r="R966" s="7">
        <v>34505</v>
      </c>
      <c r="T966" t="s">
        <v>111</v>
      </c>
      <c r="W966" s="15">
        <v>4.6666667000000004</v>
      </c>
      <c r="X966" s="15">
        <v>-75.5</v>
      </c>
      <c r="AF966" t="s">
        <v>50</v>
      </c>
      <c r="AG966" t="s">
        <v>182</v>
      </c>
      <c r="AH966" t="s">
        <v>803</v>
      </c>
      <c r="AI966" t="s">
        <v>6613</v>
      </c>
      <c r="AJ966">
        <v>1029</v>
      </c>
    </row>
    <row r="967" spans="1:36">
      <c r="A967" t="s">
        <v>6324</v>
      </c>
      <c r="B967" t="s">
        <v>6325</v>
      </c>
      <c r="C967" t="s">
        <v>6614</v>
      </c>
      <c r="D967" t="s">
        <v>6615</v>
      </c>
      <c r="E967" t="s">
        <v>6616</v>
      </c>
      <c r="F967">
        <v>3140</v>
      </c>
      <c r="G967">
        <v>3140</v>
      </c>
      <c r="H967">
        <v>3140</v>
      </c>
      <c r="I967" t="s">
        <v>797</v>
      </c>
      <c r="J967" t="s">
        <v>798</v>
      </c>
      <c r="K967" t="s">
        <v>799</v>
      </c>
      <c r="L967" t="s">
        <v>419</v>
      </c>
      <c r="M967" t="s">
        <v>800</v>
      </c>
      <c r="N967" t="s">
        <v>801</v>
      </c>
      <c r="O967" t="s">
        <v>422</v>
      </c>
      <c r="P967" t="s">
        <v>802</v>
      </c>
      <c r="R967" s="7">
        <v>34848</v>
      </c>
      <c r="T967" t="s">
        <v>119</v>
      </c>
      <c r="W967" s="15">
        <v>4.6666667000000004</v>
      </c>
      <c r="X967" s="15">
        <v>-75.5</v>
      </c>
      <c r="AF967" t="s">
        <v>50</v>
      </c>
      <c r="AG967" t="s">
        <v>182</v>
      </c>
      <c r="AH967" t="s">
        <v>803</v>
      </c>
      <c r="AI967" t="s">
        <v>6617</v>
      </c>
      <c r="AJ967">
        <v>1030</v>
      </c>
    </row>
    <row r="968" spans="1:36">
      <c r="A968" t="s">
        <v>6324</v>
      </c>
      <c r="B968" t="s">
        <v>6325</v>
      </c>
      <c r="C968" t="s">
        <v>6618</v>
      </c>
      <c r="D968" t="s">
        <v>6619</v>
      </c>
      <c r="E968" t="s">
        <v>6620</v>
      </c>
      <c r="F968">
        <v>2140</v>
      </c>
      <c r="G968">
        <v>2140</v>
      </c>
      <c r="H968">
        <v>2140</v>
      </c>
      <c r="I968" t="s">
        <v>797</v>
      </c>
      <c r="J968" t="s">
        <v>798</v>
      </c>
      <c r="K968" t="s">
        <v>799</v>
      </c>
      <c r="L968" t="s">
        <v>419</v>
      </c>
      <c r="M968" t="s">
        <v>800</v>
      </c>
      <c r="N968" t="s">
        <v>801</v>
      </c>
      <c r="O968" t="s">
        <v>422</v>
      </c>
      <c r="P968" t="s">
        <v>802</v>
      </c>
      <c r="R968" s="7">
        <v>37409</v>
      </c>
      <c r="T968" t="s">
        <v>119</v>
      </c>
      <c r="W968" s="15">
        <v>4.6666667000000004</v>
      </c>
      <c r="X968" s="15">
        <v>-75.5</v>
      </c>
      <c r="AF968" t="s">
        <v>50</v>
      </c>
      <c r="AG968" t="s">
        <v>182</v>
      </c>
      <c r="AH968" t="s">
        <v>803</v>
      </c>
      <c r="AI968" t="s">
        <v>6621</v>
      </c>
      <c r="AJ968">
        <v>1031</v>
      </c>
    </row>
    <row r="969" spans="1:36">
      <c r="A969" t="s">
        <v>6324</v>
      </c>
      <c r="B969" t="s">
        <v>6325</v>
      </c>
      <c r="C969" t="s">
        <v>6622</v>
      </c>
      <c r="D969" t="s">
        <v>1060</v>
      </c>
      <c r="E969" t="s">
        <v>6623</v>
      </c>
      <c r="F969">
        <v>1950</v>
      </c>
      <c r="G969">
        <v>1950</v>
      </c>
      <c r="H969">
        <v>1950</v>
      </c>
      <c r="I969" t="s">
        <v>1666</v>
      </c>
      <c r="J969" t="s">
        <v>1667</v>
      </c>
      <c r="K969" t="s">
        <v>6624</v>
      </c>
      <c r="L969" t="s">
        <v>6625</v>
      </c>
      <c r="M969" t="s">
        <v>6626</v>
      </c>
      <c r="N969" t="s">
        <v>315</v>
      </c>
      <c r="O969" t="s">
        <v>3095</v>
      </c>
      <c r="P969" t="s">
        <v>3096</v>
      </c>
      <c r="R969" s="7">
        <v>40014</v>
      </c>
      <c r="T969" t="s">
        <v>119</v>
      </c>
      <c r="W969" s="15">
        <v>4.6857300000000004</v>
      </c>
      <c r="X969" s="15">
        <v>-75.578029999999998</v>
      </c>
      <c r="Y969">
        <v>5540.5119999999997</v>
      </c>
      <c r="Z969">
        <v>2087</v>
      </c>
      <c r="AB969" t="s">
        <v>1153</v>
      </c>
      <c r="AF969" t="s">
        <v>50</v>
      </c>
      <c r="AG969" t="s">
        <v>182</v>
      </c>
      <c r="AH969" t="s">
        <v>803</v>
      </c>
      <c r="AI969" t="s">
        <v>6627</v>
      </c>
      <c r="AJ969">
        <v>1032</v>
      </c>
    </row>
    <row r="970" spans="1:36">
      <c r="A970" t="s">
        <v>6324</v>
      </c>
      <c r="B970" t="s">
        <v>6325</v>
      </c>
      <c r="C970" t="s">
        <v>6622</v>
      </c>
      <c r="D970" t="s">
        <v>6443</v>
      </c>
      <c r="E970" t="s">
        <v>6628</v>
      </c>
      <c r="F970">
        <v>1950</v>
      </c>
      <c r="G970">
        <v>1950</v>
      </c>
      <c r="H970">
        <v>1950</v>
      </c>
      <c r="I970" t="s">
        <v>1666</v>
      </c>
      <c r="J970" t="s">
        <v>1667</v>
      </c>
      <c r="K970" t="s">
        <v>6624</v>
      </c>
      <c r="L970" t="s">
        <v>6625</v>
      </c>
      <c r="M970" t="s">
        <v>6626</v>
      </c>
      <c r="N970" t="s">
        <v>315</v>
      </c>
      <c r="O970" t="s">
        <v>3095</v>
      </c>
      <c r="P970" t="s">
        <v>3096</v>
      </c>
      <c r="R970" s="7">
        <v>40014</v>
      </c>
      <c r="T970" t="s">
        <v>119</v>
      </c>
      <c r="W970" s="15">
        <v>4.6857300000000004</v>
      </c>
      <c r="X970" s="15">
        <v>-75.578029999999998</v>
      </c>
      <c r="Y970">
        <v>5540.5119999999997</v>
      </c>
      <c r="Z970">
        <v>2087</v>
      </c>
      <c r="AB970" t="s">
        <v>1153</v>
      </c>
      <c r="AF970" t="s">
        <v>50</v>
      </c>
      <c r="AG970" t="s">
        <v>182</v>
      </c>
      <c r="AH970" t="s">
        <v>803</v>
      </c>
      <c r="AI970" t="s">
        <v>6629</v>
      </c>
      <c r="AJ970">
        <v>1033</v>
      </c>
    </row>
    <row r="971" spans="1:36">
      <c r="A971" t="s">
        <v>6324</v>
      </c>
      <c r="B971" t="s">
        <v>6325</v>
      </c>
      <c r="C971" t="s">
        <v>6622</v>
      </c>
      <c r="D971" t="s">
        <v>1060</v>
      </c>
      <c r="E971" t="s">
        <v>6623</v>
      </c>
      <c r="F971">
        <v>1950</v>
      </c>
      <c r="G971">
        <v>1950</v>
      </c>
      <c r="H971">
        <v>1950</v>
      </c>
      <c r="I971" t="s">
        <v>1666</v>
      </c>
      <c r="J971" t="s">
        <v>1667</v>
      </c>
      <c r="K971" t="s">
        <v>6624</v>
      </c>
      <c r="L971" t="s">
        <v>6625</v>
      </c>
      <c r="M971" t="s">
        <v>6626</v>
      </c>
      <c r="N971" t="s">
        <v>315</v>
      </c>
      <c r="O971" t="s">
        <v>3095</v>
      </c>
      <c r="P971" t="s">
        <v>3096</v>
      </c>
      <c r="R971" s="7">
        <v>40014</v>
      </c>
      <c r="T971" t="s">
        <v>119</v>
      </c>
      <c r="W971" s="15">
        <v>4.6857300000000004</v>
      </c>
      <c r="X971" s="15">
        <v>-75.578029999999998</v>
      </c>
      <c r="Y971">
        <v>5540.5119999999997</v>
      </c>
      <c r="Z971">
        <v>2087</v>
      </c>
      <c r="AB971" t="s">
        <v>1153</v>
      </c>
      <c r="AF971" t="s">
        <v>50</v>
      </c>
      <c r="AG971" t="s">
        <v>182</v>
      </c>
      <c r="AH971" t="s">
        <v>803</v>
      </c>
      <c r="AI971" t="s">
        <v>6627</v>
      </c>
      <c r="AJ971">
        <v>1034</v>
      </c>
    </row>
    <row r="972" spans="1:36">
      <c r="A972" t="s">
        <v>6324</v>
      </c>
      <c r="B972" t="s">
        <v>6325</v>
      </c>
      <c r="C972" t="s">
        <v>6630</v>
      </c>
      <c r="D972" t="s">
        <v>1060</v>
      </c>
      <c r="E972" t="s">
        <v>6623</v>
      </c>
      <c r="F972">
        <v>1950</v>
      </c>
      <c r="G972">
        <v>1950</v>
      </c>
      <c r="H972">
        <v>1950</v>
      </c>
      <c r="I972" t="s">
        <v>1666</v>
      </c>
      <c r="J972" t="s">
        <v>1667</v>
      </c>
      <c r="K972" t="s">
        <v>6624</v>
      </c>
      <c r="L972" t="s">
        <v>6625</v>
      </c>
      <c r="M972" t="s">
        <v>6626</v>
      </c>
      <c r="N972" t="s">
        <v>315</v>
      </c>
      <c r="O972" t="s">
        <v>3095</v>
      </c>
      <c r="P972" t="s">
        <v>3096</v>
      </c>
      <c r="R972" s="7">
        <v>40014</v>
      </c>
      <c r="T972" t="s">
        <v>119</v>
      </c>
      <c r="W972" s="15">
        <v>4.6857300000000004</v>
      </c>
      <c r="X972" s="15">
        <v>-75.578029999999998</v>
      </c>
      <c r="Y972">
        <v>5540.5119999999997</v>
      </c>
      <c r="Z972">
        <v>2087</v>
      </c>
      <c r="AB972" t="s">
        <v>1153</v>
      </c>
      <c r="AF972" t="s">
        <v>50</v>
      </c>
      <c r="AG972" t="s">
        <v>182</v>
      </c>
      <c r="AH972" t="s">
        <v>803</v>
      </c>
      <c r="AI972" t="s">
        <v>6627</v>
      </c>
      <c r="AJ972">
        <v>1035</v>
      </c>
    </row>
    <row r="973" spans="1:36">
      <c r="A973" t="s">
        <v>6324</v>
      </c>
      <c r="B973" t="s">
        <v>6325</v>
      </c>
      <c r="C973" t="s">
        <v>6631</v>
      </c>
      <c r="D973" t="s">
        <v>1060</v>
      </c>
      <c r="E973" t="s">
        <v>6623</v>
      </c>
      <c r="F973">
        <v>1950</v>
      </c>
      <c r="G973">
        <v>1950</v>
      </c>
      <c r="H973">
        <v>1950</v>
      </c>
      <c r="I973" t="s">
        <v>1666</v>
      </c>
      <c r="J973" t="s">
        <v>1667</v>
      </c>
      <c r="K973" t="s">
        <v>6624</v>
      </c>
      <c r="L973" t="s">
        <v>6625</v>
      </c>
      <c r="M973" t="s">
        <v>6626</v>
      </c>
      <c r="N973" t="s">
        <v>315</v>
      </c>
      <c r="O973" t="s">
        <v>3095</v>
      </c>
      <c r="P973" t="s">
        <v>3096</v>
      </c>
      <c r="R973" s="7">
        <v>40014</v>
      </c>
      <c r="T973" t="s">
        <v>119</v>
      </c>
      <c r="W973" s="15">
        <v>4.6857300000000004</v>
      </c>
      <c r="X973" s="15">
        <v>-75.578029999999998</v>
      </c>
      <c r="Y973">
        <v>5540.5119999999997</v>
      </c>
      <c r="Z973">
        <v>2087</v>
      </c>
      <c r="AB973" t="s">
        <v>1153</v>
      </c>
      <c r="AF973" t="s">
        <v>50</v>
      </c>
      <c r="AG973" t="s">
        <v>182</v>
      </c>
      <c r="AH973" t="s">
        <v>803</v>
      </c>
      <c r="AI973" t="s">
        <v>6627</v>
      </c>
      <c r="AJ973">
        <v>1036</v>
      </c>
    </row>
    <row r="974" spans="1:36">
      <c r="A974" t="s">
        <v>6324</v>
      </c>
      <c r="B974" t="s">
        <v>6325</v>
      </c>
      <c r="C974" t="s">
        <v>6632</v>
      </c>
      <c r="D974" t="s">
        <v>1060</v>
      </c>
      <c r="E974" t="s">
        <v>6633</v>
      </c>
      <c r="F974" t="s">
        <v>2073</v>
      </c>
      <c r="G974">
        <v>2430</v>
      </c>
      <c r="H974">
        <v>3200</v>
      </c>
      <c r="I974" t="s">
        <v>2074</v>
      </c>
      <c r="J974" t="s">
        <v>2075</v>
      </c>
      <c r="K974" t="s">
        <v>2076</v>
      </c>
      <c r="L974" t="s">
        <v>2077</v>
      </c>
      <c r="M974" t="s">
        <v>2078</v>
      </c>
      <c r="N974" t="s">
        <v>2079</v>
      </c>
      <c r="O974" t="s">
        <v>2080</v>
      </c>
      <c r="P974" t="s">
        <v>2081</v>
      </c>
      <c r="R974" s="7">
        <v>40017</v>
      </c>
      <c r="T974" t="s">
        <v>119</v>
      </c>
      <c r="W974" s="15">
        <v>4.6414999999999997</v>
      </c>
      <c r="X974" s="15">
        <v>-75.486777799999999</v>
      </c>
      <c r="AF974" t="s">
        <v>50</v>
      </c>
      <c r="AG974" t="s">
        <v>182</v>
      </c>
      <c r="AH974" t="s">
        <v>803</v>
      </c>
      <c r="AI974" t="s">
        <v>6634</v>
      </c>
      <c r="AJ974">
        <v>1039</v>
      </c>
    </row>
    <row r="975" spans="1:36">
      <c r="A975" t="s">
        <v>6324</v>
      </c>
      <c r="B975" t="s">
        <v>6325</v>
      </c>
      <c r="C975" t="s">
        <v>6635</v>
      </c>
      <c r="D975" t="s">
        <v>6636</v>
      </c>
      <c r="E975" t="s">
        <v>6637</v>
      </c>
      <c r="F975">
        <v>2446</v>
      </c>
      <c r="G975">
        <v>2446</v>
      </c>
      <c r="H975">
        <v>2446</v>
      </c>
      <c r="P975" t="s">
        <v>80</v>
      </c>
      <c r="R975" s="7">
        <v>37446</v>
      </c>
      <c r="T975" t="s">
        <v>119</v>
      </c>
      <c r="W975" s="15">
        <v>5.1135799999999998</v>
      </c>
      <c r="X975" s="15">
        <v>-76.058359999999993</v>
      </c>
      <c r="Y975">
        <v>946.33100000000002</v>
      </c>
      <c r="Z975">
        <v>3520</v>
      </c>
      <c r="AB975" t="s">
        <v>5431</v>
      </c>
      <c r="AF975" t="s">
        <v>50</v>
      </c>
      <c r="AG975" t="s">
        <v>360</v>
      </c>
      <c r="AH975" t="s">
        <v>367</v>
      </c>
      <c r="AI975" t="s">
        <v>6638</v>
      </c>
      <c r="AJ975">
        <v>1040</v>
      </c>
    </row>
    <row r="976" spans="1:36">
      <c r="A976" t="s">
        <v>6324</v>
      </c>
      <c r="B976" t="s">
        <v>6325</v>
      </c>
      <c r="C976" t="s">
        <v>6639</v>
      </c>
      <c r="D976" t="s">
        <v>6640</v>
      </c>
      <c r="E976" t="s">
        <v>6641</v>
      </c>
      <c r="F976">
        <v>2000</v>
      </c>
      <c r="G976">
        <v>2000</v>
      </c>
      <c r="H976">
        <v>2000</v>
      </c>
      <c r="I976" t="s">
        <v>672</v>
      </c>
      <c r="J976" t="s">
        <v>673</v>
      </c>
      <c r="K976" t="s">
        <v>674</v>
      </c>
      <c r="L976" t="s">
        <v>675</v>
      </c>
      <c r="M976" t="s">
        <v>676</v>
      </c>
      <c r="N976" t="s">
        <v>677</v>
      </c>
      <c r="O976" t="s">
        <v>678</v>
      </c>
      <c r="P976" t="s">
        <v>679</v>
      </c>
      <c r="R976" s="7">
        <v>38284</v>
      </c>
      <c r="T976" t="s">
        <v>111</v>
      </c>
      <c r="W976" s="15">
        <v>4.72879</v>
      </c>
      <c r="X976" s="15">
        <v>-75.5779</v>
      </c>
      <c r="Y976">
        <v>611.64800000000002</v>
      </c>
      <c r="Z976">
        <v>1864</v>
      </c>
      <c r="AB976" t="s">
        <v>359</v>
      </c>
      <c r="AF976" t="s">
        <v>50</v>
      </c>
      <c r="AG976" t="s">
        <v>360</v>
      </c>
      <c r="AH976" t="s">
        <v>361</v>
      </c>
      <c r="AI976" t="s">
        <v>6642</v>
      </c>
      <c r="AJ976">
        <v>1041</v>
      </c>
    </row>
    <row r="977" spans="1:36">
      <c r="A977" t="s">
        <v>6324</v>
      </c>
      <c r="B977" t="s">
        <v>6325</v>
      </c>
      <c r="C977" t="s">
        <v>6643</v>
      </c>
      <c r="D977" t="s">
        <v>6644</v>
      </c>
      <c r="E977" t="s">
        <v>6641</v>
      </c>
      <c r="F977">
        <v>2000</v>
      </c>
      <c r="G977">
        <v>2000</v>
      </c>
      <c r="H977">
        <v>2000</v>
      </c>
      <c r="I977" t="s">
        <v>672</v>
      </c>
      <c r="J977" t="s">
        <v>673</v>
      </c>
      <c r="K977" t="s">
        <v>674</v>
      </c>
      <c r="L977" t="s">
        <v>675</v>
      </c>
      <c r="M977" t="s">
        <v>676</v>
      </c>
      <c r="N977" t="s">
        <v>677</v>
      </c>
      <c r="O977" t="s">
        <v>678</v>
      </c>
      <c r="P977" t="s">
        <v>679</v>
      </c>
      <c r="R977" s="7">
        <v>38284</v>
      </c>
      <c r="T977" t="s">
        <v>111</v>
      </c>
      <c r="W977" s="15">
        <v>4.72879</v>
      </c>
      <c r="X977" s="15">
        <v>-75.5779</v>
      </c>
      <c r="Y977">
        <v>611.64800000000002</v>
      </c>
      <c r="Z977">
        <v>1864</v>
      </c>
      <c r="AB977" t="s">
        <v>359</v>
      </c>
      <c r="AF977" t="s">
        <v>50</v>
      </c>
      <c r="AG977" t="s">
        <v>360</v>
      </c>
      <c r="AH977" t="s">
        <v>361</v>
      </c>
      <c r="AI977" t="s">
        <v>6642</v>
      </c>
      <c r="AJ977">
        <v>1042</v>
      </c>
    </row>
    <row r="978" spans="1:36">
      <c r="A978" t="s">
        <v>6324</v>
      </c>
      <c r="B978" t="s">
        <v>6325</v>
      </c>
      <c r="C978" t="s">
        <v>6645</v>
      </c>
      <c r="D978" t="s">
        <v>1060</v>
      </c>
      <c r="E978" t="s">
        <v>6646</v>
      </c>
      <c r="F978">
        <v>2824</v>
      </c>
      <c r="G978">
        <v>2824</v>
      </c>
      <c r="H978">
        <v>2824</v>
      </c>
      <c r="I978" t="s">
        <v>5455</v>
      </c>
      <c r="J978" t="s">
        <v>3162</v>
      </c>
      <c r="K978" t="s">
        <v>5456</v>
      </c>
      <c r="L978" t="s">
        <v>5457</v>
      </c>
      <c r="M978" t="s">
        <v>5458</v>
      </c>
      <c r="P978" t="s">
        <v>80</v>
      </c>
      <c r="R978" s="7">
        <v>40744</v>
      </c>
      <c r="T978" t="s">
        <v>119</v>
      </c>
      <c r="W978" s="15">
        <v>5.1244243999999997</v>
      </c>
      <c r="X978" s="15">
        <v>-76.041665399999999</v>
      </c>
      <c r="AF978" t="s">
        <v>50</v>
      </c>
      <c r="AG978" t="s">
        <v>360</v>
      </c>
      <c r="AH978" t="s">
        <v>367</v>
      </c>
      <c r="AI978" t="s">
        <v>6647</v>
      </c>
      <c r="AJ978">
        <v>1043</v>
      </c>
    </row>
    <row r="979" spans="1:36">
      <c r="A979" t="s">
        <v>6324</v>
      </c>
      <c r="B979" t="s">
        <v>6325</v>
      </c>
      <c r="C979" t="s">
        <v>6648</v>
      </c>
      <c r="D979" t="s">
        <v>1529</v>
      </c>
      <c r="E979" t="s">
        <v>6649</v>
      </c>
      <c r="F979">
        <v>1783</v>
      </c>
      <c r="G979">
        <v>1783</v>
      </c>
      <c r="H979">
        <v>1783</v>
      </c>
      <c r="I979" t="s">
        <v>3168</v>
      </c>
      <c r="J979" t="s">
        <v>3169</v>
      </c>
      <c r="K979" t="s">
        <v>3170</v>
      </c>
      <c r="L979" t="s">
        <v>3171</v>
      </c>
      <c r="M979" t="s">
        <v>3172</v>
      </c>
      <c r="N979" t="s">
        <v>3173</v>
      </c>
      <c r="O979" t="s">
        <v>3174</v>
      </c>
      <c r="P979" t="s">
        <v>3175</v>
      </c>
      <c r="R979" s="7">
        <v>41019</v>
      </c>
      <c r="T979" t="s">
        <v>119</v>
      </c>
      <c r="W979" s="15">
        <v>4.72879</v>
      </c>
      <c r="X979" s="15">
        <v>-75.5779</v>
      </c>
      <c r="Y979">
        <v>611.64800000000002</v>
      </c>
      <c r="Z979">
        <v>1864</v>
      </c>
      <c r="AB979" t="s">
        <v>359</v>
      </c>
      <c r="AF979" t="s">
        <v>50</v>
      </c>
      <c r="AG979" t="s">
        <v>360</v>
      </c>
      <c r="AH979" t="s">
        <v>361</v>
      </c>
      <c r="AI979" t="s">
        <v>6650</v>
      </c>
      <c r="AJ979">
        <v>1044</v>
      </c>
    </row>
    <row r="980" spans="1:36">
      <c r="A980" t="s">
        <v>6324</v>
      </c>
      <c r="B980" t="s">
        <v>6325</v>
      </c>
      <c r="C980" t="s">
        <v>6651</v>
      </c>
      <c r="D980" t="s">
        <v>6652</v>
      </c>
      <c r="E980" t="s">
        <v>6653</v>
      </c>
      <c r="F980">
        <v>2970</v>
      </c>
      <c r="G980">
        <v>2970</v>
      </c>
      <c r="H980">
        <v>2970</v>
      </c>
      <c r="P980" t="s">
        <v>80</v>
      </c>
      <c r="R980" s="7">
        <v>24807</v>
      </c>
      <c r="T980" t="s">
        <v>119</v>
      </c>
      <c r="W980" s="15">
        <v>6.1998800000000003</v>
      </c>
      <c r="X980" s="15">
        <v>-72.833399999999997</v>
      </c>
      <c r="Y980">
        <v>4689.9719999999998</v>
      </c>
      <c r="Z980">
        <v>2970</v>
      </c>
      <c r="AB980" t="s">
        <v>2138</v>
      </c>
      <c r="AF980" t="s">
        <v>50</v>
      </c>
      <c r="AG980" t="s">
        <v>224</v>
      </c>
      <c r="AH980" t="s">
        <v>6654</v>
      </c>
      <c r="AJ980">
        <v>1045</v>
      </c>
    </row>
    <row r="981" spans="1:36">
      <c r="A981" t="s">
        <v>6324</v>
      </c>
      <c r="B981" t="s">
        <v>6325</v>
      </c>
      <c r="C981" t="s">
        <v>6655</v>
      </c>
      <c r="D981" t="s">
        <v>6656</v>
      </c>
      <c r="E981" t="s">
        <v>6657</v>
      </c>
      <c r="F981">
        <v>2780</v>
      </c>
      <c r="G981">
        <v>2780</v>
      </c>
      <c r="H981">
        <v>2780</v>
      </c>
      <c r="P981" t="s">
        <v>80</v>
      </c>
      <c r="R981" s="7">
        <v>35741</v>
      </c>
      <c r="T981" t="s">
        <v>119</v>
      </c>
      <c r="W981" s="15">
        <v>7.0823299999999998</v>
      </c>
      <c r="X981" s="15">
        <v>-72.994669999999999</v>
      </c>
      <c r="Y981">
        <v>2524.7350000000001</v>
      </c>
      <c r="Z981">
        <v>2539</v>
      </c>
      <c r="AB981" t="s">
        <v>6658</v>
      </c>
      <c r="AF981" t="s">
        <v>50</v>
      </c>
      <c r="AG981" t="s">
        <v>224</v>
      </c>
      <c r="AH981" t="s">
        <v>6659</v>
      </c>
      <c r="AI981" t="s">
        <v>6660</v>
      </c>
      <c r="AJ981">
        <v>1046</v>
      </c>
    </row>
    <row r="982" spans="1:36">
      <c r="A982" t="s">
        <v>6324</v>
      </c>
      <c r="B982" t="s">
        <v>6325</v>
      </c>
      <c r="C982" t="s">
        <v>6661</v>
      </c>
      <c r="D982" t="s">
        <v>6662</v>
      </c>
      <c r="E982" t="s">
        <v>6663</v>
      </c>
      <c r="F982">
        <v>3500</v>
      </c>
      <c r="G982">
        <v>3500</v>
      </c>
      <c r="H982">
        <v>3500</v>
      </c>
      <c r="P982" t="s">
        <v>80</v>
      </c>
      <c r="R982" s="7">
        <v>40017</v>
      </c>
      <c r="T982" t="s">
        <v>119</v>
      </c>
      <c r="W982" s="15">
        <v>4.5803900000000004</v>
      </c>
      <c r="X982" s="15">
        <v>-75.375399999999999</v>
      </c>
      <c r="Y982">
        <v>5787.4660000000003</v>
      </c>
      <c r="Z982">
        <v>3196</v>
      </c>
      <c r="AB982" t="s">
        <v>2183</v>
      </c>
      <c r="AF982" t="s">
        <v>50</v>
      </c>
      <c r="AG982" t="s">
        <v>133</v>
      </c>
      <c r="AH982" t="s">
        <v>351</v>
      </c>
      <c r="AI982" t="s">
        <v>6664</v>
      </c>
      <c r="AJ982">
        <v>1048</v>
      </c>
    </row>
    <row r="983" spans="1:36" s="11" customFormat="1">
      <c r="A983" s="11" t="s">
        <v>6324</v>
      </c>
      <c r="B983" s="11" t="s">
        <v>6325</v>
      </c>
      <c r="C983" s="11" t="s">
        <v>6665</v>
      </c>
      <c r="D983" s="11" t="s">
        <v>1060</v>
      </c>
      <c r="E983" s="11" t="s">
        <v>6663</v>
      </c>
      <c r="F983" s="11">
        <v>3500</v>
      </c>
      <c r="G983" s="11">
        <v>3500</v>
      </c>
      <c r="H983" s="11">
        <v>3500</v>
      </c>
      <c r="P983" s="11" t="s">
        <v>80</v>
      </c>
      <c r="R983" s="13">
        <v>40017</v>
      </c>
      <c r="T983" s="11" t="s">
        <v>119</v>
      </c>
      <c r="W983" s="15">
        <v>4.5803900000000004</v>
      </c>
      <c r="X983" s="15">
        <v>-75.375399999999999</v>
      </c>
      <c r="Y983" s="11">
        <v>5787.4660000000003</v>
      </c>
      <c r="Z983" s="11">
        <v>3196</v>
      </c>
      <c r="AB983" s="11" t="s">
        <v>2183</v>
      </c>
      <c r="AF983" s="11" t="s">
        <v>50</v>
      </c>
      <c r="AG983" s="11" t="s">
        <v>133</v>
      </c>
      <c r="AH983" s="11" t="s">
        <v>351</v>
      </c>
      <c r="AI983" s="11" t="s">
        <v>6664</v>
      </c>
      <c r="AJ983" s="11">
        <v>1049</v>
      </c>
    </row>
    <row r="984" spans="1:36">
      <c r="A984" t="s">
        <v>6324</v>
      </c>
      <c r="B984" t="s">
        <v>6325</v>
      </c>
      <c r="C984" t="s">
        <v>6666</v>
      </c>
      <c r="D984" t="s">
        <v>6662</v>
      </c>
      <c r="E984" t="s">
        <v>6667</v>
      </c>
      <c r="F984">
        <v>3696</v>
      </c>
      <c r="G984">
        <v>3696</v>
      </c>
      <c r="H984">
        <v>3696</v>
      </c>
      <c r="I984" t="s">
        <v>5527</v>
      </c>
      <c r="J984" t="s">
        <v>5528</v>
      </c>
      <c r="K984" t="s">
        <v>2190</v>
      </c>
      <c r="L984" t="s">
        <v>2191</v>
      </c>
      <c r="M984" t="s">
        <v>5529</v>
      </c>
      <c r="N984" t="s">
        <v>347</v>
      </c>
      <c r="O984" t="s">
        <v>348</v>
      </c>
      <c r="P984" t="s">
        <v>349</v>
      </c>
      <c r="R984" s="7">
        <v>40022</v>
      </c>
      <c r="T984" t="s">
        <v>119</v>
      </c>
      <c r="W984" s="15">
        <v>4.5583499999999999</v>
      </c>
      <c r="X984" s="15">
        <v>-75.320210000000003</v>
      </c>
      <c r="Y984">
        <v>714.47500000000002</v>
      </c>
      <c r="Z984">
        <v>2033</v>
      </c>
      <c r="AB984" t="s">
        <v>350</v>
      </c>
      <c r="AF984" t="s">
        <v>50</v>
      </c>
      <c r="AG984" t="s">
        <v>133</v>
      </c>
      <c r="AH984" t="s">
        <v>351</v>
      </c>
      <c r="AI984" t="s">
        <v>6668</v>
      </c>
      <c r="AJ984">
        <v>1050</v>
      </c>
    </row>
    <row r="985" spans="1:36">
      <c r="A985" t="s">
        <v>6324</v>
      </c>
      <c r="B985" t="s">
        <v>6325</v>
      </c>
      <c r="C985" t="s">
        <v>6669</v>
      </c>
      <c r="D985" t="s">
        <v>6670</v>
      </c>
      <c r="E985" t="s">
        <v>6671</v>
      </c>
      <c r="F985" t="s">
        <v>1768</v>
      </c>
      <c r="G985">
        <v>3000</v>
      </c>
      <c r="H985">
        <v>3500</v>
      </c>
      <c r="P985" t="s">
        <v>80</v>
      </c>
      <c r="R985" s="7">
        <v>39815</v>
      </c>
      <c r="T985" t="s">
        <v>119</v>
      </c>
      <c r="W985" s="15">
        <v>3.34415</v>
      </c>
      <c r="X985" s="15">
        <v>-76.695809999999994</v>
      </c>
      <c r="Y985">
        <v>916.18299999999999</v>
      </c>
      <c r="Z985">
        <v>3944</v>
      </c>
      <c r="AB985" t="s">
        <v>3291</v>
      </c>
      <c r="AF985" t="s">
        <v>50</v>
      </c>
      <c r="AG985" t="s">
        <v>83</v>
      </c>
      <c r="AH985" t="s">
        <v>3296</v>
      </c>
      <c r="AI985" t="s">
        <v>6672</v>
      </c>
      <c r="AJ985">
        <v>1051</v>
      </c>
    </row>
    <row r="986" spans="1:36">
      <c r="A986" t="s">
        <v>6324</v>
      </c>
      <c r="B986" t="s">
        <v>6325</v>
      </c>
      <c r="C986" t="s">
        <v>6673</v>
      </c>
      <c r="D986" t="s">
        <v>1837</v>
      </c>
      <c r="E986" t="s">
        <v>6674</v>
      </c>
      <c r="F986">
        <v>3</v>
      </c>
      <c r="G986">
        <v>3</v>
      </c>
      <c r="H986">
        <v>3</v>
      </c>
      <c r="I986" t="s">
        <v>6675</v>
      </c>
      <c r="J986" t="s">
        <v>6676</v>
      </c>
      <c r="K986" t="s">
        <v>6677</v>
      </c>
      <c r="L986" t="s">
        <v>6678</v>
      </c>
      <c r="M986" t="s">
        <v>6679</v>
      </c>
      <c r="N986" t="s">
        <v>6680</v>
      </c>
      <c r="O986" t="s">
        <v>6681</v>
      </c>
      <c r="P986" t="s">
        <v>6682</v>
      </c>
      <c r="R986" s="7">
        <v>40373</v>
      </c>
      <c r="T986" t="s">
        <v>119</v>
      </c>
      <c r="W986" s="15">
        <v>3.8401944000000001</v>
      </c>
      <c r="X986" s="15">
        <v>-77.194722200000001</v>
      </c>
      <c r="AF986" t="s">
        <v>50</v>
      </c>
      <c r="AG986" t="s">
        <v>83</v>
      </c>
      <c r="AH986" t="s">
        <v>6683</v>
      </c>
      <c r="AI986" t="s">
        <v>6684</v>
      </c>
      <c r="AJ986">
        <v>1052</v>
      </c>
    </row>
    <row r="987" spans="1:36">
      <c r="A987" t="s">
        <v>6685</v>
      </c>
      <c r="B987" t="s">
        <v>6686</v>
      </c>
      <c r="C987" t="s">
        <v>6687</v>
      </c>
      <c r="D987" t="s">
        <v>6688</v>
      </c>
      <c r="E987" t="s">
        <v>6689</v>
      </c>
      <c r="F987">
        <v>3040</v>
      </c>
      <c r="G987">
        <v>3040</v>
      </c>
      <c r="H987">
        <v>3040</v>
      </c>
      <c r="P987" t="s">
        <v>80</v>
      </c>
      <c r="R987" s="7">
        <v>30895</v>
      </c>
      <c r="T987" t="s">
        <v>111</v>
      </c>
      <c r="W987" s="15">
        <v>6.4375799999999996</v>
      </c>
      <c r="X987" s="15">
        <v>-76.115899999999996</v>
      </c>
      <c r="Y987">
        <v>7088.2489999999998</v>
      </c>
      <c r="Z987">
        <v>2463</v>
      </c>
      <c r="AB987" t="s">
        <v>1683</v>
      </c>
      <c r="AF987" t="s">
        <v>50</v>
      </c>
      <c r="AG987" t="s">
        <v>402</v>
      </c>
      <c r="AH987" t="s">
        <v>1685</v>
      </c>
      <c r="AI987" t="s">
        <v>6690</v>
      </c>
      <c r="AJ987">
        <v>1053</v>
      </c>
    </row>
    <row r="988" spans="1:36">
      <c r="A988" t="s">
        <v>6685</v>
      </c>
      <c r="B988" t="s">
        <v>6686</v>
      </c>
      <c r="C988" t="s">
        <v>6691</v>
      </c>
      <c r="D988" t="s">
        <v>6692</v>
      </c>
      <c r="E988" t="s">
        <v>6689</v>
      </c>
      <c r="F988">
        <v>3115</v>
      </c>
      <c r="G988">
        <v>3115</v>
      </c>
      <c r="H988">
        <v>3115</v>
      </c>
      <c r="P988" t="s">
        <v>80</v>
      </c>
      <c r="R988" s="7">
        <v>30935</v>
      </c>
      <c r="T988" t="s">
        <v>119</v>
      </c>
      <c r="W988" s="15">
        <v>6.4375799999999996</v>
      </c>
      <c r="X988" s="15">
        <v>-76.115899999999996</v>
      </c>
      <c r="Y988">
        <v>7088.2489999999998</v>
      </c>
      <c r="Z988">
        <v>2463</v>
      </c>
      <c r="AB988" t="s">
        <v>1683</v>
      </c>
      <c r="AF988" t="s">
        <v>50</v>
      </c>
      <c r="AG988" t="s">
        <v>402</v>
      </c>
      <c r="AH988" t="s">
        <v>1685</v>
      </c>
      <c r="AI988" t="s">
        <v>6690</v>
      </c>
      <c r="AJ988">
        <v>1054</v>
      </c>
    </row>
    <row r="989" spans="1:36">
      <c r="A989" t="s">
        <v>6685</v>
      </c>
      <c r="B989" t="s">
        <v>6686</v>
      </c>
      <c r="C989" t="s">
        <v>6693</v>
      </c>
      <c r="D989" t="s">
        <v>6694</v>
      </c>
      <c r="E989" t="s">
        <v>6695</v>
      </c>
      <c r="F989">
        <v>2920</v>
      </c>
      <c r="G989">
        <v>2920</v>
      </c>
      <c r="H989">
        <v>2920</v>
      </c>
      <c r="I989" t="s">
        <v>5783</v>
      </c>
      <c r="J989" t="s">
        <v>5784</v>
      </c>
      <c r="K989" t="s">
        <v>5785</v>
      </c>
      <c r="L989" t="s">
        <v>5786</v>
      </c>
      <c r="M989" t="s">
        <v>5787</v>
      </c>
      <c r="N989" t="s">
        <v>5788</v>
      </c>
      <c r="O989" t="s">
        <v>5789</v>
      </c>
      <c r="P989" t="s">
        <v>5790</v>
      </c>
      <c r="R989" s="7">
        <v>37539</v>
      </c>
      <c r="W989" s="15">
        <v>6.4988099999999998</v>
      </c>
      <c r="X989" s="15">
        <v>-75.636369999999999</v>
      </c>
      <c r="Y989">
        <v>1715.8679999999999</v>
      </c>
      <c r="Z989">
        <v>2964</v>
      </c>
      <c r="AB989" t="s">
        <v>5791</v>
      </c>
      <c r="AF989" t="s">
        <v>50</v>
      </c>
      <c r="AG989" t="s">
        <v>402</v>
      </c>
      <c r="AH989" t="s">
        <v>1710</v>
      </c>
      <c r="AI989" t="s">
        <v>6696</v>
      </c>
      <c r="AJ989">
        <v>1055</v>
      </c>
    </row>
    <row r="990" spans="1:36">
      <c r="A990" t="s">
        <v>6685</v>
      </c>
      <c r="B990" t="s">
        <v>6686</v>
      </c>
      <c r="C990" t="s">
        <v>6693</v>
      </c>
      <c r="D990" t="s">
        <v>6697</v>
      </c>
      <c r="E990" t="s">
        <v>6695</v>
      </c>
      <c r="F990">
        <v>2920</v>
      </c>
      <c r="G990">
        <v>2920</v>
      </c>
      <c r="H990">
        <v>2920</v>
      </c>
      <c r="I990" t="s">
        <v>5783</v>
      </c>
      <c r="J990" t="s">
        <v>5784</v>
      </c>
      <c r="K990" t="s">
        <v>5785</v>
      </c>
      <c r="L990" t="s">
        <v>5786</v>
      </c>
      <c r="M990" t="s">
        <v>5787</v>
      </c>
      <c r="N990" t="s">
        <v>5788</v>
      </c>
      <c r="O990" t="s">
        <v>5789</v>
      </c>
      <c r="P990" t="s">
        <v>5790</v>
      </c>
      <c r="R990" s="7">
        <v>37539</v>
      </c>
      <c r="T990" t="s">
        <v>119</v>
      </c>
      <c r="W990" s="15">
        <v>6.4988099999999998</v>
      </c>
      <c r="X990" s="15">
        <v>-75.636369999999999</v>
      </c>
      <c r="Y990">
        <v>1715.8679999999999</v>
      </c>
      <c r="Z990">
        <v>2964</v>
      </c>
      <c r="AB990" t="s">
        <v>5791</v>
      </c>
      <c r="AF990" t="s">
        <v>50</v>
      </c>
      <c r="AG990" t="s">
        <v>402</v>
      </c>
      <c r="AH990" t="s">
        <v>1710</v>
      </c>
      <c r="AI990" t="s">
        <v>6696</v>
      </c>
      <c r="AJ990">
        <v>1057</v>
      </c>
    </row>
    <row r="991" spans="1:36">
      <c r="A991" t="s">
        <v>6685</v>
      </c>
      <c r="B991" t="s">
        <v>6686</v>
      </c>
      <c r="C991" t="s">
        <v>6693</v>
      </c>
      <c r="D991" t="s">
        <v>6698</v>
      </c>
      <c r="E991" t="s">
        <v>6695</v>
      </c>
      <c r="F991">
        <v>2920</v>
      </c>
      <c r="G991">
        <v>2920</v>
      </c>
      <c r="H991">
        <v>2920</v>
      </c>
      <c r="I991" t="s">
        <v>5783</v>
      </c>
      <c r="J991" t="s">
        <v>5784</v>
      </c>
      <c r="K991" t="s">
        <v>5785</v>
      </c>
      <c r="L991" t="s">
        <v>5786</v>
      </c>
      <c r="M991" t="s">
        <v>5787</v>
      </c>
      <c r="N991" t="s">
        <v>5788</v>
      </c>
      <c r="O991" t="s">
        <v>5789</v>
      </c>
      <c r="P991" t="s">
        <v>5790</v>
      </c>
      <c r="R991" s="7">
        <v>37539</v>
      </c>
      <c r="T991" t="s">
        <v>119</v>
      </c>
      <c r="W991" s="15">
        <v>6.4988099999999998</v>
      </c>
      <c r="X991" s="15">
        <v>-75.636369999999999</v>
      </c>
      <c r="Y991">
        <v>1715.8679999999999</v>
      </c>
      <c r="Z991">
        <v>2964</v>
      </c>
      <c r="AB991" t="s">
        <v>5791</v>
      </c>
      <c r="AF991" t="s">
        <v>50</v>
      </c>
      <c r="AG991" t="s">
        <v>402</v>
      </c>
      <c r="AH991" t="s">
        <v>1710</v>
      </c>
      <c r="AI991" t="s">
        <v>6696</v>
      </c>
      <c r="AJ991">
        <v>1058</v>
      </c>
    </row>
    <row r="992" spans="1:36">
      <c r="A992" t="s">
        <v>6685</v>
      </c>
      <c r="B992" t="s">
        <v>6686</v>
      </c>
      <c r="C992" t="s">
        <v>6693</v>
      </c>
      <c r="D992" t="s">
        <v>6699</v>
      </c>
      <c r="E992" t="s">
        <v>6695</v>
      </c>
      <c r="F992">
        <v>2920</v>
      </c>
      <c r="G992">
        <v>2920</v>
      </c>
      <c r="H992">
        <v>2920</v>
      </c>
      <c r="I992" t="s">
        <v>5783</v>
      </c>
      <c r="J992" t="s">
        <v>5784</v>
      </c>
      <c r="K992" t="s">
        <v>5785</v>
      </c>
      <c r="L992" t="s">
        <v>5786</v>
      </c>
      <c r="M992" t="s">
        <v>5787</v>
      </c>
      <c r="N992" t="s">
        <v>5788</v>
      </c>
      <c r="O992" t="s">
        <v>5789</v>
      </c>
      <c r="P992" t="s">
        <v>5790</v>
      </c>
      <c r="R992" s="7">
        <v>37539</v>
      </c>
      <c r="W992" s="15">
        <v>6.4988099999999998</v>
      </c>
      <c r="X992" s="15">
        <v>-75.636369999999999</v>
      </c>
      <c r="Y992">
        <v>1715.8679999999999</v>
      </c>
      <c r="Z992">
        <v>2964</v>
      </c>
      <c r="AB992" t="s">
        <v>5791</v>
      </c>
      <c r="AF992" t="s">
        <v>50</v>
      </c>
      <c r="AG992" t="s">
        <v>402</v>
      </c>
      <c r="AH992" t="s">
        <v>1710</v>
      </c>
      <c r="AI992" t="s">
        <v>6696</v>
      </c>
      <c r="AJ992">
        <v>1059</v>
      </c>
    </row>
    <row r="993" spans="1:36">
      <c r="A993" t="s">
        <v>6685</v>
      </c>
      <c r="B993" t="s">
        <v>6686</v>
      </c>
      <c r="C993" t="s">
        <v>6700</v>
      </c>
      <c r="D993" t="s">
        <v>1837</v>
      </c>
      <c r="E993" t="s">
        <v>5825</v>
      </c>
      <c r="F993">
        <v>3126</v>
      </c>
      <c r="G993">
        <v>3126</v>
      </c>
      <c r="H993">
        <v>3126</v>
      </c>
      <c r="I993" t="s">
        <v>6701</v>
      </c>
      <c r="J993" t="s">
        <v>6702</v>
      </c>
      <c r="K993" t="s">
        <v>6703</v>
      </c>
      <c r="L993" t="s">
        <v>6704</v>
      </c>
      <c r="M993" t="s">
        <v>6705</v>
      </c>
      <c r="P993" t="s">
        <v>80</v>
      </c>
      <c r="R993" s="7">
        <v>40948</v>
      </c>
      <c r="T993" t="s">
        <v>119</v>
      </c>
      <c r="W993" s="15">
        <v>6.6219666669999997</v>
      </c>
      <c r="X993" s="15">
        <v>-75.644949999999994</v>
      </c>
      <c r="AF993" t="s">
        <v>50</v>
      </c>
      <c r="AG993" t="s">
        <v>402</v>
      </c>
      <c r="AH993" t="s">
        <v>1710</v>
      </c>
      <c r="AI993" t="s">
        <v>5831</v>
      </c>
      <c r="AJ993">
        <v>1060</v>
      </c>
    </row>
    <row r="994" spans="1:36">
      <c r="A994" t="s">
        <v>6685</v>
      </c>
      <c r="B994" t="s">
        <v>6686</v>
      </c>
      <c r="C994" t="s">
        <v>6706</v>
      </c>
      <c r="D994" t="s">
        <v>6707</v>
      </c>
      <c r="E994" t="s">
        <v>6708</v>
      </c>
      <c r="F994">
        <v>3100</v>
      </c>
      <c r="G994">
        <v>3100</v>
      </c>
      <c r="H994">
        <v>3100</v>
      </c>
      <c r="P994" t="s">
        <v>80</v>
      </c>
      <c r="R994" s="7">
        <v>24762</v>
      </c>
      <c r="T994" t="s">
        <v>119</v>
      </c>
      <c r="W994" s="15">
        <v>5.6657700000000002</v>
      </c>
      <c r="X994" s="15">
        <v>-73.365380000000002</v>
      </c>
      <c r="Y994">
        <v>5046.6350000000002</v>
      </c>
      <c r="Z994">
        <v>3057</v>
      </c>
      <c r="AB994" t="s">
        <v>6709</v>
      </c>
      <c r="AF994" t="s">
        <v>50</v>
      </c>
      <c r="AG994" t="s">
        <v>90</v>
      </c>
      <c r="AH994" t="s">
        <v>6710</v>
      </c>
      <c r="AI994" t="s">
        <v>6711</v>
      </c>
      <c r="AJ994">
        <v>1061</v>
      </c>
    </row>
    <row r="995" spans="1:36">
      <c r="A995" t="s">
        <v>6685</v>
      </c>
      <c r="B995" t="s">
        <v>6686</v>
      </c>
      <c r="C995" t="s">
        <v>6712</v>
      </c>
      <c r="D995" t="s">
        <v>6713</v>
      </c>
      <c r="E995" t="s">
        <v>6714</v>
      </c>
      <c r="F995">
        <v>3100</v>
      </c>
      <c r="G995">
        <v>3100</v>
      </c>
      <c r="H995">
        <v>3100</v>
      </c>
      <c r="P995" t="s">
        <v>80</v>
      </c>
      <c r="R995" s="7">
        <v>25442</v>
      </c>
      <c r="T995" t="s">
        <v>6715</v>
      </c>
      <c r="W995" s="15">
        <v>5.6657700000000002</v>
      </c>
      <c r="X995" s="15">
        <v>-73.365380000000002</v>
      </c>
      <c r="Y995">
        <v>5046.6350000000002</v>
      </c>
      <c r="Z995">
        <v>3057</v>
      </c>
      <c r="AB995" t="s">
        <v>6709</v>
      </c>
      <c r="AF995" t="s">
        <v>50</v>
      </c>
      <c r="AG995" t="s">
        <v>90</v>
      </c>
      <c r="AH995" t="s">
        <v>6716</v>
      </c>
      <c r="AI995" t="s">
        <v>6717</v>
      </c>
      <c r="AJ995">
        <v>1062</v>
      </c>
    </row>
    <row r="996" spans="1:36">
      <c r="A996" t="s">
        <v>6685</v>
      </c>
      <c r="B996" t="s">
        <v>6686</v>
      </c>
      <c r="C996" t="s">
        <v>6718</v>
      </c>
      <c r="D996" t="s">
        <v>3349</v>
      </c>
      <c r="E996" t="s">
        <v>6719</v>
      </c>
      <c r="P996" t="s">
        <v>80</v>
      </c>
      <c r="R996" s="7">
        <v>28035</v>
      </c>
      <c r="W996" s="15">
        <v>5.42103</v>
      </c>
      <c r="X996" s="15">
        <v>-73.544179999999997</v>
      </c>
      <c r="Y996">
        <v>653.03899999999999</v>
      </c>
      <c r="Z996">
        <v>3284</v>
      </c>
      <c r="AB996" t="s">
        <v>3351</v>
      </c>
      <c r="AF996" t="s">
        <v>50</v>
      </c>
      <c r="AG996" t="s">
        <v>90</v>
      </c>
      <c r="AH996" t="s">
        <v>3352</v>
      </c>
      <c r="AI996" t="s">
        <v>6720</v>
      </c>
      <c r="AJ996">
        <v>1063</v>
      </c>
    </row>
    <row r="997" spans="1:36">
      <c r="A997" t="s">
        <v>6685</v>
      </c>
      <c r="B997" t="s">
        <v>6686</v>
      </c>
      <c r="C997" t="s">
        <v>6721</v>
      </c>
      <c r="D997" t="s">
        <v>6722</v>
      </c>
      <c r="E997" t="s">
        <v>6723</v>
      </c>
      <c r="F997">
        <v>3150</v>
      </c>
      <c r="G997">
        <v>3150</v>
      </c>
      <c r="H997">
        <v>3150</v>
      </c>
      <c r="P997" t="s">
        <v>80</v>
      </c>
      <c r="R997" s="7">
        <v>34408</v>
      </c>
      <c r="T997" t="s">
        <v>111</v>
      </c>
      <c r="W997" s="15">
        <v>5.9510500000000004</v>
      </c>
      <c r="X997" s="15">
        <v>-73.118390000000005</v>
      </c>
      <c r="Y997">
        <v>3701.6990000000001</v>
      </c>
      <c r="Z997">
        <v>3184</v>
      </c>
      <c r="AB997" t="s">
        <v>6724</v>
      </c>
      <c r="AF997" t="s">
        <v>50</v>
      </c>
      <c r="AG997" t="s">
        <v>90</v>
      </c>
      <c r="AH997" t="s">
        <v>6725</v>
      </c>
      <c r="AI997" t="s">
        <v>6726</v>
      </c>
      <c r="AJ997">
        <v>1064</v>
      </c>
    </row>
    <row r="998" spans="1:36">
      <c r="A998" t="s">
        <v>6685</v>
      </c>
      <c r="B998" t="s">
        <v>6686</v>
      </c>
      <c r="C998" t="s">
        <v>6727</v>
      </c>
      <c r="D998" t="s">
        <v>6728</v>
      </c>
      <c r="E998" t="s">
        <v>6729</v>
      </c>
      <c r="F998">
        <v>2750</v>
      </c>
      <c r="G998">
        <v>2750</v>
      </c>
      <c r="H998">
        <v>2750</v>
      </c>
      <c r="P998" t="s">
        <v>80</v>
      </c>
      <c r="R998" s="7">
        <v>37051</v>
      </c>
      <c r="T998" t="s">
        <v>119</v>
      </c>
      <c r="W998" s="15">
        <v>5.7177800000000003</v>
      </c>
      <c r="X998" s="15">
        <v>-73.458420000000004</v>
      </c>
      <c r="Y998">
        <v>1169.473</v>
      </c>
      <c r="Z998">
        <v>2715</v>
      </c>
      <c r="AB998" t="s">
        <v>6730</v>
      </c>
      <c r="AF998" t="s">
        <v>50</v>
      </c>
      <c r="AG998" t="s">
        <v>90</v>
      </c>
      <c r="AH998" t="s">
        <v>2680</v>
      </c>
      <c r="AI998" t="s">
        <v>6731</v>
      </c>
      <c r="AJ998">
        <v>1065</v>
      </c>
    </row>
    <row r="999" spans="1:36">
      <c r="A999" t="s">
        <v>6685</v>
      </c>
      <c r="B999" t="s">
        <v>6686</v>
      </c>
      <c r="C999" t="s">
        <v>6732</v>
      </c>
      <c r="D999" t="s">
        <v>6733</v>
      </c>
      <c r="E999" t="s">
        <v>6734</v>
      </c>
      <c r="F999">
        <v>3000</v>
      </c>
      <c r="G999">
        <v>3000</v>
      </c>
      <c r="H999">
        <v>3000</v>
      </c>
      <c r="I999" t="s">
        <v>6735</v>
      </c>
      <c r="J999" t="s">
        <v>6736</v>
      </c>
      <c r="K999" t="s">
        <v>6737</v>
      </c>
      <c r="L999" t="s">
        <v>6738</v>
      </c>
      <c r="M999" t="s">
        <v>6739</v>
      </c>
      <c r="N999" t="s">
        <v>6740</v>
      </c>
      <c r="O999" t="s">
        <v>6741</v>
      </c>
      <c r="P999" t="s">
        <v>6742</v>
      </c>
      <c r="R999" s="7">
        <v>21402</v>
      </c>
      <c r="T999" t="s">
        <v>119</v>
      </c>
      <c r="W999" s="15">
        <v>4.9268944000000001</v>
      </c>
      <c r="X999" s="15">
        <v>-75.416205599999998</v>
      </c>
      <c r="AF999" t="s">
        <v>50</v>
      </c>
      <c r="AG999" t="s">
        <v>167</v>
      </c>
      <c r="AH999" t="s">
        <v>6743</v>
      </c>
      <c r="AI999" t="s">
        <v>6744</v>
      </c>
      <c r="AJ999">
        <v>1066</v>
      </c>
    </row>
    <row r="1000" spans="1:36">
      <c r="A1000" t="s">
        <v>6685</v>
      </c>
      <c r="B1000" t="s">
        <v>6686</v>
      </c>
      <c r="C1000" t="s">
        <v>1756</v>
      </c>
      <c r="D1000" t="s">
        <v>1757</v>
      </c>
      <c r="E1000" t="s">
        <v>6745</v>
      </c>
      <c r="F1000">
        <v>3240</v>
      </c>
      <c r="G1000">
        <v>3240</v>
      </c>
      <c r="H1000">
        <v>3240</v>
      </c>
      <c r="P1000" t="s">
        <v>80</v>
      </c>
      <c r="R1000" s="7">
        <v>21736</v>
      </c>
      <c r="T1000" t="s">
        <v>65</v>
      </c>
      <c r="W1000" s="15">
        <v>4.9722</v>
      </c>
      <c r="X1000" s="15">
        <v>-75.380589999999998</v>
      </c>
      <c r="Y1000">
        <v>615.61400000000003</v>
      </c>
      <c r="Z1000">
        <v>3513</v>
      </c>
      <c r="AB1000" t="s">
        <v>1804</v>
      </c>
      <c r="AF1000" t="s">
        <v>50</v>
      </c>
      <c r="AG1000" t="s">
        <v>167</v>
      </c>
      <c r="AH1000" t="s">
        <v>6746</v>
      </c>
      <c r="AI1000" t="s">
        <v>1760</v>
      </c>
      <c r="AJ1000">
        <v>1067</v>
      </c>
    </row>
    <row r="1001" spans="1:36">
      <c r="A1001" t="s">
        <v>6685</v>
      </c>
      <c r="B1001" t="s">
        <v>6686</v>
      </c>
      <c r="C1001" t="s">
        <v>6747</v>
      </c>
      <c r="D1001" t="s">
        <v>6748</v>
      </c>
      <c r="E1001" t="s">
        <v>6749</v>
      </c>
      <c r="P1001" t="s">
        <v>80</v>
      </c>
      <c r="R1001" s="7">
        <v>22576</v>
      </c>
      <c r="W1001" s="15">
        <v>4.9722</v>
      </c>
      <c r="X1001" s="15">
        <v>-75.380589999999998</v>
      </c>
      <c r="Y1001">
        <v>615.61400000000003</v>
      </c>
      <c r="Z1001">
        <v>3513</v>
      </c>
      <c r="AB1001" t="s">
        <v>1804</v>
      </c>
      <c r="AF1001" t="s">
        <v>50</v>
      </c>
      <c r="AG1001" t="s">
        <v>167</v>
      </c>
      <c r="AH1001" t="s">
        <v>993</v>
      </c>
      <c r="AI1001" t="s">
        <v>1764</v>
      </c>
      <c r="AJ1001">
        <v>1068</v>
      </c>
    </row>
    <row r="1002" spans="1:36">
      <c r="A1002" t="s">
        <v>6685</v>
      </c>
      <c r="B1002" t="s">
        <v>6686</v>
      </c>
      <c r="C1002" t="s">
        <v>6750</v>
      </c>
      <c r="D1002" t="s">
        <v>1529</v>
      </c>
      <c r="E1002" t="s">
        <v>6751</v>
      </c>
      <c r="F1002">
        <v>2800</v>
      </c>
      <c r="G1002">
        <v>2800</v>
      </c>
      <c r="H1002">
        <v>2800</v>
      </c>
      <c r="P1002" t="s">
        <v>80</v>
      </c>
      <c r="R1002" s="7">
        <v>39663</v>
      </c>
      <c r="T1002" t="s">
        <v>119</v>
      </c>
      <c r="W1002" s="15">
        <v>5.3832899999999997</v>
      </c>
      <c r="X1002" s="15">
        <v>-75.353309999999993</v>
      </c>
      <c r="Y1002">
        <v>1469.046</v>
      </c>
      <c r="Z1002">
        <v>2946</v>
      </c>
      <c r="AB1002" t="s">
        <v>1822</v>
      </c>
      <c r="AF1002" t="s">
        <v>50</v>
      </c>
      <c r="AG1002" t="s">
        <v>167</v>
      </c>
      <c r="AH1002" t="s">
        <v>1823</v>
      </c>
      <c r="AI1002" t="s">
        <v>6752</v>
      </c>
      <c r="AJ1002">
        <v>1069</v>
      </c>
    </row>
    <row r="1003" spans="1:36">
      <c r="A1003" t="s">
        <v>6685</v>
      </c>
      <c r="B1003" t="s">
        <v>6686</v>
      </c>
      <c r="C1003" t="s">
        <v>6753</v>
      </c>
      <c r="D1003" t="s">
        <v>1060</v>
      </c>
      <c r="E1003" t="s">
        <v>6754</v>
      </c>
      <c r="F1003">
        <v>2759</v>
      </c>
      <c r="G1003">
        <v>2759</v>
      </c>
      <c r="H1003">
        <v>2759</v>
      </c>
      <c r="I1003" t="s">
        <v>1827</v>
      </c>
      <c r="J1003" t="s">
        <v>1828</v>
      </c>
      <c r="K1003" t="s">
        <v>1829</v>
      </c>
      <c r="L1003" t="s">
        <v>1830</v>
      </c>
      <c r="M1003" t="s">
        <v>1831</v>
      </c>
      <c r="N1003" t="s">
        <v>1832</v>
      </c>
      <c r="O1003" t="s">
        <v>1833</v>
      </c>
      <c r="P1003" t="s">
        <v>1834</v>
      </c>
      <c r="R1003" s="7">
        <v>39955</v>
      </c>
      <c r="T1003" t="s">
        <v>119</v>
      </c>
      <c r="W1003" s="15">
        <v>5.0627500000000003</v>
      </c>
      <c r="X1003" s="15">
        <v>-75.382388899999995</v>
      </c>
      <c r="AF1003" t="s">
        <v>50</v>
      </c>
      <c r="AG1003" t="s">
        <v>167</v>
      </c>
      <c r="AH1003" t="s">
        <v>168</v>
      </c>
      <c r="AI1003" t="s">
        <v>6755</v>
      </c>
      <c r="AJ1003">
        <v>1070</v>
      </c>
    </row>
    <row r="1004" spans="1:36">
      <c r="A1004" t="s">
        <v>6685</v>
      </c>
      <c r="B1004" t="s">
        <v>6686</v>
      </c>
      <c r="C1004" t="s">
        <v>6756</v>
      </c>
      <c r="D1004" t="s">
        <v>1529</v>
      </c>
      <c r="E1004" t="s">
        <v>6757</v>
      </c>
      <c r="F1004">
        <v>3227</v>
      </c>
      <c r="G1004">
        <v>3227</v>
      </c>
      <c r="H1004">
        <v>3227</v>
      </c>
      <c r="P1004" t="s">
        <v>80</v>
      </c>
      <c r="R1004" s="7">
        <v>40602</v>
      </c>
      <c r="T1004" t="s">
        <v>119</v>
      </c>
      <c r="W1004" s="15">
        <v>5.3704499999999999</v>
      </c>
      <c r="X1004" s="15">
        <v>-75.385949999999994</v>
      </c>
      <c r="Y1004">
        <v>5096.4889999999996</v>
      </c>
      <c r="Z1004">
        <v>2888</v>
      </c>
      <c r="AB1004" t="s">
        <v>1844</v>
      </c>
      <c r="AF1004" t="s">
        <v>50</v>
      </c>
      <c r="AG1004" t="s">
        <v>167</v>
      </c>
      <c r="AH1004" t="s">
        <v>1823</v>
      </c>
      <c r="AI1004" t="s">
        <v>6758</v>
      </c>
      <c r="AJ1004">
        <v>1071</v>
      </c>
    </row>
    <row r="1005" spans="1:36">
      <c r="A1005" t="s">
        <v>6685</v>
      </c>
      <c r="B1005" t="s">
        <v>6686</v>
      </c>
      <c r="C1005" t="s">
        <v>6759</v>
      </c>
      <c r="D1005" t="s">
        <v>6760</v>
      </c>
      <c r="E1005" t="s">
        <v>6761</v>
      </c>
      <c r="F1005">
        <v>3100</v>
      </c>
      <c r="G1005">
        <v>3100</v>
      </c>
      <c r="H1005">
        <v>3100</v>
      </c>
      <c r="I1005" t="s">
        <v>6762</v>
      </c>
      <c r="J1005" t="s">
        <v>6763</v>
      </c>
      <c r="K1005" t="s">
        <v>6764</v>
      </c>
      <c r="L1005" t="s">
        <v>6765</v>
      </c>
      <c r="M1005" t="s">
        <v>6766</v>
      </c>
      <c r="N1005" t="s">
        <v>6767</v>
      </c>
      <c r="O1005" t="s">
        <v>6768</v>
      </c>
      <c r="P1005" t="s">
        <v>6769</v>
      </c>
      <c r="R1005" s="7">
        <v>27964</v>
      </c>
      <c r="W1005" s="15">
        <v>2.3112194000000001</v>
      </c>
      <c r="X1005" s="15">
        <v>-76.392288899999997</v>
      </c>
      <c r="AF1005" t="s">
        <v>50</v>
      </c>
      <c r="AG1005" t="s">
        <v>283</v>
      </c>
      <c r="AH1005" t="s">
        <v>6770</v>
      </c>
      <c r="AJ1005">
        <v>1072</v>
      </c>
    </row>
    <row r="1006" spans="1:36">
      <c r="A1006" t="s">
        <v>6685</v>
      </c>
      <c r="B1006" t="s">
        <v>6686</v>
      </c>
      <c r="C1006" t="s">
        <v>6771</v>
      </c>
      <c r="D1006" t="s">
        <v>6772</v>
      </c>
      <c r="E1006" t="s">
        <v>6773</v>
      </c>
      <c r="F1006">
        <v>2980</v>
      </c>
      <c r="G1006">
        <v>2980</v>
      </c>
      <c r="H1006">
        <v>2980</v>
      </c>
      <c r="I1006" t="s">
        <v>768</v>
      </c>
      <c r="J1006" t="s">
        <v>769</v>
      </c>
      <c r="K1006" t="s">
        <v>770</v>
      </c>
      <c r="L1006" t="s">
        <v>771</v>
      </c>
      <c r="M1006" t="s">
        <v>772</v>
      </c>
      <c r="N1006" t="s">
        <v>773</v>
      </c>
      <c r="O1006" t="s">
        <v>774</v>
      </c>
      <c r="P1006" t="s">
        <v>775</v>
      </c>
      <c r="R1006" s="7">
        <v>37391</v>
      </c>
      <c r="T1006" t="s">
        <v>119</v>
      </c>
      <c r="W1006" s="15">
        <v>2.4500000000000002</v>
      </c>
      <c r="X1006" s="15">
        <v>-76.616666699999996</v>
      </c>
      <c r="AF1006" t="s">
        <v>50</v>
      </c>
      <c r="AG1006" t="s">
        <v>283</v>
      </c>
      <c r="AH1006" t="s">
        <v>703</v>
      </c>
      <c r="AI1006" t="s">
        <v>6774</v>
      </c>
      <c r="AJ1006">
        <v>1073</v>
      </c>
    </row>
    <row r="1007" spans="1:36">
      <c r="A1007" t="s">
        <v>6685</v>
      </c>
      <c r="B1007" t="s">
        <v>6686</v>
      </c>
      <c r="C1007" t="s">
        <v>6775</v>
      </c>
      <c r="D1007" t="s">
        <v>6776</v>
      </c>
      <c r="E1007" t="s">
        <v>6777</v>
      </c>
      <c r="F1007">
        <v>3000</v>
      </c>
      <c r="G1007">
        <v>3000</v>
      </c>
      <c r="H1007">
        <v>3000</v>
      </c>
      <c r="I1007" t="s">
        <v>1914</v>
      </c>
      <c r="J1007" t="s">
        <v>1915</v>
      </c>
      <c r="K1007" t="s">
        <v>1916</v>
      </c>
      <c r="L1007" t="s">
        <v>1917</v>
      </c>
      <c r="M1007" t="s">
        <v>1918</v>
      </c>
      <c r="N1007" t="s">
        <v>1919</v>
      </c>
      <c r="O1007" t="s">
        <v>1920</v>
      </c>
      <c r="P1007" t="s">
        <v>1921</v>
      </c>
      <c r="R1007" s="7">
        <v>37555</v>
      </c>
      <c r="T1007" t="s">
        <v>119</v>
      </c>
      <c r="W1007" s="15">
        <v>1.7598611</v>
      </c>
      <c r="X1007" s="15">
        <v>-76.905833299999998</v>
      </c>
      <c r="AF1007" t="s">
        <v>50</v>
      </c>
      <c r="AG1007" t="s">
        <v>283</v>
      </c>
      <c r="AH1007" t="s">
        <v>944</v>
      </c>
      <c r="AI1007" t="s">
        <v>6778</v>
      </c>
      <c r="AJ1007">
        <v>1074</v>
      </c>
    </row>
    <row r="1008" spans="1:36">
      <c r="A1008" t="s">
        <v>6685</v>
      </c>
      <c r="B1008" t="s">
        <v>6686</v>
      </c>
      <c r="C1008" t="s">
        <v>6779</v>
      </c>
      <c r="D1008" t="s">
        <v>6780</v>
      </c>
      <c r="E1008" t="s">
        <v>1907</v>
      </c>
      <c r="F1008">
        <v>3200</v>
      </c>
      <c r="G1008">
        <v>3200</v>
      </c>
      <c r="H1008">
        <v>3200</v>
      </c>
      <c r="I1008" t="s">
        <v>768</v>
      </c>
      <c r="J1008" t="s">
        <v>769</v>
      </c>
      <c r="K1008" t="s">
        <v>770</v>
      </c>
      <c r="L1008" t="s">
        <v>771</v>
      </c>
      <c r="M1008" t="s">
        <v>772</v>
      </c>
      <c r="N1008" t="s">
        <v>773</v>
      </c>
      <c r="O1008" t="s">
        <v>774</v>
      </c>
      <c r="P1008" t="s">
        <v>775</v>
      </c>
      <c r="R1008" s="7">
        <v>37660</v>
      </c>
      <c r="T1008" t="s">
        <v>111</v>
      </c>
      <c r="W1008" s="15">
        <v>2.4500000000000002</v>
      </c>
      <c r="X1008" s="15">
        <v>-76.616666699999996</v>
      </c>
      <c r="AF1008" t="s">
        <v>50</v>
      </c>
      <c r="AG1008" t="s">
        <v>283</v>
      </c>
      <c r="AH1008" t="s">
        <v>703</v>
      </c>
      <c r="AI1008" t="s">
        <v>1909</v>
      </c>
      <c r="AJ1008">
        <v>1075</v>
      </c>
    </row>
    <row r="1009" spans="1:36" s="2" customFormat="1">
      <c r="A1009" t="s">
        <v>6685</v>
      </c>
      <c r="B1009" t="s">
        <v>6686</v>
      </c>
      <c r="C1009" t="s">
        <v>6781</v>
      </c>
      <c r="D1009" t="s">
        <v>6782</v>
      </c>
      <c r="E1009" t="s">
        <v>6783</v>
      </c>
      <c r="F1009" t="s">
        <v>6784</v>
      </c>
      <c r="G1009">
        <v>2600</v>
      </c>
      <c r="H1009">
        <v>3000</v>
      </c>
      <c r="I1009" t="s">
        <v>768</v>
      </c>
      <c r="J1009" t="s">
        <v>769</v>
      </c>
      <c r="K1009" t="s">
        <v>770</v>
      </c>
      <c r="L1009" t="s">
        <v>771</v>
      </c>
      <c r="M1009" t="s">
        <v>772</v>
      </c>
      <c r="N1009" t="s">
        <v>773</v>
      </c>
      <c r="O1009" t="s">
        <v>774</v>
      </c>
      <c r="P1009" t="s">
        <v>775</v>
      </c>
      <c r="Q1009"/>
      <c r="R1009" s="7">
        <v>37689</v>
      </c>
      <c r="S1009"/>
      <c r="T1009" t="s">
        <v>111</v>
      </c>
      <c r="U1009"/>
      <c r="V1009"/>
      <c r="W1009" s="15">
        <v>2.4500000000000002</v>
      </c>
      <c r="X1009" s="15">
        <v>-76.616666699999996</v>
      </c>
      <c r="Y1009"/>
      <c r="Z1009"/>
      <c r="AA1009"/>
      <c r="AB1009"/>
      <c r="AC1009"/>
      <c r="AD1009"/>
      <c r="AE1009"/>
      <c r="AF1009" t="s">
        <v>50</v>
      </c>
      <c r="AG1009" t="s">
        <v>283</v>
      </c>
      <c r="AH1009" t="s">
        <v>703</v>
      </c>
      <c r="AI1009" t="s">
        <v>6785</v>
      </c>
      <c r="AJ1009">
        <v>1076</v>
      </c>
    </row>
    <row r="1010" spans="1:36">
      <c r="A1010" t="s">
        <v>6685</v>
      </c>
      <c r="B1010" t="s">
        <v>6686</v>
      </c>
      <c r="C1010" t="s">
        <v>6786</v>
      </c>
      <c r="D1010" t="s">
        <v>6787</v>
      </c>
      <c r="E1010" t="s">
        <v>6788</v>
      </c>
      <c r="F1010" t="s">
        <v>1913</v>
      </c>
      <c r="G1010">
        <v>2500</v>
      </c>
      <c r="H1010">
        <v>3000</v>
      </c>
      <c r="I1010" t="s">
        <v>1914</v>
      </c>
      <c r="J1010" t="s">
        <v>1915</v>
      </c>
      <c r="K1010" t="s">
        <v>1916</v>
      </c>
      <c r="L1010" t="s">
        <v>1917</v>
      </c>
      <c r="M1010" t="s">
        <v>1918</v>
      </c>
      <c r="N1010" t="s">
        <v>1919</v>
      </c>
      <c r="O1010" t="s">
        <v>1920</v>
      </c>
      <c r="P1010" t="s">
        <v>1921</v>
      </c>
      <c r="R1010" s="7">
        <v>37865</v>
      </c>
      <c r="T1010" t="s">
        <v>119</v>
      </c>
      <c r="W1010" s="15">
        <v>1.7598611</v>
      </c>
      <c r="X1010" s="15">
        <v>-76.905833299999998</v>
      </c>
      <c r="AF1010" t="s">
        <v>50</v>
      </c>
      <c r="AG1010" t="s">
        <v>283</v>
      </c>
      <c r="AH1010" t="s">
        <v>944</v>
      </c>
      <c r="AI1010" t="s">
        <v>6789</v>
      </c>
      <c r="AJ1010">
        <v>1077</v>
      </c>
    </row>
    <row r="1011" spans="1:36">
      <c r="A1011" t="s">
        <v>6685</v>
      </c>
      <c r="B1011" t="s">
        <v>6686</v>
      </c>
      <c r="C1011" t="s">
        <v>6790</v>
      </c>
      <c r="D1011" t="s">
        <v>6791</v>
      </c>
      <c r="E1011" t="s">
        <v>6792</v>
      </c>
      <c r="F1011" t="s">
        <v>1445</v>
      </c>
      <c r="G1011">
        <v>2700</v>
      </c>
      <c r="H1011">
        <v>2800</v>
      </c>
      <c r="I1011" t="s">
        <v>6793</v>
      </c>
      <c r="J1011" t="s">
        <v>6794</v>
      </c>
      <c r="K1011" t="s">
        <v>4891</v>
      </c>
      <c r="L1011" t="s">
        <v>4892</v>
      </c>
      <c r="M1011" t="s">
        <v>6795</v>
      </c>
      <c r="N1011" t="s">
        <v>6796</v>
      </c>
      <c r="O1011" t="s">
        <v>4895</v>
      </c>
      <c r="P1011" t="s">
        <v>6797</v>
      </c>
      <c r="R1011" s="7">
        <v>37881</v>
      </c>
      <c r="T1011" t="s">
        <v>119</v>
      </c>
      <c r="W1011" s="15">
        <v>2.5500028000000001</v>
      </c>
      <c r="X1011" s="15">
        <v>-76.066666699999999</v>
      </c>
      <c r="AF1011" t="s">
        <v>50</v>
      </c>
      <c r="AG1011" t="s">
        <v>283</v>
      </c>
      <c r="AH1011" t="s">
        <v>4847</v>
      </c>
      <c r="AI1011" t="s">
        <v>6798</v>
      </c>
      <c r="AJ1011">
        <v>1078</v>
      </c>
    </row>
    <row r="1012" spans="1:36">
      <c r="A1012" t="s">
        <v>6685</v>
      </c>
      <c r="B1012" t="s">
        <v>6686</v>
      </c>
      <c r="C1012" t="s">
        <v>6799</v>
      </c>
      <c r="D1012" t="s">
        <v>6800</v>
      </c>
      <c r="E1012" t="s">
        <v>6801</v>
      </c>
      <c r="F1012">
        <v>2900</v>
      </c>
      <c r="G1012">
        <v>2900</v>
      </c>
      <c r="H1012">
        <v>2900</v>
      </c>
      <c r="P1012" t="s">
        <v>80</v>
      </c>
      <c r="R1012" s="7">
        <v>38815</v>
      </c>
      <c r="T1012" t="s">
        <v>119</v>
      </c>
      <c r="W1012" s="15">
        <v>2.5862099999999999</v>
      </c>
      <c r="X1012" s="15">
        <v>-76.319789999999998</v>
      </c>
      <c r="Y1012">
        <v>530.36300000000006</v>
      </c>
      <c r="Z1012">
        <v>3645</v>
      </c>
      <c r="AB1012" t="s">
        <v>6802</v>
      </c>
      <c r="AF1012" t="s">
        <v>50</v>
      </c>
      <c r="AG1012" t="s">
        <v>283</v>
      </c>
      <c r="AH1012" t="s">
        <v>6495</v>
      </c>
      <c r="AI1012" t="s">
        <v>6803</v>
      </c>
      <c r="AJ1012">
        <v>1079</v>
      </c>
    </row>
    <row r="1013" spans="1:36">
      <c r="A1013" t="s">
        <v>6685</v>
      </c>
      <c r="B1013" t="s">
        <v>6686</v>
      </c>
      <c r="C1013" t="s">
        <v>6804</v>
      </c>
      <c r="D1013" t="s">
        <v>6805</v>
      </c>
      <c r="E1013" t="s">
        <v>6806</v>
      </c>
      <c r="F1013">
        <v>1810</v>
      </c>
      <c r="G1013">
        <v>1810</v>
      </c>
      <c r="H1013">
        <v>1810</v>
      </c>
      <c r="I1013" t="s">
        <v>6807</v>
      </c>
      <c r="J1013" t="s">
        <v>6808</v>
      </c>
      <c r="K1013" t="s">
        <v>6809</v>
      </c>
      <c r="L1013" t="s">
        <v>6810</v>
      </c>
      <c r="M1013" t="s">
        <v>6811</v>
      </c>
      <c r="N1013" t="s">
        <v>6812</v>
      </c>
      <c r="O1013" t="s">
        <v>6813</v>
      </c>
      <c r="P1013" t="s">
        <v>6814</v>
      </c>
      <c r="R1013" s="7">
        <v>39316</v>
      </c>
      <c r="T1013" t="s">
        <v>119</v>
      </c>
      <c r="W1013" s="15">
        <v>2.3510277999999998</v>
      </c>
      <c r="X1013" s="15">
        <v>-76.681697200000002</v>
      </c>
      <c r="AF1013" t="s">
        <v>50</v>
      </c>
      <c r="AG1013" t="s">
        <v>283</v>
      </c>
      <c r="AH1013" t="s">
        <v>6815</v>
      </c>
      <c r="AI1013" t="s">
        <v>6816</v>
      </c>
      <c r="AJ1013">
        <v>1080</v>
      </c>
    </row>
    <row r="1014" spans="1:36">
      <c r="A1014" t="s">
        <v>6685</v>
      </c>
      <c r="B1014" t="s">
        <v>6686</v>
      </c>
      <c r="C1014" t="s">
        <v>6817</v>
      </c>
      <c r="D1014" t="s">
        <v>6818</v>
      </c>
      <c r="E1014" t="s">
        <v>6819</v>
      </c>
      <c r="F1014">
        <v>3100</v>
      </c>
      <c r="G1014">
        <v>3100</v>
      </c>
      <c r="H1014">
        <v>3100</v>
      </c>
      <c r="I1014" t="s">
        <v>785</v>
      </c>
      <c r="J1014" t="s">
        <v>786</v>
      </c>
      <c r="K1014" t="s">
        <v>787</v>
      </c>
      <c r="L1014" t="s">
        <v>788</v>
      </c>
      <c r="M1014" t="s">
        <v>789</v>
      </c>
      <c r="N1014" t="s">
        <v>790</v>
      </c>
      <c r="O1014" t="s">
        <v>791</v>
      </c>
      <c r="P1014" t="s">
        <v>792</v>
      </c>
      <c r="R1014" s="7">
        <v>39354</v>
      </c>
      <c r="W1014" s="15">
        <v>2.5039278</v>
      </c>
      <c r="X1014" s="15">
        <v>-76.391227799999996</v>
      </c>
      <c r="AF1014" t="s">
        <v>50</v>
      </c>
      <c r="AG1014" t="s">
        <v>283</v>
      </c>
      <c r="AH1014" t="s">
        <v>1903</v>
      </c>
      <c r="AI1014" t="s">
        <v>6820</v>
      </c>
      <c r="AJ1014">
        <v>1081</v>
      </c>
    </row>
    <row r="1015" spans="1:36">
      <c r="A1015" t="s">
        <v>6685</v>
      </c>
      <c r="B1015" t="s">
        <v>6686</v>
      </c>
      <c r="C1015" t="s">
        <v>6821</v>
      </c>
      <c r="D1015" t="s">
        <v>6822</v>
      </c>
      <c r="E1015" t="s">
        <v>6823</v>
      </c>
      <c r="F1015">
        <v>3100</v>
      </c>
      <c r="G1015">
        <v>3100</v>
      </c>
      <c r="H1015">
        <v>3100</v>
      </c>
      <c r="I1015" t="s">
        <v>6762</v>
      </c>
      <c r="J1015" t="s">
        <v>6763</v>
      </c>
      <c r="K1015" t="s">
        <v>6764</v>
      </c>
      <c r="L1015" t="s">
        <v>6765</v>
      </c>
      <c r="M1015" t="s">
        <v>6766</v>
      </c>
      <c r="N1015" t="s">
        <v>6767</v>
      </c>
      <c r="O1015" t="s">
        <v>6768</v>
      </c>
      <c r="P1015" t="s">
        <v>6769</v>
      </c>
      <c r="R1015" s="7">
        <v>27962</v>
      </c>
      <c r="T1015" t="s">
        <v>119</v>
      </c>
      <c r="W1015" s="15">
        <v>2.3112194000000001</v>
      </c>
      <c r="X1015" s="15">
        <v>-76.392288899999997</v>
      </c>
      <c r="AF1015" t="s">
        <v>50</v>
      </c>
      <c r="AG1015" t="s">
        <v>6824</v>
      </c>
      <c r="AH1015" t="s">
        <v>6825</v>
      </c>
      <c r="AJ1015">
        <v>1082</v>
      </c>
    </row>
    <row r="1016" spans="1:36">
      <c r="A1016" t="s">
        <v>6685</v>
      </c>
      <c r="B1016" t="s">
        <v>6686</v>
      </c>
      <c r="C1016" t="s">
        <v>6826</v>
      </c>
      <c r="D1016" t="s">
        <v>6827</v>
      </c>
      <c r="E1016" t="s">
        <v>6828</v>
      </c>
      <c r="F1016">
        <v>2950</v>
      </c>
      <c r="G1016">
        <v>2950</v>
      </c>
      <c r="H1016">
        <v>2950</v>
      </c>
      <c r="I1016" t="s">
        <v>6829</v>
      </c>
      <c r="J1016" t="s">
        <v>6830</v>
      </c>
      <c r="K1016" t="s">
        <v>6831</v>
      </c>
      <c r="L1016" t="s">
        <v>6832</v>
      </c>
      <c r="M1016" t="s">
        <v>6833</v>
      </c>
      <c r="N1016" t="s">
        <v>6834</v>
      </c>
      <c r="O1016" t="s">
        <v>6835</v>
      </c>
      <c r="P1016" t="s">
        <v>6836</v>
      </c>
      <c r="R1016" s="7">
        <v>34278</v>
      </c>
      <c r="T1016" t="s">
        <v>111</v>
      </c>
      <c r="W1016" s="15">
        <v>10.00286</v>
      </c>
      <c r="X1016" s="15">
        <v>-73.01576</v>
      </c>
      <c r="Y1016">
        <v>5650.83</v>
      </c>
      <c r="Z1016">
        <v>2481</v>
      </c>
      <c r="AA1016" t="s">
        <v>6837</v>
      </c>
      <c r="AB1016" t="s">
        <v>5050</v>
      </c>
      <c r="AF1016" t="s">
        <v>50</v>
      </c>
      <c r="AG1016" t="s">
        <v>2824</v>
      </c>
      <c r="AH1016" t="s">
        <v>6838</v>
      </c>
      <c r="AI1016" t="s">
        <v>6839</v>
      </c>
      <c r="AJ1016">
        <v>1083</v>
      </c>
    </row>
    <row r="1017" spans="1:36">
      <c r="A1017" t="s">
        <v>6685</v>
      </c>
      <c r="B1017" t="s">
        <v>6686</v>
      </c>
      <c r="C1017" t="s">
        <v>6840</v>
      </c>
      <c r="D1017" t="s">
        <v>6841</v>
      </c>
      <c r="E1017" t="s">
        <v>6842</v>
      </c>
      <c r="F1017">
        <v>2970</v>
      </c>
      <c r="G1017">
        <v>2970</v>
      </c>
      <c r="H1017">
        <v>2970</v>
      </c>
      <c r="P1017" t="s">
        <v>80</v>
      </c>
      <c r="R1017" s="7">
        <v>35827</v>
      </c>
      <c r="T1017" t="s">
        <v>119</v>
      </c>
      <c r="W1017" s="15">
        <v>4.4435900000000004</v>
      </c>
      <c r="X1017" s="15">
        <v>-74.128619999999998</v>
      </c>
      <c r="Y1017">
        <v>2213.3710000000001</v>
      </c>
      <c r="Z1017">
        <v>3026</v>
      </c>
      <c r="AB1017" t="s">
        <v>6843</v>
      </c>
      <c r="AF1017" t="s">
        <v>50</v>
      </c>
      <c r="AG1017" t="s">
        <v>6844</v>
      </c>
      <c r="AH1017" t="s">
        <v>1963</v>
      </c>
      <c r="AI1017" t="s">
        <v>6845</v>
      </c>
      <c r="AJ1017">
        <v>1084</v>
      </c>
    </row>
    <row r="1018" spans="1:36">
      <c r="A1018" t="s">
        <v>6685</v>
      </c>
      <c r="B1018" t="s">
        <v>6686</v>
      </c>
      <c r="C1018" t="s">
        <v>6846</v>
      </c>
      <c r="D1018" t="s">
        <v>6847</v>
      </c>
      <c r="E1018" t="s">
        <v>6848</v>
      </c>
      <c r="F1018">
        <v>2800</v>
      </c>
      <c r="G1018">
        <v>2800</v>
      </c>
      <c r="H1018">
        <v>2800</v>
      </c>
      <c r="P1018" t="s">
        <v>80</v>
      </c>
      <c r="R1018" s="7">
        <v>15229</v>
      </c>
      <c r="W1018" s="15">
        <v>4.4438199999999997</v>
      </c>
      <c r="X1018" s="15">
        <v>-74.302070000000001</v>
      </c>
      <c r="Y1018">
        <v>919.07399999999996</v>
      </c>
      <c r="Z1018">
        <v>2740</v>
      </c>
      <c r="AB1018" t="s">
        <v>5862</v>
      </c>
      <c r="AF1018" t="s">
        <v>50</v>
      </c>
      <c r="AG1018" t="s">
        <v>98</v>
      </c>
      <c r="AH1018" t="s">
        <v>6849</v>
      </c>
      <c r="AI1018" t="s">
        <v>6850</v>
      </c>
      <c r="AJ1018">
        <v>1085</v>
      </c>
    </row>
    <row r="1019" spans="1:36">
      <c r="A1019" t="s">
        <v>6685</v>
      </c>
      <c r="B1019" t="s">
        <v>6686</v>
      </c>
      <c r="C1019" t="s">
        <v>6851</v>
      </c>
      <c r="D1019" t="s">
        <v>6852</v>
      </c>
      <c r="E1019" t="s">
        <v>6853</v>
      </c>
      <c r="F1019">
        <v>3000</v>
      </c>
      <c r="G1019">
        <v>3000</v>
      </c>
      <c r="H1019">
        <v>3000</v>
      </c>
      <c r="P1019" t="s">
        <v>80</v>
      </c>
      <c r="R1019" s="7">
        <v>27142</v>
      </c>
      <c r="T1019" t="s">
        <v>65</v>
      </c>
      <c r="W1019" s="15">
        <v>4.6613499999999997</v>
      </c>
      <c r="X1019" s="15">
        <v>-74.021050000000002</v>
      </c>
      <c r="Y1019">
        <v>137.88999999999999</v>
      </c>
      <c r="Z1019">
        <v>3119</v>
      </c>
      <c r="AB1019" t="s">
        <v>6854</v>
      </c>
      <c r="AF1019" t="s">
        <v>50</v>
      </c>
      <c r="AG1019" t="s">
        <v>98</v>
      </c>
      <c r="AH1019" t="s">
        <v>6855</v>
      </c>
      <c r="AI1019" t="s">
        <v>6856</v>
      </c>
      <c r="AJ1019">
        <v>1086</v>
      </c>
    </row>
    <row r="1020" spans="1:36">
      <c r="A1020" t="s">
        <v>6685</v>
      </c>
      <c r="B1020" t="s">
        <v>6686</v>
      </c>
      <c r="C1020" t="s">
        <v>6857</v>
      </c>
      <c r="D1020" t="s">
        <v>6858</v>
      </c>
      <c r="E1020" t="s">
        <v>6859</v>
      </c>
      <c r="F1020">
        <v>3200</v>
      </c>
      <c r="G1020">
        <v>3200</v>
      </c>
      <c r="H1020">
        <v>3200</v>
      </c>
      <c r="P1020" t="s">
        <v>80</v>
      </c>
      <c r="R1020" s="7">
        <v>33101</v>
      </c>
      <c r="T1020" t="s">
        <v>119</v>
      </c>
      <c r="W1020" s="15">
        <v>4.6320499999999996</v>
      </c>
      <c r="X1020" s="15">
        <v>-74.035039999999995</v>
      </c>
      <c r="Y1020">
        <v>2722.855</v>
      </c>
      <c r="Z1020">
        <v>3178</v>
      </c>
      <c r="AB1020" t="s">
        <v>1962</v>
      </c>
      <c r="AF1020" t="s">
        <v>50</v>
      </c>
      <c r="AG1020" t="s">
        <v>98</v>
      </c>
      <c r="AH1020" t="s">
        <v>1963</v>
      </c>
      <c r="AI1020" t="s">
        <v>6860</v>
      </c>
      <c r="AJ1020">
        <v>1087</v>
      </c>
    </row>
    <row r="1021" spans="1:36">
      <c r="A1021" t="s">
        <v>6685</v>
      </c>
      <c r="B1021" t="s">
        <v>6686</v>
      </c>
      <c r="C1021" t="s">
        <v>6861</v>
      </c>
      <c r="D1021" t="s">
        <v>6862</v>
      </c>
      <c r="E1021" t="s">
        <v>6859</v>
      </c>
      <c r="F1021">
        <v>3200</v>
      </c>
      <c r="G1021">
        <v>3200</v>
      </c>
      <c r="H1021">
        <v>3200</v>
      </c>
      <c r="P1021" t="s">
        <v>80</v>
      </c>
      <c r="R1021" s="7">
        <v>33126</v>
      </c>
      <c r="T1021" t="s">
        <v>119</v>
      </c>
      <c r="W1021" s="15">
        <v>4.6320499999999996</v>
      </c>
      <c r="X1021" s="15">
        <v>-74.035039999999995</v>
      </c>
      <c r="Y1021">
        <v>2722.855</v>
      </c>
      <c r="Z1021">
        <v>3178</v>
      </c>
      <c r="AB1021" t="s">
        <v>1962</v>
      </c>
      <c r="AF1021" t="s">
        <v>50</v>
      </c>
      <c r="AG1021" t="s">
        <v>98</v>
      </c>
      <c r="AH1021" t="s">
        <v>1963</v>
      </c>
      <c r="AI1021" t="s">
        <v>6860</v>
      </c>
      <c r="AJ1021">
        <v>1088</v>
      </c>
    </row>
    <row r="1022" spans="1:36">
      <c r="A1022" t="s">
        <v>6685</v>
      </c>
      <c r="B1022" t="s">
        <v>6686</v>
      </c>
      <c r="C1022" t="s">
        <v>6863</v>
      </c>
      <c r="D1022" t="s">
        <v>6864</v>
      </c>
      <c r="E1022" t="s">
        <v>6859</v>
      </c>
      <c r="F1022">
        <v>3200</v>
      </c>
      <c r="G1022">
        <v>3200</v>
      </c>
      <c r="H1022">
        <v>3200</v>
      </c>
      <c r="P1022" t="s">
        <v>80</v>
      </c>
      <c r="R1022" s="7">
        <v>33127</v>
      </c>
      <c r="T1022" t="s">
        <v>119</v>
      </c>
      <c r="W1022" s="15">
        <v>4.6320499999999996</v>
      </c>
      <c r="X1022" s="15">
        <v>-74.035039999999995</v>
      </c>
      <c r="Y1022">
        <v>2722.855</v>
      </c>
      <c r="Z1022">
        <v>3178</v>
      </c>
      <c r="AB1022" t="s">
        <v>1962</v>
      </c>
      <c r="AF1022" t="s">
        <v>50</v>
      </c>
      <c r="AG1022" t="s">
        <v>98</v>
      </c>
      <c r="AH1022" t="s">
        <v>1963</v>
      </c>
      <c r="AI1022" t="s">
        <v>6860</v>
      </c>
      <c r="AJ1022">
        <v>1089</v>
      </c>
    </row>
    <row r="1023" spans="1:36">
      <c r="A1023" t="s">
        <v>6685</v>
      </c>
      <c r="B1023" t="s">
        <v>6686</v>
      </c>
      <c r="C1023" t="s">
        <v>6865</v>
      </c>
      <c r="D1023" t="s">
        <v>6866</v>
      </c>
      <c r="E1023" t="s">
        <v>6859</v>
      </c>
      <c r="F1023">
        <v>3200</v>
      </c>
      <c r="G1023">
        <v>3200</v>
      </c>
      <c r="H1023">
        <v>3200</v>
      </c>
      <c r="P1023" t="s">
        <v>80</v>
      </c>
      <c r="R1023" s="7">
        <v>33127</v>
      </c>
      <c r="T1023" t="s">
        <v>119</v>
      </c>
      <c r="W1023" s="15">
        <v>4.6320499999999996</v>
      </c>
      <c r="X1023" s="15">
        <v>-74.035039999999995</v>
      </c>
      <c r="Y1023">
        <v>2722.855</v>
      </c>
      <c r="Z1023">
        <v>3178</v>
      </c>
      <c r="AB1023" t="s">
        <v>1962</v>
      </c>
      <c r="AF1023" t="s">
        <v>50</v>
      </c>
      <c r="AG1023" t="s">
        <v>98</v>
      </c>
      <c r="AH1023" t="s">
        <v>1963</v>
      </c>
      <c r="AI1023" t="s">
        <v>6860</v>
      </c>
      <c r="AJ1023">
        <v>1090</v>
      </c>
    </row>
    <row r="1024" spans="1:36">
      <c r="A1024" t="s">
        <v>6685</v>
      </c>
      <c r="B1024" t="s">
        <v>6686</v>
      </c>
      <c r="C1024" t="s">
        <v>6867</v>
      </c>
      <c r="D1024" t="s">
        <v>6868</v>
      </c>
      <c r="E1024" t="s">
        <v>3765</v>
      </c>
      <c r="F1024">
        <v>2600</v>
      </c>
      <c r="G1024">
        <v>2600</v>
      </c>
      <c r="H1024">
        <v>2600</v>
      </c>
      <c r="P1024" t="s">
        <v>80</v>
      </c>
      <c r="R1024" s="7">
        <v>36482</v>
      </c>
      <c r="W1024" s="15">
        <v>5.1134000000000004</v>
      </c>
      <c r="X1024" s="15">
        <v>-73.843590000000006</v>
      </c>
      <c r="Y1024">
        <v>270.79899999999998</v>
      </c>
      <c r="Z1024">
        <v>2600</v>
      </c>
      <c r="AB1024" t="s">
        <v>3768</v>
      </c>
      <c r="AF1024" t="s">
        <v>50</v>
      </c>
      <c r="AG1024" t="s">
        <v>98</v>
      </c>
      <c r="AH1024" t="s">
        <v>3769</v>
      </c>
      <c r="AI1024" t="s">
        <v>3770</v>
      </c>
      <c r="AJ1024">
        <v>1091</v>
      </c>
    </row>
    <row r="1025" spans="1:36">
      <c r="A1025" t="s">
        <v>6685</v>
      </c>
      <c r="B1025" t="s">
        <v>6686</v>
      </c>
      <c r="C1025" t="s">
        <v>6869</v>
      </c>
      <c r="D1025" t="s">
        <v>6870</v>
      </c>
      <c r="E1025" t="s">
        <v>6871</v>
      </c>
      <c r="F1025">
        <v>2950</v>
      </c>
      <c r="G1025">
        <v>2950</v>
      </c>
      <c r="H1025">
        <v>2950</v>
      </c>
      <c r="P1025" t="s">
        <v>80</v>
      </c>
      <c r="R1025" s="7">
        <v>37464</v>
      </c>
      <c r="T1025" t="s">
        <v>111</v>
      </c>
      <c r="W1025" s="15">
        <v>4.9978899999999999</v>
      </c>
      <c r="X1025" s="15">
        <v>-74.149029999999996</v>
      </c>
      <c r="Y1025">
        <v>231.68299999999999</v>
      </c>
      <c r="Z1025">
        <v>2801</v>
      </c>
      <c r="AB1025" t="s">
        <v>4946</v>
      </c>
      <c r="AF1025" t="s">
        <v>50</v>
      </c>
      <c r="AG1025" t="s">
        <v>98</v>
      </c>
      <c r="AH1025" t="s">
        <v>4947</v>
      </c>
      <c r="AI1025" t="s">
        <v>6872</v>
      </c>
      <c r="AJ1025">
        <v>1092</v>
      </c>
    </row>
    <row r="1026" spans="1:36">
      <c r="A1026" t="s">
        <v>6685</v>
      </c>
      <c r="B1026" t="s">
        <v>6686</v>
      </c>
      <c r="C1026" t="s">
        <v>6873</v>
      </c>
      <c r="D1026" t="s">
        <v>6874</v>
      </c>
      <c r="E1026" t="s">
        <v>5078</v>
      </c>
      <c r="F1026">
        <v>3100</v>
      </c>
      <c r="G1026">
        <v>3100</v>
      </c>
      <c r="H1026">
        <v>3100</v>
      </c>
      <c r="P1026" t="s">
        <v>80</v>
      </c>
      <c r="R1026" s="7">
        <v>28344</v>
      </c>
      <c r="W1026" s="15">
        <v>10.916600000000001</v>
      </c>
      <c r="X1026" s="15">
        <v>-73.833290000000005</v>
      </c>
      <c r="Y1026">
        <v>938.23099999999999</v>
      </c>
      <c r="Z1026">
        <v>2318</v>
      </c>
      <c r="AB1026" t="s">
        <v>3013</v>
      </c>
      <c r="AF1026" t="s">
        <v>50</v>
      </c>
      <c r="AG1026" t="s">
        <v>1296</v>
      </c>
      <c r="AH1026" t="s">
        <v>1297</v>
      </c>
      <c r="AI1026" t="s">
        <v>5079</v>
      </c>
      <c r="AJ1026">
        <v>1093</v>
      </c>
    </row>
    <row r="1027" spans="1:36">
      <c r="A1027" t="s">
        <v>6685</v>
      </c>
      <c r="B1027" t="s">
        <v>6686</v>
      </c>
      <c r="C1027" t="s">
        <v>6875</v>
      </c>
      <c r="D1027" t="s">
        <v>6876</v>
      </c>
      <c r="E1027" t="s">
        <v>6877</v>
      </c>
      <c r="F1027">
        <v>3200</v>
      </c>
      <c r="G1027">
        <v>3200</v>
      </c>
      <c r="H1027">
        <v>3200</v>
      </c>
      <c r="I1027" t="s">
        <v>6878</v>
      </c>
      <c r="J1027" t="s">
        <v>6879</v>
      </c>
      <c r="K1027" t="s">
        <v>6880</v>
      </c>
      <c r="L1027" t="s">
        <v>6881</v>
      </c>
      <c r="M1027" t="s">
        <v>6882</v>
      </c>
      <c r="N1027" t="s">
        <v>6883</v>
      </c>
      <c r="O1027" t="s">
        <v>6884</v>
      </c>
      <c r="P1027" t="s">
        <v>6885</v>
      </c>
      <c r="R1027" s="7">
        <v>14987</v>
      </c>
      <c r="W1027" s="15">
        <v>1.1454899999999999</v>
      </c>
      <c r="X1027" s="15">
        <v>-77.197980000000001</v>
      </c>
      <c r="Y1027">
        <v>2241.8209999999999</v>
      </c>
      <c r="Z1027">
        <v>3294</v>
      </c>
      <c r="AB1027" t="s">
        <v>6886</v>
      </c>
      <c r="AF1027" t="s">
        <v>50</v>
      </c>
      <c r="AG1027" t="s">
        <v>127</v>
      </c>
      <c r="AH1027" t="s">
        <v>6887</v>
      </c>
      <c r="AI1027" t="s">
        <v>6888</v>
      </c>
      <c r="AJ1027">
        <v>1094</v>
      </c>
    </row>
    <row r="1028" spans="1:36">
      <c r="A1028" t="s">
        <v>6685</v>
      </c>
      <c r="B1028" t="s">
        <v>6686</v>
      </c>
      <c r="C1028" t="s">
        <v>6889</v>
      </c>
      <c r="D1028" t="s">
        <v>6890</v>
      </c>
      <c r="E1028" t="s">
        <v>6891</v>
      </c>
      <c r="F1028">
        <v>2900</v>
      </c>
      <c r="G1028">
        <v>2900</v>
      </c>
      <c r="H1028">
        <v>2900</v>
      </c>
      <c r="I1028" t="s">
        <v>1988</v>
      </c>
      <c r="J1028" t="s">
        <v>1989</v>
      </c>
      <c r="K1028" t="s">
        <v>1990</v>
      </c>
      <c r="L1028" t="s">
        <v>1991</v>
      </c>
      <c r="M1028" t="s">
        <v>1992</v>
      </c>
      <c r="N1028" t="s">
        <v>1993</v>
      </c>
      <c r="O1028" t="s">
        <v>1994</v>
      </c>
      <c r="P1028" t="s">
        <v>1995</v>
      </c>
      <c r="R1028" s="7">
        <v>26601</v>
      </c>
      <c r="T1028" t="s">
        <v>119</v>
      </c>
      <c r="W1028" s="15">
        <v>1.2136917</v>
      </c>
      <c r="X1028" s="15">
        <v>-77.2726361</v>
      </c>
      <c r="AF1028" t="s">
        <v>50</v>
      </c>
      <c r="AG1028" t="s">
        <v>127</v>
      </c>
      <c r="AH1028" t="s">
        <v>1996</v>
      </c>
      <c r="AI1028" t="s">
        <v>6892</v>
      </c>
      <c r="AJ1028">
        <v>1095</v>
      </c>
    </row>
    <row r="1029" spans="1:36">
      <c r="A1029" t="s">
        <v>6685</v>
      </c>
      <c r="B1029" t="s">
        <v>6686</v>
      </c>
      <c r="C1029" t="s">
        <v>6893</v>
      </c>
      <c r="D1029" t="s">
        <v>6894</v>
      </c>
      <c r="E1029" t="s">
        <v>6895</v>
      </c>
      <c r="F1029">
        <v>2500</v>
      </c>
      <c r="G1029">
        <v>2500</v>
      </c>
      <c r="H1029">
        <v>2500</v>
      </c>
      <c r="I1029" t="s">
        <v>5868</v>
      </c>
      <c r="J1029" t="s">
        <v>5869</v>
      </c>
      <c r="K1029" t="s">
        <v>5870</v>
      </c>
      <c r="L1029" t="s">
        <v>5871</v>
      </c>
      <c r="M1029" t="s">
        <v>5872</v>
      </c>
      <c r="N1029" t="s">
        <v>5873</v>
      </c>
      <c r="O1029" t="s">
        <v>5874</v>
      </c>
      <c r="P1029" t="s">
        <v>5875</v>
      </c>
      <c r="R1029" s="7">
        <v>26674</v>
      </c>
      <c r="T1029" t="s">
        <v>119</v>
      </c>
      <c r="W1029" s="15">
        <v>1.1213</v>
      </c>
      <c r="X1029" s="15">
        <v>-77.189530000000005</v>
      </c>
      <c r="Y1029">
        <v>1709.0160000000001</v>
      </c>
      <c r="Z1029">
        <v>3012</v>
      </c>
      <c r="AB1029" t="s">
        <v>5876</v>
      </c>
      <c r="AF1029" t="s">
        <v>50</v>
      </c>
      <c r="AG1029" t="s">
        <v>127</v>
      </c>
      <c r="AH1029" t="s">
        <v>6896</v>
      </c>
      <c r="AI1029" t="s">
        <v>6897</v>
      </c>
      <c r="AJ1029">
        <v>1096</v>
      </c>
    </row>
    <row r="1030" spans="1:36">
      <c r="A1030" t="s">
        <v>6685</v>
      </c>
      <c r="B1030" t="s">
        <v>6686</v>
      </c>
      <c r="C1030" t="s">
        <v>6898</v>
      </c>
      <c r="D1030" t="s">
        <v>6899</v>
      </c>
      <c r="E1030" t="s">
        <v>6900</v>
      </c>
      <c r="F1030">
        <v>3100</v>
      </c>
      <c r="G1030">
        <v>3100</v>
      </c>
      <c r="H1030">
        <v>3100</v>
      </c>
      <c r="I1030" t="s">
        <v>6901</v>
      </c>
      <c r="J1030" t="s">
        <v>6902</v>
      </c>
      <c r="K1030" t="s">
        <v>6903</v>
      </c>
      <c r="L1030" t="s">
        <v>6904</v>
      </c>
      <c r="M1030" t="s">
        <v>6905</v>
      </c>
      <c r="N1030" t="s">
        <v>6906</v>
      </c>
      <c r="O1030" t="s">
        <v>6907</v>
      </c>
      <c r="P1030" t="s">
        <v>6908</v>
      </c>
      <c r="R1030" s="7">
        <v>32452</v>
      </c>
      <c r="T1030" t="s">
        <v>119</v>
      </c>
      <c r="W1030" s="15">
        <v>1.2</v>
      </c>
      <c r="X1030" s="15">
        <v>-77.2</v>
      </c>
      <c r="AF1030" t="s">
        <v>50</v>
      </c>
      <c r="AG1030" t="s">
        <v>127</v>
      </c>
      <c r="AH1030" t="s">
        <v>1996</v>
      </c>
      <c r="AI1030" t="s">
        <v>6909</v>
      </c>
      <c r="AJ1030">
        <v>1097</v>
      </c>
    </row>
    <row r="1031" spans="1:36">
      <c r="A1031" t="s">
        <v>6685</v>
      </c>
      <c r="B1031" t="s">
        <v>6686</v>
      </c>
      <c r="C1031" t="s">
        <v>6910</v>
      </c>
      <c r="D1031" t="s">
        <v>6911</v>
      </c>
      <c r="E1031" t="s">
        <v>6912</v>
      </c>
      <c r="F1031">
        <v>3000</v>
      </c>
      <c r="G1031">
        <v>3000</v>
      </c>
      <c r="H1031">
        <v>3000</v>
      </c>
      <c r="I1031" t="s">
        <v>1988</v>
      </c>
      <c r="J1031" t="s">
        <v>1989</v>
      </c>
      <c r="K1031" t="s">
        <v>1990</v>
      </c>
      <c r="L1031" t="s">
        <v>1991</v>
      </c>
      <c r="M1031" t="s">
        <v>1992</v>
      </c>
      <c r="N1031" t="s">
        <v>1993</v>
      </c>
      <c r="O1031" t="s">
        <v>1994</v>
      </c>
      <c r="P1031" t="s">
        <v>1995</v>
      </c>
      <c r="R1031" s="7">
        <v>33453</v>
      </c>
      <c r="T1031" t="s">
        <v>119</v>
      </c>
      <c r="W1031" s="15">
        <v>1.2136917</v>
      </c>
      <c r="X1031" s="15">
        <v>-77.2726361</v>
      </c>
      <c r="AF1031" t="s">
        <v>50</v>
      </c>
      <c r="AG1031" t="s">
        <v>127</v>
      </c>
      <c r="AH1031" t="s">
        <v>1996</v>
      </c>
      <c r="AI1031" t="s">
        <v>6913</v>
      </c>
      <c r="AJ1031">
        <v>1098</v>
      </c>
    </row>
    <row r="1032" spans="1:36">
      <c r="A1032" t="s">
        <v>6685</v>
      </c>
      <c r="B1032" t="s">
        <v>6686</v>
      </c>
      <c r="C1032" t="s">
        <v>6910</v>
      </c>
      <c r="D1032" t="s">
        <v>6914</v>
      </c>
      <c r="E1032" t="s">
        <v>6912</v>
      </c>
      <c r="F1032">
        <v>3000</v>
      </c>
      <c r="G1032">
        <v>3000</v>
      </c>
      <c r="H1032">
        <v>3000</v>
      </c>
      <c r="I1032" t="s">
        <v>1988</v>
      </c>
      <c r="J1032" t="s">
        <v>1989</v>
      </c>
      <c r="K1032" t="s">
        <v>1990</v>
      </c>
      <c r="L1032" t="s">
        <v>1991</v>
      </c>
      <c r="M1032" t="s">
        <v>1992</v>
      </c>
      <c r="N1032" t="s">
        <v>1993</v>
      </c>
      <c r="O1032" t="s">
        <v>1994</v>
      </c>
      <c r="P1032" t="s">
        <v>1995</v>
      </c>
      <c r="R1032" s="7">
        <v>33453</v>
      </c>
      <c r="T1032" t="s">
        <v>119</v>
      </c>
      <c r="W1032" s="15">
        <v>1.2136917</v>
      </c>
      <c r="X1032" s="15">
        <v>-77.2726361</v>
      </c>
      <c r="AF1032" t="s">
        <v>50</v>
      </c>
      <c r="AG1032" t="s">
        <v>127</v>
      </c>
      <c r="AH1032" t="s">
        <v>1996</v>
      </c>
      <c r="AI1032" t="s">
        <v>6913</v>
      </c>
      <c r="AJ1032">
        <v>1099</v>
      </c>
    </row>
    <row r="1033" spans="1:36">
      <c r="A1033" t="s">
        <v>6685</v>
      </c>
      <c r="B1033" t="s">
        <v>6686</v>
      </c>
      <c r="C1033" t="s">
        <v>6915</v>
      </c>
      <c r="D1033" t="s">
        <v>6916</v>
      </c>
      <c r="E1033" t="s">
        <v>6917</v>
      </c>
      <c r="F1033" t="s">
        <v>5883</v>
      </c>
      <c r="G1033">
        <v>2800</v>
      </c>
      <c r="H1033">
        <v>3000</v>
      </c>
      <c r="I1033" t="s">
        <v>6918</v>
      </c>
      <c r="J1033" t="s">
        <v>6919</v>
      </c>
      <c r="K1033" t="s">
        <v>6920</v>
      </c>
      <c r="L1033" t="s">
        <v>6921</v>
      </c>
      <c r="M1033" t="s">
        <v>6922</v>
      </c>
      <c r="N1033" t="s">
        <v>6923</v>
      </c>
      <c r="O1033" t="s">
        <v>6924</v>
      </c>
      <c r="P1033" t="s">
        <v>6925</v>
      </c>
      <c r="R1033" s="7">
        <v>39251</v>
      </c>
      <c r="T1033" t="s">
        <v>119</v>
      </c>
      <c r="W1033" s="15">
        <v>1.1626666999999999</v>
      </c>
      <c r="X1033" s="15">
        <v>-77.152747199999993</v>
      </c>
      <c r="AF1033" t="s">
        <v>50</v>
      </c>
      <c r="AG1033" t="s">
        <v>127</v>
      </c>
      <c r="AH1033" t="s">
        <v>1996</v>
      </c>
      <c r="AI1033" t="s">
        <v>6926</v>
      </c>
      <c r="AJ1033">
        <v>1100</v>
      </c>
    </row>
    <row r="1034" spans="1:36">
      <c r="A1034" t="s">
        <v>6685</v>
      </c>
      <c r="B1034" t="s">
        <v>6686</v>
      </c>
      <c r="C1034" t="s">
        <v>6927</v>
      </c>
      <c r="D1034" t="s">
        <v>6928</v>
      </c>
      <c r="E1034" t="s">
        <v>5890</v>
      </c>
      <c r="F1034">
        <v>2600</v>
      </c>
      <c r="G1034">
        <v>2600</v>
      </c>
      <c r="H1034">
        <v>2600</v>
      </c>
      <c r="P1034" t="s">
        <v>80</v>
      </c>
      <c r="R1034" s="7">
        <v>31868</v>
      </c>
      <c r="T1034" t="s">
        <v>119</v>
      </c>
      <c r="W1034" s="15">
        <v>7.4399300000000004</v>
      </c>
      <c r="X1034" s="15">
        <v>-72.450950000000006</v>
      </c>
      <c r="Y1034">
        <v>840.05700000000002</v>
      </c>
      <c r="Z1034">
        <v>2492</v>
      </c>
      <c r="AB1034" t="s">
        <v>3401</v>
      </c>
      <c r="AF1034" t="s">
        <v>50</v>
      </c>
      <c r="AG1034" t="s">
        <v>1306</v>
      </c>
      <c r="AH1034" t="s">
        <v>3402</v>
      </c>
      <c r="AI1034" t="s">
        <v>5891</v>
      </c>
      <c r="AJ1034">
        <v>1101</v>
      </c>
    </row>
    <row r="1035" spans="1:36">
      <c r="A1035" t="s">
        <v>6685</v>
      </c>
      <c r="B1035" t="s">
        <v>6686</v>
      </c>
      <c r="C1035" t="s">
        <v>6929</v>
      </c>
      <c r="D1035" t="s">
        <v>6930</v>
      </c>
      <c r="E1035" t="s">
        <v>6931</v>
      </c>
      <c r="F1035">
        <v>2900</v>
      </c>
      <c r="G1035">
        <v>2900</v>
      </c>
      <c r="H1035">
        <v>2900</v>
      </c>
      <c r="I1035" t="s">
        <v>797</v>
      </c>
      <c r="J1035" t="s">
        <v>798</v>
      </c>
      <c r="K1035" t="s">
        <v>799</v>
      </c>
      <c r="L1035" t="s">
        <v>419</v>
      </c>
      <c r="M1035" t="s">
        <v>800</v>
      </c>
      <c r="N1035" t="s">
        <v>801</v>
      </c>
      <c r="O1035" t="s">
        <v>422</v>
      </c>
      <c r="P1035" t="s">
        <v>802</v>
      </c>
      <c r="R1035" s="7">
        <v>33876</v>
      </c>
      <c r="T1035" t="s">
        <v>119</v>
      </c>
      <c r="W1035" s="15">
        <v>4.6666667000000004</v>
      </c>
      <c r="X1035" s="15">
        <v>-75.5</v>
      </c>
      <c r="AF1035" t="s">
        <v>50</v>
      </c>
      <c r="AG1035" t="s">
        <v>182</v>
      </c>
      <c r="AH1035" t="s">
        <v>803</v>
      </c>
      <c r="AI1035" t="s">
        <v>6932</v>
      </c>
      <c r="AJ1035">
        <v>1102</v>
      </c>
    </row>
    <row r="1036" spans="1:36">
      <c r="A1036" t="s">
        <v>6685</v>
      </c>
      <c r="B1036" t="s">
        <v>6686</v>
      </c>
      <c r="C1036" t="s">
        <v>6929</v>
      </c>
      <c r="D1036" t="s">
        <v>6933</v>
      </c>
      <c r="E1036" t="s">
        <v>6931</v>
      </c>
      <c r="F1036">
        <v>2900</v>
      </c>
      <c r="G1036">
        <v>2900</v>
      </c>
      <c r="H1036">
        <v>2900</v>
      </c>
      <c r="I1036" t="s">
        <v>797</v>
      </c>
      <c r="J1036" t="s">
        <v>798</v>
      </c>
      <c r="K1036" t="s">
        <v>799</v>
      </c>
      <c r="L1036" t="s">
        <v>419</v>
      </c>
      <c r="M1036" t="s">
        <v>800</v>
      </c>
      <c r="N1036" t="s">
        <v>801</v>
      </c>
      <c r="O1036" t="s">
        <v>422</v>
      </c>
      <c r="P1036" t="s">
        <v>802</v>
      </c>
      <c r="R1036" s="7">
        <v>33876</v>
      </c>
      <c r="T1036" t="s">
        <v>119</v>
      </c>
      <c r="W1036" s="15">
        <v>4.6666667000000004</v>
      </c>
      <c r="X1036" s="15">
        <v>-75.5</v>
      </c>
      <c r="AF1036" t="s">
        <v>50</v>
      </c>
      <c r="AG1036" t="s">
        <v>182</v>
      </c>
      <c r="AH1036" t="s">
        <v>803</v>
      </c>
      <c r="AI1036" t="s">
        <v>6932</v>
      </c>
      <c r="AJ1036">
        <v>1103</v>
      </c>
    </row>
    <row r="1037" spans="1:36">
      <c r="A1037" t="s">
        <v>6685</v>
      </c>
      <c r="B1037" t="s">
        <v>6686</v>
      </c>
      <c r="C1037" t="s">
        <v>6934</v>
      </c>
      <c r="D1037" t="s">
        <v>6935</v>
      </c>
      <c r="E1037" t="s">
        <v>6936</v>
      </c>
      <c r="F1037">
        <v>3315</v>
      </c>
      <c r="G1037">
        <v>3315</v>
      </c>
      <c r="H1037">
        <v>3315</v>
      </c>
      <c r="I1037" t="s">
        <v>797</v>
      </c>
      <c r="J1037" t="s">
        <v>798</v>
      </c>
      <c r="K1037" t="s">
        <v>799</v>
      </c>
      <c r="L1037" t="s">
        <v>419</v>
      </c>
      <c r="M1037" t="s">
        <v>800</v>
      </c>
      <c r="N1037" t="s">
        <v>801</v>
      </c>
      <c r="O1037" t="s">
        <v>422</v>
      </c>
      <c r="P1037" t="s">
        <v>802</v>
      </c>
      <c r="R1037" s="7">
        <v>35150</v>
      </c>
      <c r="T1037" t="s">
        <v>119</v>
      </c>
      <c r="W1037" s="15">
        <v>4.6666667000000004</v>
      </c>
      <c r="X1037" s="15">
        <v>-75.5</v>
      </c>
      <c r="AF1037" t="s">
        <v>50</v>
      </c>
      <c r="AG1037" t="s">
        <v>182</v>
      </c>
      <c r="AH1037" t="s">
        <v>803</v>
      </c>
      <c r="AI1037" t="s">
        <v>6937</v>
      </c>
      <c r="AJ1037">
        <v>1104</v>
      </c>
    </row>
    <row r="1038" spans="1:36">
      <c r="A1038" t="s">
        <v>6685</v>
      </c>
      <c r="B1038" t="s">
        <v>6686</v>
      </c>
      <c r="C1038" t="s">
        <v>6938</v>
      </c>
      <c r="D1038" t="s">
        <v>5368</v>
      </c>
      <c r="E1038" t="s">
        <v>6939</v>
      </c>
      <c r="F1038">
        <v>3400</v>
      </c>
      <c r="G1038">
        <v>3400</v>
      </c>
      <c r="H1038">
        <v>3400</v>
      </c>
      <c r="P1038" t="s">
        <v>80</v>
      </c>
      <c r="R1038" s="7">
        <v>40018</v>
      </c>
      <c r="T1038" t="s">
        <v>119</v>
      </c>
      <c r="W1038" s="15">
        <v>4.63795</v>
      </c>
      <c r="X1038" s="15">
        <v>-75.489130000000003</v>
      </c>
      <c r="Y1038">
        <v>1334.3720000000001</v>
      </c>
      <c r="Z1038">
        <v>2394</v>
      </c>
      <c r="AB1038" t="s">
        <v>6940</v>
      </c>
      <c r="AF1038" t="s">
        <v>50</v>
      </c>
      <c r="AG1038" t="s">
        <v>182</v>
      </c>
      <c r="AH1038" t="s">
        <v>803</v>
      </c>
      <c r="AI1038" t="s">
        <v>6941</v>
      </c>
      <c r="AJ1038">
        <v>1105</v>
      </c>
    </row>
    <row r="1039" spans="1:36">
      <c r="A1039" t="s">
        <v>6685</v>
      </c>
      <c r="B1039" t="s">
        <v>6686</v>
      </c>
      <c r="C1039" t="s">
        <v>6942</v>
      </c>
      <c r="D1039" t="s">
        <v>1529</v>
      </c>
      <c r="E1039" t="s">
        <v>3161</v>
      </c>
      <c r="F1039">
        <v>2824</v>
      </c>
      <c r="G1039">
        <v>2824</v>
      </c>
      <c r="H1039">
        <v>2824</v>
      </c>
      <c r="I1039" t="s">
        <v>5455</v>
      </c>
      <c r="J1039" t="s">
        <v>3162</v>
      </c>
      <c r="K1039" t="s">
        <v>5456</v>
      </c>
      <c r="L1039" t="s">
        <v>5457</v>
      </c>
      <c r="M1039" t="s">
        <v>5458</v>
      </c>
      <c r="P1039" t="s">
        <v>80</v>
      </c>
      <c r="R1039" s="7">
        <v>40744</v>
      </c>
      <c r="T1039" t="s">
        <v>119</v>
      </c>
      <c r="W1039" s="15">
        <v>5.1244243999999997</v>
      </c>
      <c r="X1039" s="15">
        <v>-76.041665399999999</v>
      </c>
      <c r="AF1039" t="s">
        <v>50</v>
      </c>
      <c r="AG1039" t="s">
        <v>360</v>
      </c>
      <c r="AH1039" t="s">
        <v>367</v>
      </c>
      <c r="AI1039" t="s">
        <v>3165</v>
      </c>
      <c r="AJ1039">
        <v>1106</v>
      </c>
    </row>
    <row r="1040" spans="1:36">
      <c r="A1040" t="s">
        <v>6685</v>
      </c>
      <c r="B1040" t="s">
        <v>6686</v>
      </c>
      <c r="C1040" t="s">
        <v>6943</v>
      </c>
      <c r="D1040" t="s">
        <v>6944</v>
      </c>
      <c r="E1040" t="s">
        <v>6945</v>
      </c>
      <c r="F1040">
        <v>3200</v>
      </c>
      <c r="G1040">
        <v>3200</v>
      </c>
      <c r="H1040">
        <v>3200</v>
      </c>
      <c r="I1040" t="s">
        <v>6946</v>
      </c>
      <c r="J1040" t="s">
        <v>6947</v>
      </c>
      <c r="K1040" t="s">
        <v>6948</v>
      </c>
      <c r="L1040" t="s">
        <v>6949</v>
      </c>
      <c r="M1040" t="s">
        <v>6950</v>
      </c>
      <c r="N1040" t="s">
        <v>6951</v>
      </c>
      <c r="O1040" t="s">
        <v>6952</v>
      </c>
      <c r="P1040" t="s">
        <v>6953</v>
      </c>
      <c r="R1040" s="7">
        <v>14331</v>
      </c>
      <c r="T1040" t="s">
        <v>119</v>
      </c>
      <c r="W1040" s="15">
        <v>4.4400361000000004</v>
      </c>
      <c r="X1040" s="15">
        <v>-75.430113899999995</v>
      </c>
      <c r="AF1040" t="s">
        <v>50</v>
      </c>
      <c r="AG1040" t="s">
        <v>133</v>
      </c>
      <c r="AH1040" t="s">
        <v>6954</v>
      </c>
      <c r="AI1040" t="s">
        <v>6955</v>
      </c>
      <c r="AJ1040">
        <v>1107</v>
      </c>
    </row>
    <row r="1041" spans="1:36">
      <c r="A1041" t="s">
        <v>6685</v>
      </c>
      <c r="B1041" t="s">
        <v>6686</v>
      </c>
      <c r="C1041" t="s">
        <v>6956</v>
      </c>
      <c r="D1041" t="s">
        <v>1820</v>
      </c>
      <c r="E1041" t="s">
        <v>6957</v>
      </c>
      <c r="F1041">
        <v>3500</v>
      </c>
      <c r="G1041">
        <v>3500</v>
      </c>
      <c r="H1041">
        <v>3500</v>
      </c>
      <c r="P1041" t="s">
        <v>80</v>
      </c>
      <c r="R1041" s="7">
        <v>40017</v>
      </c>
      <c r="T1041" t="s">
        <v>119</v>
      </c>
      <c r="W1041" s="15">
        <v>4.5803900000000004</v>
      </c>
      <c r="X1041" s="15">
        <v>-75.375399999999999</v>
      </c>
      <c r="Y1041">
        <v>5787.4660000000003</v>
      </c>
      <c r="Z1041">
        <v>3196</v>
      </c>
      <c r="AB1041" t="s">
        <v>2183</v>
      </c>
      <c r="AF1041" t="s">
        <v>50</v>
      </c>
      <c r="AG1041" t="s">
        <v>133</v>
      </c>
      <c r="AH1041" t="s">
        <v>351</v>
      </c>
      <c r="AI1041" t="s">
        <v>6958</v>
      </c>
      <c r="AJ1041">
        <v>1108</v>
      </c>
    </row>
    <row r="1042" spans="1:36">
      <c r="A1042" t="s">
        <v>6959</v>
      </c>
      <c r="B1042" t="s">
        <v>6960</v>
      </c>
      <c r="C1042" t="s">
        <v>6961</v>
      </c>
      <c r="D1042" t="s">
        <v>6962</v>
      </c>
      <c r="E1042" t="s">
        <v>6963</v>
      </c>
      <c r="F1042">
        <v>1524</v>
      </c>
      <c r="R1042" s="7" t="s">
        <v>6964</v>
      </c>
      <c r="W1042" s="15">
        <v>11.15513</v>
      </c>
      <c r="X1042" s="15">
        <v>-74.068470000000005</v>
      </c>
      <c r="Y1042" t="s">
        <v>6965</v>
      </c>
      <c r="Z1042">
        <v>1460</v>
      </c>
      <c r="AB1042" t="s">
        <v>6966</v>
      </c>
    </row>
    <row r="1043" spans="1:36">
      <c r="A1043" t="s">
        <v>6959</v>
      </c>
      <c r="B1043" t="s">
        <v>6960</v>
      </c>
      <c r="C1043" t="s">
        <v>6967</v>
      </c>
      <c r="D1043" t="s">
        <v>6968</v>
      </c>
      <c r="E1043" t="s">
        <v>6969</v>
      </c>
      <c r="F1043">
        <v>1600</v>
      </c>
      <c r="I1043" t="s">
        <v>6970</v>
      </c>
      <c r="K1043" t="s">
        <v>6971</v>
      </c>
      <c r="R1043" s="7">
        <v>42980</v>
      </c>
      <c r="W1043" s="15">
        <v>11.0961944</v>
      </c>
      <c r="X1043" s="15">
        <v>-74.075416700000005</v>
      </c>
      <c r="Y1043" t="s">
        <v>6972</v>
      </c>
    </row>
    <row r="1044" spans="1:36">
      <c r="A1044" t="s">
        <v>6959</v>
      </c>
      <c r="B1044" t="s">
        <v>6960</v>
      </c>
      <c r="C1044" t="s">
        <v>6973</v>
      </c>
      <c r="D1044" t="s">
        <v>6968</v>
      </c>
      <c r="E1044" t="s">
        <v>6969</v>
      </c>
      <c r="F1044">
        <v>1524</v>
      </c>
      <c r="I1044" t="s">
        <v>6970</v>
      </c>
      <c r="K1044" t="s">
        <v>6971</v>
      </c>
      <c r="R1044" s="7">
        <v>43831</v>
      </c>
      <c r="W1044" s="5" t="s">
        <v>9498</v>
      </c>
      <c r="X1044" s="5" t="s">
        <v>9499</v>
      </c>
      <c r="Y1044" s="5" t="s">
        <v>9500</v>
      </c>
      <c r="Z1044">
        <v>1899</v>
      </c>
    </row>
    <row r="1045" spans="1:36">
      <c r="A1045" t="s">
        <v>6974</v>
      </c>
      <c r="B1045" t="s">
        <v>6975</v>
      </c>
      <c r="C1045" t="s">
        <v>6976</v>
      </c>
      <c r="D1045" t="s">
        <v>6977</v>
      </c>
      <c r="E1045" t="s">
        <v>6978</v>
      </c>
      <c r="F1045" t="s">
        <v>6979</v>
      </c>
      <c r="G1045">
        <v>200</v>
      </c>
      <c r="H1045">
        <v>300</v>
      </c>
      <c r="P1045" t="s">
        <v>80</v>
      </c>
      <c r="R1045" s="7">
        <v>31520</v>
      </c>
      <c r="T1045" t="s">
        <v>111</v>
      </c>
      <c r="W1045" s="15">
        <v>-0.63239000000000001</v>
      </c>
      <c r="X1045" s="15">
        <v>-72.338489999999993</v>
      </c>
      <c r="Y1045">
        <v>1287.615</v>
      </c>
      <c r="Z1045">
        <v>123</v>
      </c>
      <c r="AB1045" t="s">
        <v>6980</v>
      </c>
      <c r="AE1045">
        <v>2</v>
      </c>
      <c r="AF1045" t="s">
        <v>50</v>
      </c>
      <c r="AG1045" t="s">
        <v>3812</v>
      </c>
      <c r="AH1045" t="s">
        <v>6981</v>
      </c>
      <c r="AI1045" t="s">
        <v>6982</v>
      </c>
      <c r="AJ1045">
        <v>1110</v>
      </c>
    </row>
    <row r="1046" spans="1:36">
      <c r="A1046" t="s">
        <v>6974</v>
      </c>
      <c r="B1046" t="s">
        <v>6975</v>
      </c>
      <c r="C1046" t="s">
        <v>6983</v>
      </c>
      <c r="D1046" t="s">
        <v>6984</v>
      </c>
      <c r="E1046" t="s">
        <v>6985</v>
      </c>
      <c r="F1046" t="s">
        <v>6986</v>
      </c>
      <c r="G1046">
        <v>90</v>
      </c>
      <c r="H1046">
        <v>100</v>
      </c>
      <c r="I1046" t="s">
        <v>6987</v>
      </c>
      <c r="J1046" t="s">
        <v>6988</v>
      </c>
      <c r="K1046" t="s">
        <v>6989</v>
      </c>
      <c r="L1046" t="s">
        <v>6990</v>
      </c>
      <c r="M1046" t="s">
        <v>6991</v>
      </c>
      <c r="N1046" t="s">
        <v>6992</v>
      </c>
      <c r="O1046" t="s">
        <v>6993</v>
      </c>
      <c r="P1046" t="s">
        <v>6994</v>
      </c>
      <c r="R1046" s="7">
        <v>35430</v>
      </c>
      <c r="T1046" t="s">
        <v>111</v>
      </c>
      <c r="W1046" s="15">
        <v>-3.7871999999999999</v>
      </c>
      <c r="X1046" s="15">
        <v>-70.297030000000007</v>
      </c>
      <c r="Y1046">
        <v>5456.3680000000004</v>
      </c>
      <c r="Z1046">
        <v>91</v>
      </c>
      <c r="AB1046" t="s">
        <v>6995</v>
      </c>
      <c r="AF1046" t="s">
        <v>50</v>
      </c>
      <c r="AG1046" t="s">
        <v>3812</v>
      </c>
      <c r="AH1046" t="s">
        <v>6996</v>
      </c>
      <c r="AI1046" t="s">
        <v>6997</v>
      </c>
      <c r="AJ1046">
        <v>1112</v>
      </c>
    </row>
    <row r="1047" spans="1:36">
      <c r="A1047" t="s">
        <v>6974</v>
      </c>
      <c r="B1047" t="s">
        <v>6975</v>
      </c>
      <c r="C1047" t="s">
        <v>6998</v>
      </c>
      <c r="D1047" t="s">
        <v>6999</v>
      </c>
      <c r="E1047" t="s">
        <v>7000</v>
      </c>
      <c r="P1047" t="s">
        <v>80</v>
      </c>
      <c r="R1047" s="7">
        <v>37337</v>
      </c>
      <c r="T1047" t="s">
        <v>119</v>
      </c>
      <c r="W1047" s="15">
        <v>-3.7796099999999999</v>
      </c>
      <c r="X1047" s="15">
        <v>-70.206180000000003</v>
      </c>
      <c r="Y1047">
        <v>3118.0630000000001</v>
      </c>
      <c r="Z1047">
        <v>107</v>
      </c>
      <c r="AB1047" t="s">
        <v>7001</v>
      </c>
      <c r="AF1047" t="s">
        <v>50</v>
      </c>
      <c r="AG1047" t="s">
        <v>3812</v>
      </c>
      <c r="AH1047" t="s">
        <v>6996</v>
      </c>
      <c r="AI1047" t="s">
        <v>7002</v>
      </c>
      <c r="AJ1047">
        <v>1114</v>
      </c>
    </row>
    <row r="1048" spans="1:36">
      <c r="A1048" t="s">
        <v>6974</v>
      </c>
      <c r="B1048" t="s">
        <v>6975</v>
      </c>
      <c r="C1048" t="s">
        <v>7003</v>
      </c>
      <c r="D1048" t="s">
        <v>7004</v>
      </c>
      <c r="E1048" t="s">
        <v>7005</v>
      </c>
      <c r="F1048" t="s">
        <v>7006</v>
      </c>
      <c r="G1048">
        <v>700</v>
      </c>
      <c r="H1048">
        <v>925</v>
      </c>
      <c r="I1048" t="s">
        <v>7007</v>
      </c>
      <c r="J1048" t="s">
        <v>7008</v>
      </c>
      <c r="K1048" t="s">
        <v>7009</v>
      </c>
      <c r="L1048" t="s">
        <v>7010</v>
      </c>
      <c r="M1048" t="s">
        <v>7011</v>
      </c>
      <c r="N1048" t="s">
        <v>7012</v>
      </c>
      <c r="O1048" t="s">
        <v>7013</v>
      </c>
      <c r="P1048" t="s">
        <v>7014</v>
      </c>
      <c r="R1048" s="7">
        <v>32975</v>
      </c>
      <c r="T1048" t="s">
        <v>119</v>
      </c>
      <c r="W1048" s="15">
        <v>5.9666399999999999</v>
      </c>
      <c r="X1048" s="15">
        <v>-74.921139999999994</v>
      </c>
      <c r="Y1048">
        <v>1556.883</v>
      </c>
      <c r="Z1048">
        <v>755</v>
      </c>
      <c r="AB1048" t="s">
        <v>7015</v>
      </c>
      <c r="AF1048" t="s">
        <v>50</v>
      </c>
      <c r="AG1048" t="s">
        <v>7016</v>
      </c>
      <c r="AH1048" t="s">
        <v>1200</v>
      </c>
      <c r="AI1048" t="s">
        <v>7017</v>
      </c>
      <c r="AJ1048">
        <v>1115</v>
      </c>
    </row>
    <row r="1049" spans="1:36">
      <c r="A1049" t="s">
        <v>6974</v>
      </c>
      <c r="B1049" t="s">
        <v>6975</v>
      </c>
      <c r="C1049" t="s">
        <v>7018</v>
      </c>
      <c r="D1049" t="s">
        <v>7019</v>
      </c>
      <c r="E1049" t="s">
        <v>7020</v>
      </c>
      <c r="F1049" t="s">
        <v>2286</v>
      </c>
      <c r="G1049">
        <v>1600</v>
      </c>
      <c r="H1049">
        <v>1700</v>
      </c>
      <c r="I1049" t="s">
        <v>7021</v>
      </c>
      <c r="J1049" t="s">
        <v>7022</v>
      </c>
      <c r="K1049" t="s">
        <v>7023</v>
      </c>
      <c r="L1049" t="s">
        <v>7024</v>
      </c>
      <c r="M1049" t="s">
        <v>7025</v>
      </c>
      <c r="N1049" t="s">
        <v>7026</v>
      </c>
      <c r="O1049" t="s">
        <v>7027</v>
      </c>
      <c r="P1049" t="s">
        <v>7028</v>
      </c>
      <c r="R1049" s="7">
        <v>35538</v>
      </c>
      <c r="T1049" t="s">
        <v>119</v>
      </c>
      <c r="W1049" s="15">
        <v>6.2263999999999999</v>
      </c>
      <c r="X1049" s="15">
        <v>-75.566599999999994</v>
      </c>
      <c r="Y1049">
        <v>142.40199999999999</v>
      </c>
      <c r="Z1049">
        <v>1629</v>
      </c>
      <c r="AB1049" t="s">
        <v>7029</v>
      </c>
      <c r="AF1049" t="s">
        <v>50</v>
      </c>
      <c r="AG1049" t="s">
        <v>7016</v>
      </c>
      <c r="AH1049" t="s">
        <v>855</v>
      </c>
      <c r="AI1049" t="s">
        <v>7030</v>
      </c>
      <c r="AJ1049">
        <v>1117</v>
      </c>
    </row>
    <row r="1050" spans="1:36">
      <c r="A1050" t="s">
        <v>6974</v>
      </c>
      <c r="B1050" t="s">
        <v>6975</v>
      </c>
      <c r="C1050" t="s">
        <v>7018</v>
      </c>
      <c r="D1050" t="s">
        <v>7031</v>
      </c>
      <c r="E1050" t="s">
        <v>7020</v>
      </c>
      <c r="F1050" t="s">
        <v>2286</v>
      </c>
      <c r="G1050">
        <v>1600</v>
      </c>
      <c r="H1050">
        <v>1700</v>
      </c>
      <c r="I1050" t="s">
        <v>7021</v>
      </c>
      <c r="J1050" t="s">
        <v>7022</v>
      </c>
      <c r="K1050" t="s">
        <v>7023</v>
      </c>
      <c r="L1050" t="s">
        <v>7024</v>
      </c>
      <c r="M1050" t="s">
        <v>7025</v>
      </c>
      <c r="N1050" t="s">
        <v>7026</v>
      </c>
      <c r="O1050" t="s">
        <v>7027</v>
      </c>
      <c r="P1050" t="s">
        <v>7028</v>
      </c>
      <c r="R1050" s="7">
        <v>35538</v>
      </c>
      <c r="T1050" t="s">
        <v>119</v>
      </c>
      <c r="W1050" s="15">
        <v>6.2263999999999999</v>
      </c>
      <c r="X1050" s="15">
        <v>-75.566599999999994</v>
      </c>
      <c r="Y1050">
        <v>142.40199999999999</v>
      </c>
      <c r="Z1050">
        <v>1629</v>
      </c>
      <c r="AB1050" t="s">
        <v>7029</v>
      </c>
      <c r="AF1050" t="s">
        <v>50</v>
      </c>
      <c r="AG1050" t="s">
        <v>7016</v>
      </c>
      <c r="AH1050" t="s">
        <v>855</v>
      </c>
      <c r="AI1050" t="s">
        <v>7030</v>
      </c>
      <c r="AJ1050">
        <v>1119</v>
      </c>
    </row>
    <row r="1051" spans="1:36">
      <c r="A1051" t="s">
        <v>6974</v>
      </c>
      <c r="B1051" t="s">
        <v>6975</v>
      </c>
      <c r="C1051" t="s">
        <v>7032</v>
      </c>
      <c r="D1051" t="s">
        <v>7033</v>
      </c>
      <c r="E1051" t="s">
        <v>7034</v>
      </c>
      <c r="F1051" t="s">
        <v>399</v>
      </c>
      <c r="G1051" t="s">
        <v>399</v>
      </c>
      <c r="H1051" t="s">
        <v>399</v>
      </c>
      <c r="I1051" t="s">
        <v>399</v>
      </c>
      <c r="K1051" t="s">
        <v>399</v>
      </c>
      <c r="P1051" t="s">
        <v>80</v>
      </c>
      <c r="R1051" s="7">
        <v>11316</v>
      </c>
      <c r="T1051" t="s">
        <v>399</v>
      </c>
      <c r="W1051" s="15">
        <v>6.2309900000000003</v>
      </c>
      <c r="X1051" s="15">
        <v>-75.657300000000006</v>
      </c>
      <c r="Y1051">
        <v>2683.471</v>
      </c>
      <c r="Z1051">
        <v>2217</v>
      </c>
      <c r="AB1051" t="s">
        <v>7035</v>
      </c>
      <c r="AF1051" t="s">
        <v>50</v>
      </c>
      <c r="AG1051" t="s">
        <v>402</v>
      </c>
      <c r="AH1051" t="s">
        <v>7036</v>
      </c>
      <c r="AJ1051">
        <v>1121</v>
      </c>
    </row>
    <row r="1052" spans="1:36">
      <c r="A1052" t="s">
        <v>6974</v>
      </c>
      <c r="B1052" t="s">
        <v>6975</v>
      </c>
      <c r="C1052" t="s">
        <v>7037</v>
      </c>
      <c r="D1052" t="s">
        <v>7038</v>
      </c>
      <c r="E1052" t="s">
        <v>7039</v>
      </c>
      <c r="F1052" t="s">
        <v>7040</v>
      </c>
      <c r="G1052">
        <v>500</v>
      </c>
      <c r="H1052">
        <v>600</v>
      </c>
      <c r="I1052" t="s">
        <v>1176</v>
      </c>
      <c r="J1052" t="s">
        <v>1177</v>
      </c>
      <c r="K1052" t="s">
        <v>1178</v>
      </c>
      <c r="L1052" t="s">
        <v>1179</v>
      </c>
      <c r="M1052" t="s">
        <v>1180</v>
      </c>
      <c r="N1052" t="s">
        <v>1181</v>
      </c>
      <c r="O1052" t="s">
        <v>1182</v>
      </c>
      <c r="P1052" t="s">
        <v>1183</v>
      </c>
      <c r="R1052" s="7">
        <v>26090</v>
      </c>
      <c r="T1052" t="s">
        <v>119</v>
      </c>
      <c r="W1052" s="15">
        <v>7.0764389000000003</v>
      </c>
      <c r="X1052" s="15">
        <v>-75.156538900000001</v>
      </c>
      <c r="AF1052" t="s">
        <v>50</v>
      </c>
      <c r="AG1052" t="s">
        <v>402</v>
      </c>
      <c r="AH1052" t="s">
        <v>1186</v>
      </c>
      <c r="AI1052" t="s">
        <v>7041</v>
      </c>
      <c r="AJ1052">
        <v>1122</v>
      </c>
    </row>
    <row r="1053" spans="1:36">
      <c r="A1053" t="s">
        <v>6974</v>
      </c>
      <c r="B1053" t="s">
        <v>6975</v>
      </c>
      <c r="C1053" t="s">
        <v>7042</v>
      </c>
      <c r="D1053" t="s">
        <v>7043</v>
      </c>
      <c r="E1053" t="s">
        <v>7044</v>
      </c>
      <c r="F1053" t="s">
        <v>3834</v>
      </c>
      <c r="G1053">
        <v>400</v>
      </c>
      <c r="H1053">
        <v>700</v>
      </c>
      <c r="P1053" t="s">
        <v>80</v>
      </c>
      <c r="R1053" s="7">
        <v>26090</v>
      </c>
      <c r="T1053" t="s">
        <v>119</v>
      </c>
      <c r="W1053" s="15">
        <v>7.3167600000000004</v>
      </c>
      <c r="X1053" s="15">
        <v>-75.056430000000006</v>
      </c>
      <c r="Y1053">
        <v>3115.4110000000001</v>
      </c>
      <c r="Z1053">
        <v>474</v>
      </c>
      <c r="AB1053" t="s">
        <v>3827</v>
      </c>
      <c r="AF1053" t="s">
        <v>50</v>
      </c>
      <c r="AG1053" t="s">
        <v>402</v>
      </c>
      <c r="AH1053" t="s">
        <v>1186</v>
      </c>
      <c r="AI1053" t="s">
        <v>7045</v>
      </c>
      <c r="AJ1053">
        <v>1123</v>
      </c>
    </row>
    <row r="1054" spans="1:36">
      <c r="A1054" t="s">
        <v>6974</v>
      </c>
      <c r="B1054" t="s">
        <v>6975</v>
      </c>
      <c r="C1054" t="s">
        <v>7046</v>
      </c>
      <c r="D1054" t="s">
        <v>7043</v>
      </c>
      <c r="E1054" t="s">
        <v>7039</v>
      </c>
      <c r="F1054" t="s">
        <v>7040</v>
      </c>
      <c r="G1054">
        <v>500</v>
      </c>
      <c r="H1054">
        <v>600</v>
      </c>
      <c r="I1054" t="s">
        <v>1176</v>
      </c>
      <c r="J1054" t="s">
        <v>1177</v>
      </c>
      <c r="K1054" t="s">
        <v>1178</v>
      </c>
      <c r="L1054" t="s">
        <v>1179</v>
      </c>
      <c r="M1054" t="s">
        <v>1180</v>
      </c>
      <c r="N1054" t="s">
        <v>1181</v>
      </c>
      <c r="O1054" t="s">
        <v>1182</v>
      </c>
      <c r="P1054" t="s">
        <v>1183</v>
      </c>
      <c r="R1054" s="7">
        <v>26090</v>
      </c>
      <c r="T1054" t="s">
        <v>119</v>
      </c>
      <c r="W1054" s="15">
        <v>7.3167600000000004</v>
      </c>
      <c r="X1054" s="15">
        <v>-75.056430000000006</v>
      </c>
      <c r="Y1054">
        <v>3115.4110000000001</v>
      </c>
      <c r="Z1054">
        <v>474</v>
      </c>
      <c r="AB1054" t="s">
        <v>3827</v>
      </c>
      <c r="AF1054" t="s">
        <v>50</v>
      </c>
      <c r="AG1054" t="s">
        <v>402</v>
      </c>
      <c r="AH1054" t="s">
        <v>1186</v>
      </c>
      <c r="AI1054" t="s">
        <v>7041</v>
      </c>
      <c r="AJ1054">
        <v>1124</v>
      </c>
    </row>
    <row r="1055" spans="1:36">
      <c r="A1055" t="s">
        <v>6974</v>
      </c>
      <c r="B1055" t="s">
        <v>6975</v>
      </c>
      <c r="C1055" t="s">
        <v>7047</v>
      </c>
      <c r="D1055" t="s">
        <v>7048</v>
      </c>
      <c r="E1055" t="s">
        <v>7049</v>
      </c>
      <c r="F1055">
        <v>1350</v>
      </c>
      <c r="G1055">
        <v>1350</v>
      </c>
      <c r="H1055">
        <v>1350</v>
      </c>
      <c r="I1055" t="s">
        <v>7050</v>
      </c>
      <c r="J1055" t="s">
        <v>7051</v>
      </c>
      <c r="K1055" t="s">
        <v>7052</v>
      </c>
      <c r="L1055" t="s">
        <v>7053</v>
      </c>
      <c r="M1055" t="s">
        <v>7054</v>
      </c>
      <c r="N1055" t="s">
        <v>7055</v>
      </c>
      <c r="O1055" t="s">
        <v>7056</v>
      </c>
      <c r="P1055" t="s">
        <v>7057</v>
      </c>
      <c r="R1055" s="7">
        <v>27303</v>
      </c>
      <c r="T1055" t="s">
        <v>399</v>
      </c>
      <c r="W1055" s="15">
        <v>6.4390000000000001</v>
      </c>
      <c r="X1055" s="15">
        <v>-75.332999999999998</v>
      </c>
      <c r="AF1055" t="s">
        <v>50</v>
      </c>
      <c r="AG1055" t="s">
        <v>402</v>
      </c>
      <c r="AH1055" t="s">
        <v>3546</v>
      </c>
      <c r="AI1055" t="s">
        <v>7058</v>
      </c>
      <c r="AJ1055">
        <v>1125</v>
      </c>
    </row>
    <row r="1056" spans="1:36">
      <c r="A1056" t="s">
        <v>6974</v>
      </c>
      <c r="B1056" t="s">
        <v>6975</v>
      </c>
      <c r="C1056" t="s">
        <v>7047</v>
      </c>
      <c r="D1056" t="s">
        <v>7059</v>
      </c>
      <c r="E1056" t="s">
        <v>7049</v>
      </c>
      <c r="F1056">
        <v>1350</v>
      </c>
      <c r="G1056">
        <v>1350</v>
      </c>
      <c r="H1056">
        <v>1350</v>
      </c>
      <c r="I1056" t="s">
        <v>7050</v>
      </c>
      <c r="J1056" t="s">
        <v>7051</v>
      </c>
      <c r="K1056" t="s">
        <v>7052</v>
      </c>
      <c r="L1056" t="s">
        <v>7053</v>
      </c>
      <c r="M1056" t="s">
        <v>7054</v>
      </c>
      <c r="N1056" t="s">
        <v>7055</v>
      </c>
      <c r="O1056" t="s">
        <v>7056</v>
      </c>
      <c r="P1056" t="s">
        <v>7057</v>
      </c>
      <c r="R1056" s="7">
        <v>27303</v>
      </c>
      <c r="T1056" t="s">
        <v>399</v>
      </c>
      <c r="W1056" s="15">
        <v>6.4390000000000001</v>
      </c>
      <c r="X1056" s="15">
        <v>-75.332999999999998</v>
      </c>
      <c r="AF1056" t="s">
        <v>50</v>
      </c>
      <c r="AG1056" t="s">
        <v>402</v>
      </c>
      <c r="AH1056" t="s">
        <v>3546</v>
      </c>
      <c r="AI1056" t="s">
        <v>7058</v>
      </c>
      <c r="AJ1056">
        <v>1126</v>
      </c>
    </row>
    <row r="1057" spans="1:36">
      <c r="A1057" t="s">
        <v>6974</v>
      </c>
      <c r="B1057" t="s">
        <v>6975</v>
      </c>
      <c r="C1057" t="s">
        <v>7047</v>
      </c>
      <c r="D1057" t="s">
        <v>7060</v>
      </c>
      <c r="E1057" t="s">
        <v>7049</v>
      </c>
      <c r="F1057">
        <v>1350</v>
      </c>
      <c r="G1057">
        <v>1350</v>
      </c>
      <c r="H1057">
        <v>1350</v>
      </c>
      <c r="I1057" t="s">
        <v>7050</v>
      </c>
      <c r="J1057" t="s">
        <v>7051</v>
      </c>
      <c r="K1057" t="s">
        <v>7052</v>
      </c>
      <c r="L1057" t="s">
        <v>7053</v>
      </c>
      <c r="M1057" t="s">
        <v>7054</v>
      </c>
      <c r="N1057" t="s">
        <v>7055</v>
      </c>
      <c r="O1057" t="s">
        <v>7056</v>
      </c>
      <c r="P1057" t="s">
        <v>7057</v>
      </c>
      <c r="R1057" s="7">
        <v>27303</v>
      </c>
      <c r="T1057" t="s">
        <v>399</v>
      </c>
      <c r="W1057" s="15">
        <v>6.4390000000000001</v>
      </c>
      <c r="X1057" s="15">
        <v>-75.332999999999998</v>
      </c>
      <c r="AF1057" t="s">
        <v>50</v>
      </c>
      <c r="AG1057" t="s">
        <v>402</v>
      </c>
      <c r="AH1057" t="s">
        <v>3546</v>
      </c>
      <c r="AI1057" t="s">
        <v>7058</v>
      </c>
      <c r="AJ1057">
        <v>1127</v>
      </c>
    </row>
    <row r="1058" spans="1:36">
      <c r="A1058" t="s">
        <v>6974</v>
      </c>
      <c r="B1058" t="s">
        <v>6975</v>
      </c>
      <c r="C1058" t="s">
        <v>7061</v>
      </c>
      <c r="D1058" t="s">
        <v>7062</v>
      </c>
      <c r="E1058" t="s">
        <v>7063</v>
      </c>
      <c r="F1058">
        <v>1750</v>
      </c>
      <c r="G1058">
        <v>1750</v>
      </c>
      <c r="H1058">
        <v>1750</v>
      </c>
      <c r="I1058" t="s">
        <v>5739</v>
      </c>
      <c r="J1058" t="s">
        <v>5740</v>
      </c>
      <c r="K1058" t="s">
        <v>557</v>
      </c>
      <c r="L1058" t="s">
        <v>558</v>
      </c>
      <c r="M1058" t="s">
        <v>5741</v>
      </c>
      <c r="N1058" t="s">
        <v>560</v>
      </c>
      <c r="O1058" t="s">
        <v>561</v>
      </c>
      <c r="P1058" t="s">
        <v>562</v>
      </c>
      <c r="R1058" s="7">
        <v>28645</v>
      </c>
      <c r="T1058" t="s">
        <v>119</v>
      </c>
      <c r="W1058" s="15">
        <v>6.09</v>
      </c>
      <c r="X1058" s="15">
        <v>-75.638000000000005</v>
      </c>
      <c r="AF1058" t="s">
        <v>50</v>
      </c>
      <c r="AG1058" t="s">
        <v>402</v>
      </c>
      <c r="AH1058" t="s">
        <v>167</v>
      </c>
      <c r="AI1058" t="s">
        <v>7064</v>
      </c>
      <c r="AJ1058">
        <v>1128</v>
      </c>
    </row>
    <row r="1059" spans="1:36">
      <c r="A1059" t="s">
        <v>6974</v>
      </c>
      <c r="B1059" t="s">
        <v>6975</v>
      </c>
      <c r="C1059" t="s">
        <v>7065</v>
      </c>
      <c r="D1059" t="s">
        <v>7066</v>
      </c>
      <c r="E1059" t="s">
        <v>7067</v>
      </c>
      <c r="F1059">
        <v>800</v>
      </c>
      <c r="G1059">
        <v>800</v>
      </c>
      <c r="H1059">
        <v>800</v>
      </c>
      <c r="I1059" t="s">
        <v>1205</v>
      </c>
      <c r="J1059" t="s">
        <v>1206</v>
      </c>
      <c r="K1059" t="s">
        <v>1207</v>
      </c>
      <c r="L1059" t="s">
        <v>1208</v>
      </c>
      <c r="M1059" t="s">
        <v>1209</v>
      </c>
      <c r="N1059" t="s">
        <v>1210</v>
      </c>
      <c r="O1059" t="s">
        <v>1216</v>
      </c>
      <c r="P1059" t="s">
        <v>1217</v>
      </c>
      <c r="R1059" s="7">
        <v>30649</v>
      </c>
      <c r="W1059" s="15">
        <v>6.05</v>
      </c>
      <c r="X1059" s="15">
        <v>-75</v>
      </c>
      <c r="AF1059" t="s">
        <v>50</v>
      </c>
      <c r="AG1059" t="s">
        <v>402</v>
      </c>
      <c r="AH1059" t="s">
        <v>1200</v>
      </c>
      <c r="AI1059" t="s">
        <v>7068</v>
      </c>
      <c r="AJ1059">
        <v>1129</v>
      </c>
    </row>
    <row r="1060" spans="1:36">
      <c r="A1060" t="s">
        <v>6974</v>
      </c>
      <c r="B1060" t="s">
        <v>6975</v>
      </c>
      <c r="C1060" t="s">
        <v>7069</v>
      </c>
      <c r="D1060" t="s">
        <v>7070</v>
      </c>
      <c r="E1060" t="s">
        <v>7071</v>
      </c>
      <c r="F1060">
        <v>800</v>
      </c>
      <c r="G1060">
        <v>800</v>
      </c>
      <c r="H1060">
        <v>800</v>
      </c>
      <c r="I1060" t="s">
        <v>1205</v>
      </c>
      <c r="J1060" t="s">
        <v>1206</v>
      </c>
      <c r="K1060" t="s">
        <v>1207</v>
      </c>
      <c r="L1060" t="s">
        <v>1208</v>
      </c>
      <c r="M1060" t="s">
        <v>1209</v>
      </c>
      <c r="N1060" t="s">
        <v>1210</v>
      </c>
      <c r="O1060" t="s">
        <v>1216</v>
      </c>
      <c r="P1060" t="s">
        <v>1217</v>
      </c>
      <c r="R1060" s="7">
        <v>30651</v>
      </c>
      <c r="T1060" t="s">
        <v>119</v>
      </c>
      <c r="W1060" s="15">
        <v>6.05</v>
      </c>
      <c r="X1060" s="15">
        <v>-75</v>
      </c>
      <c r="AF1060" t="s">
        <v>50</v>
      </c>
      <c r="AG1060" t="s">
        <v>402</v>
      </c>
      <c r="AH1060" t="s">
        <v>1200</v>
      </c>
      <c r="AI1060" t="s">
        <v>7072</v>
      </c>
      <c r="AJ1060">
        <v>1130</v>
      </c>
    </row>
    <row r="1061" spans="1:36">
      <c r="A1061" t="s">
        <v>6974</v>
      </c>
      <c r="B1061" t="s">
        <v>6975</v>
      </c>
      <c r="C1061" t="s">
        <v>7073</v>
      </c>
      <c r="D1061" t="s">
        <v>7074</v>
      </c>
      <c r="E1061" t="s">
        <v>7075</v>
      </c>
      <c r="I1061" t="s">
        <v>7008</v>
      </c>
      <c r="J1061" t="s">
        <v>7008</v>
      </c>
      <c r="K1061" t="s">
        <v>7076</v>
      </c>
      <c r="L1061" t="s">
        <v>7076</v>
      </c>
      <c r="M1061" t="s">
        <v>7077</v>
      </c>
      <c r="N1061" t="s">
        <v>7012</v>
      </c>
      <c r="O1061" t="s">
        <v>7078</v>
      </c>
      <c r="P1061" t="s">
        <v>7079</v>
      </c>
      <c r="R1061" s="7">
        <v>31953</v>
      </c>
      <c r="T1061" t="s">
        <v>119</v>
      </c>
      <c r="W1061" s="15">
        <v>6</v>
      </c>
      <c r="X1061" s="15">
        <v>-74.833333300000007</v>
      </c>
      <c r="AF1061" t="s">
        <v>50</v>
      </c>
      <c r="AG1061" t="s">
        <v>402</v>
      </c>
      <c r="AH1061" t="s">
        <v>1200</v>
      </c>
      <c r="AI1061" t="s">
        <v>7080</v>
      </c>
      <c r="AJ1061">
        <v>1131</v>
      </c>
    </row>
    <row r="1062" spans="1:36">
      <c r="A1062" t="s">
        <v>6974</v>
      </c>
      <c r="B1062" t="s">
        <v>6975</v>
      </c>
      <c r="C1062" t="s">
        <v>7081</v>
      </c>
      <c r="D1062" t="s">
        <v>7082</v>
      </c>
      <c r="E1062" t="s">
        <v>7083</v>
      </c>
      <c r="F1062">
        <v>1480</v>
      </c>
      <c r="G1062">
        <v>1480</v>
      </c>
      <c r="H1062">
        <v>1480</v>
      </c>
      <c r="P1062" t="s">
        <v>80</v>
      </c>
      <c r="R1062" s="7">
        <v>32378</v>
      </c>
      <c r="T1062" t="s">
        <v>119</v>
      </c>
      <c r="W1062" s="15">
        <v>5.6499300000000003</v>
      </c>
      <c r="X1062" s="15">
        <v>-75.900049999999993</v>
      </c>
      <c r="Y1062">
        <v>1871.2470000000001</v>
      </c>
      <c r="Z1062">
        <v>1591</v>
      </c>
      <c r="AB1062" t="s">
        <v>7084</v>
      </c>
      <c r="AF1062" t="s">
        <v>50</v>
      </c>
      <c r="AG1062" t="s">
        <v>402</v>
      </c>
      <c r="AH1062" t="s">
        <v>7085</v>
      </c>
      <c r="AI1062" t="s">
        <v>7086</v>
      </c>
      <c r="AJ1062">
        <v>1132</v>
      </c>
    </row>
    <row r="1063" spans="1:36">
      <c r="A1063" t="s">
        <v>6974</v>
      </c>
      <c r="B1063" t="s">
        <v>6975</v>
      </c>
      <c r="C1063" t="s">
        <v>7087</v>
      </c>
      <c r="D1063" t="s">
        <v>7088</v>
      </c>
      <c r="E1063" t="s">
        <v>7089</v>
      </c>
      <c r="F1063" t="s">
        <v>6077</v>
      </c>
      <c r="G1063">
        <v>1000</v>
      </c>
      <c r="H1063">
        <v>1500</v>
      </c>
      <c r="I1063" t="s">
        <v>1479</v>
      </c>
      <c r="J1063" t="s">
        <v>1480</v>
      </c>
      <c r="K1063" t="s">
        <v>1481</v>
      </c>
      <c r="L1063" t="s">
        <v>1482</v>
      </c>
      <c r="M1063" t="s">
        <v>1483</v>
      </c>
      <c r="N1063" t="s">
        <v>1484</v>
      </c>
      <c r="O1063" t="s">
        <v>1485</v>
      </c>
      <c r="P1063" t="s">
        <v>1486</v>
      </c>
      <c r="R1063" s="7">
        <v>33391</v>
      </c>
      <c r="T1063" t="s">
        <v>111</v>
      </c>
      <c r="W1063" s="15">
        <v>6.0333332999999998</v>
      </c>
      <c r="X1063" s="15">
        <v>-75.133333300000004</v>
      </c>
      <c r="AF1063" t="s">
        <v>50</v>
      </c>
      <c r="AG1063" t="s">
        <v>402</v>
      </c>
      <c r="AH1063" t="s">
        <v>1487</v>
      </c>
      <c r="AI1063" t="s">
        <v>7090</v>
      </c>
      <c r="AJ1063">
        <v>1133</v>
      </c>
    </row>
    <row r="1064" spans="1:36">
      <c r="A1064" t="s">
        <v>6974</v>
      </c>
      <c r="B1064" t="s">
        <v>6975</v>
      </c>
      <c r="C1064" t="s">
        <v>7091</v>
      </c>
      <c r="D1064" t="s">
        <v>7092</v>
      </c>
      <c r="E1064" t="s">
        <v>7089</v>
      </c>
      <c r="F1064">
        <v>700</v>
      </c>
      <c r="G1064">
        <v>700</v>
      </c>
      <c r="H1064">
        <v>700</v>
      </c>
      <c r="I1064" t="s">
        <v>7093</v>
      </c>
      <c r="J1064" t="s">
        <v>7093</v>
      </c>
      <c r="K1064" t="s">
        <v>1482</v>
      </c>
      <c r="L1064" t="s">
        <v>1482</v>
      </c>
      <c r="M1064" t="s">
        <v>7094</v>
      </c>
      <c r="N1064" t="s">
        <v>1484</v>
      </c>
      <c r="O1064" t="s">
        <v>1485</v>
      </c>
      <c r="P1064" t="s">
        <v>1486</v>
      </c>
      <c r="R1064" s="7">
        <v>33425</v>
      </c>
      <c r="T1064" t="s">
        <v>119</v>
      </c>
      <c r="W1064" s="15">
        <v>6.0333332999999998</v>
      </c>
      <c r="X1064" s="15">
        <v>-75.133333300000004</v>
      </c>
      <c r="AF1064" t="s">
        <v>50</v>
      </c>
      <c r="AG1064" t="s">
        <v>402</v>
      </c>
      <c r="AH1064" t="s">
        <v>1487</v>
      </c>
      <c r="AI1064" t="s">
        <v>7090</v>
      </c>
      <c r="AJ1064">
        <v>1134</v>
      </c>
    </row>
    <row r="1065" spans="1:36">
      <c r="A1065" t="s">
        <v>6974</v>
      </c>
      <c r="B1065" t="s">
        <v>6975</v>
      </c>
      <c r="C1065" t="s">
        <v>7095</v>
      </c>
      <c r="D1065" t="s">
        <v>7096</v>
      </c>
      <c r="E1065" t="s">
        <v>7097</v>
      </c>
      <c r="F1065">
        <v>1420</v>
      </c>
      <c r="G1065">
        <v>1420</v>
      </c>
      <c r="H1065">
        <v>1420</v>
      </c>
      <c r="I1065" t="s">
        <v>3579</v>
      </c>
      <c r="J1065" t="s">
        <v>3579</v>
      </c>
      <c r="K1065" t="s">
        <v>3581</v>
      </c>
      <c r="L1065" t="s">
        <v>3581</v>
      </c>
      <c r="M1065" t="s">
        <v>3582</v>
      </c>
      <c r="N1065" t="s">
        <v>3583</v>
      </c>
      <c r="O1065" t="s">
        <v>3584</v>
      </c>
      <c r="P1065" t="s">
        <v>3585</v>
      </c>
      <c r="R1065" s="7">
        <v>37898</v>
      </c>
      <c r="T1065" t="s">
        <v>119</v>
      </c>
      <c r="W1065" s="15">
        <v>7.133</v>
      </c>
      <c r="X1065" s="15">
        <v>-75.159694400000006</v>
      </c>
      <c r="AF1065" t="s">
        <v>50</v>
      </c>
      <c r="AG1065" t="s">
        <v>402</v>
      </c>
      <c r="AH1065" t="s">
        <v>1186</v>
      </c>
      <c r="AI1065" t="s">
        <v>7098</v>
      </c>
      <c r="AJ1065">
        <v>1135</v>
      </c>
    </row>
    <row r="1066" spans="1:36">
      <c r="A1066" t="s">
        <v>6974</v>
      </c>
      <c r="B1066" t="s">
        <v>6975</v>
      </c>
      <c r="C1066" t="s">
        <v>7099</v>
      </c>
      <c r="D1066" t="s">
        <v>7100</v>
      </c>
      <c r="E1066" t="s">
        <v>7101</v>
      </c>
      <c r="F1066" t="s">
        <v>7102</v>
      </c>
      <c r="G1066">
        <v>1000</v>
      </c>
      <c r="H1066">
        <v>1900</v>
      </c>
      <c r="P1066" t="s">
        <v>80</v>
      </c>
      <c r="R1066" s="7">
        <v>25915</v>
      </c>
      <c r="T1066" t="s">
        <v>65</v>
      </c>
      <c r="W1066" s="15">
        <v>5.6283099999999999</v>
      </c>
      <c r="X1066" s="15">
        <v>-73.902479999999997</v>
      </c>
      <c r="Y1066">
        <v>2202.0929999999998</v>
      </c>
      <c r="Z1066">
        <v>2286</v>
      </c>
      <c r="AB1066" t="s">
        <v>112</v>
      </c>
      <c r="AF1066" t="s">
        <v>50</v>
      </c>
      <c r="AG1066" t="s">
        <v>90</v>
      </c>
      <c r="AH1066" t="s">
        <v>7103</v>
      </c>
      <c r="AJ1066">
        <v>1136</v>
      </c>
    </row>
    <row r="1067" spans="1:36">
      <c r="A1067" t="s">
        <v>6974</v>
      </c>
      <c r="B1067" t="s">
        <v>6975</v>
      </c>
      <c r="C1067" t="s">
        <v>7104</v>
      </c>
      <c r="D1067" t="s">
        <v>7105</v>
      </c>
      <c r="E1067" t="s">
        <v>7106</v>
      </c>
      <c r="F1067">
        <v>2250</v>
      </c>
      <c r="G1067">
        <v>2250</v>
      </c>
      <c r="H1067">
        <v>2250</v>
      </c>
      <c r="P1067" t="s">
        <v>80</v>
      </c>
      <c r="R1067" s="7">
        <v>27129</v>
      </c>
      <c r="W1067" s="15">
        <v>5.62418</v>
      </c>
      <c r="X1067" s="15">
        <v>-73.578109999999995</v>
      </c>
      <c r="Y1067">
        <v>293.88900000000001</v>
      </c>
      <c r="Z1067">
        <v>2127</v>
      </c>
      <c r="AB1067" t="s">
        <v>7107</v>
      </c>
      <c r="AF1067" t="s">
        <v>50</v>
      </c>
      <c r="AG1067" t="s">
        <v>90</v>
      </c>
      <c r="AH1067" t="s">
        <v>7108</v>
      </c>
      <c r="AJ1067">
        <v>1137</v>
      </c>
    </row>
    <row r="1068" spans="1:36">
      <c r="A1068" t="s">
        <v>6974</v>
      </c>
      <c r="B1068" t="s">
        <v>6975</v>
      </c>
      <c r="C1068" t="s">
        <v>7109</v>
      </c>
      <c r="D1068" t="s">
        <v>7110</v>
      </c>
      <c r="E1068" t="s">
        <v>7111</v>
      </c>
      <c r="F1068">
        <v>2200</v>
      </c>
      <c r="G1068">
        <v>2200</v>
      </c>
      <c r="H1068">
        <v>2200</v>
      </c>
      <c r="P1068" t="s">
        <v>80</v>
      </c>
      <c r="R1068" s="7">
        <v>37084</v>
      </c>
      <c r="T1068" t="s">
        <v>65</v>
      </c>
      <c r="W1068" s="15">
        <v>5.6251699999999998</v>
      </c>
      <c r="X1068" s="15">
        <v>-73.513679999999994</v>
      </c>
      <c r="Y1068">
        <v>2717.94</v>
      </c>
      <c r="Z1068">
        <v>2390</v>
      </c>
      <c r="AB1068" t="s">
        <v>7112</v>
      </c>
      <c r="AF1068" t="s">
        <v>50</v>
      </c>
      <c r="AG1068" t="s">
        <v>90</v>
      </c>
      <c r="AH1068" t="s">
        <v>2680</v>
      </c>
      <c r="AI1068" t="s">
        <v>7113</v>
      </c>
      <c r="AJ1068">
        <v>1138</v>
      </c>
    </row>
    <row r="1069" spans="1:36">
      <c r="A1069" t="s">
        <v>6974</v>
      </c>
      <c r="B1069" t="s">
        <v>6975</v>
      </c>
      <c r="C1069" t="s">
        <v>7114</v>
      </c>
      <c r="D1069" t="s">
        <v>7115</v>
      </c>
      <c r="E1069" t="s">
        <v>7116</v>
      </c>
      <c r="F1069">
        <v>1650</v>
      </c>
      <c r="G1069">
        <v>1650</v>
      </c>
      <c r="H1069">
        <v>1650</v>
      </c>
      <c r="I1069" t="s">
        <v>7117</v>
      </c>
      <c r="J1069" t="s">
        <v>7118</v>
      </c>
      <c r="K1069" t="s">
        <v>7119</v>
      </c>
      <c r="L1069" t="s">
        <v>7120</v>
      </c>
      <c r="M1069" t="s">
        <v>7121</v>
      </c>
      <c r="N1069" t="s">
        <v>7122</v>
      </c>
      <c r="O1069" t="s">
        <v>7123</v>
      </c>
      <c r="P1069" t="s">
        <v>7124</v>
      </c>
      <c r="R1069" s="7">
        <v>32310</v>
      </c>
      <c r="W1069" s="15">
        <v>5.4286111000000004</v>
      </c>
      <c r="X1069" s="15">
        <v>-75.699349999999995</v>
      </c>
      <c r="AF1069" t="s">
        <v>50</v>
      </c>
      <c r="AG1069" t="s">
        <v>167</v>
      </c>
      <c r="AH1069" t="s">
        <v>1064</v>
      </c>
      <c r="AI1069" t="s">
        <v>7125</v>
      </c>
      <c r="AJ1069">
        <v>1139</v>
      </c>
    </row>
    <row r="1070" spans="1:36">
      <c r="A1070" t="s">
        <v>6974</v>
      </c>
      <c r="B1070" t="s">
        <v>6975</v>
      </c>
      <c r="C1070" t="s">
        <v>7126</v>
      </c>
      <c r="D1070" t="s">
        <v>7127</v>
      </c>
      <c r="E1070" t="s">
        <v>7128</v>
      </c>
      <c r="F1070">
        <v>1472</v>
      </c>
      <c r="G1070">
        <v>1472</v>
      </c>
      <c r="H1070">
        <v>1472</v>
      </c>
      <c r="I1070" t="s">
        <v>572</v>
      </c>
      <c r="J1070" t="s">
        <v>573</v>
      </c>
      <c r="K1070" t="s">
        <v>574</v>
      </c>
      <c r="L1070" t="s">
        <v>575</v>
      </c>
      <c r="M1070" t="s">
        <v>576</v>
      </c>
      <c r="N1070" t="s">
        <v>577</v>
      </c>
      <c r="O1070" t="s">
        <v>578</v>
      </c>
      <c r="P1070" t="s">
        <v>579</v>
      </c>
      <c r="R1070" s="7">
        <v>38184</v>
      </c>
      <c r="W1070" s="15">
        <v>5.0671333000000001</v>
      </c>
      <c r="X1070" s="15">
        <v>-75.518288900000002</v>
      </c>
      <c r="AF1070" t="s">
        <v>50</v>
      </c>
      <c r="AG1070" t="s">
        <v>167</v>
      </c>
      <c r="AH1070" t="s">
        <v>168</v>
      </c>
      <c r="AI1070" t="s">
        <v>7129</v>
      </c>
      <c r="AJ1070">
        <v>1140</v>
      </c>
    </row>
    <row r="1071" spans="1:36">
      <c r="A1071" t="s">
        <v>6974</v>
      </c>
      <c r="B1071" t="s">
        <v>6975</v>
      </c>
      <c r="C1071" t="s">
        <v>7130</v>
      </c>
      <c r="D1071" t="s">
        <v>1820</v>
      </c>
      <c r="E1071" t="s">
        <v>7131</v>
      </c>
      <c r="F1071">
        <v>1472</v>
      </c>
      <c r="G1071">
        <v>1472</v>
      </c>
      <c r="H1071">
        <v>1472</v>
      </c>
      <c r="I1071" t="s">
        <v>572</v>
      </c>
      <c r="J1071" t="s">
        <v>573</v>
      </c>
      <c r="K1071" t="s">
        <v>574</v>
      </c>
      <c r="L1071" t="s">
        <v>575</v>
      </c>
      <c r="M1071" t="s">
        <v>576</v>
      </c>
      <c r="N1071" t="s">
        <v>577</v>
      </c>
      <c r="O1071" t="s">
        <v>578</v>
      </c>
      <c r="P1071" t="s">
        <v>579</v>
      </c>
      <c r="R1071" s="7">
        <v>38184</v>
      </c>
      <c r="W1071" s="15">
        <v>5.0671333000000001</v>
      </c>
      <c r="X1071" s="15">
        <v>-75.518288900000002</v>
      </c>
      <c r="AF1071" t="s">
        <v>50</v>
      </c>
      <c r="AG1071" t="s">
        <v>167</v>
      </c>
      <c r="AH1071" t="s">
        <v>993</v>
      </c>
      <c r="AI1071" t="s">
        <v>7132</v>
      </c>
      <c r="AJ1071">
        <v>1141</v>
      </c>
    </row>
    <row r="1072" spans="1:36">
      <c r="A1072" t="s">
        <v>6974</v>
      </c>
      <c r="B1072" t="s">
        <v>6975</v>
      </c>
      <c r="C1072" t="s">
        <v>7133</v>
      </c>
      <c r="D1072" t="s">
        <v>7134</v>
      </c>
      <c r="E1072" t="s">
        <v>7135</v>
      </c>
      <c r="F1072">
        <v>1100</v>
      </c>
      <c r="G1072">
        <v>1100</v>
      </c>
      <c r="H1072">
        <v>1100</v>
      </c>
      <c r="I1072" t="s">
        <v>7136</v>
      </c>
      <c r="J1072" t="s">
        <v>7137</v>
      </c>
      <c r="K1072" t="s">
        <v>7138</v>
      </c>
      <c r="L1072" t="s">
        <v>7139</v>
      </c>
      <c r="M1072" t="s">
        <v>7140</v>
      </c>
      <c r="N1072" t="s">
        <v>7141</v>
      </c>
      <c r="O1072" t="s">
        <v>7142</v>
      </c>
      <c r="P1072" t="s">
        <v>7143</v>
      </c>
      <c r="R1072" s="7">
        <v>38297</v>
      </c>
      <c r="W1072" s="15">
        <v>5.0886389000000003</v>
      </c>
      <c r="X1072" s="15">
        <v>-75.619305600000004</v>
      </c>
      <c r="AF1072" t="s">
        <v>50</v>
      </c>
      <c r="AG1072" t="s">
        <v>167</v>
      </c>
      <c r="AH1072" t="s">
        <v>168</v>
      </c>
      <c r="AI1072" t="s">
        <v>7144</v>
      </c>
      <c r="AJ1072">
        <v>1142</v>
      </c>
    </row>
    <row r="1073" spans="1:36">
      <c r="A1073" t="s">
        <v>6974</v>
      </c>
      <c r="B1073" t="s">
        <v>6975</v>
      </c>
      <c r="C1073" t="s">
        <v>7145</v>
      </c>
      <c r="D1073" t="s">
        <v>1060</v>
      </c>
      <c r="E1073" t="s">
        <v>7146</v>
      </c>
      <c r="F1073">
        <v>1728</v>
      </c>
      <c r="G1073">
        <v>1728</v>
      </c>
      <c r="H1073">
        <v>1728</v>
      </c>
      <c r="I1073" t="s">
        <v>7147</v>
      </c>
      <c r="J1073" t="s">
        <v>7148</v>
      </c>
      <c r="K1073" t="s">
        <v>7149</v>
      </c>
      <c r="L1073" t="s">
        <v>7150</v>
      </c>
      <c r="M1073" t="s">
        <v>7151</v>
      </c>
      <c r="N1073" t="s">
        <v>7152</v>
      </c>
      <c r="O1073" t="s">
        <v>7153</v>
      </c>
      <c r="P1073" t="s">
        <v>7154</v>
      </c>
      <c r="R1073" s="7">
        <v>38782</v>
      </c>
      <c r="T1073" t="s">
        <v>119</v>
      </c>
      <c r="W1073" s="15">
        <v>4.9429166999999996</v>
      </c>
      <c r="X1073" s="15">
        <v>-75.696111099999996</v>
      </c>
      <c r="AF1073" t="s">
        <v>50</v>
      </c>
      <c r="AG1073" t="s">
        <v>167</v>
      </c>
      <c r="AH1073" t="s">
        <v>7155</v>
      </c>
      <c r="AI1073" t="s">
        <v>7156</v>
      </c>
      <c r="AJ1073">
        <v>1143</v>
      </c>
    </row>
    <row r="1074" spans="1:36">
      <c r="A1074" t="s">
        <v>6974</v>
      </c>
      <c r="B1074" t="s">
        <v>6975</v>
      </c>
      <c r="C1074" t="s">
        <v>7157</v>
      </c>
      <c r="D1074" t="s">
        <v>1060</v>
      </c>
      <c r="E1074" t="s">
        <v>7158</v>
      </c>
      <c r="F1074">
        <v>1354</v>
      </c>
      <c r="G1074">
        <v>1354</v>
      </c>
      <c r="H1074">
        <v>1354</v>
      </c>
      <c r="I1074" t="s">
        <v>7159</v>
      </c>
      <c r="J1074" t="s">
        <v>7160</v>
      </c>
      <c r="K1074" t="s">
        <v>7161</v>
      </c>
      <c r="L1074" t="s">
        <v>7162</v>
      </c>
      <c r="M1074" t="s">
        <v>7163</v>
      </c>
      <c r="N1074" t="s">
        <v>7164</v>
      </c>
      <c r="O1074" t="s">
        <v>7165</v>
      </c>
      <c r="P1074" t="s">
        <v>7166</v>
      </c>
      <c r="R1074" s="7">
        <v>39510</v>
      </c>
      <c r="W1074" s="15">
        <v>5.2024999999999997</v>
      </c>
      <c r="X1074" s="15">
        <v>-75.590566699999997</v>
      </c>
      <c r="AF1074" t="s">
        <v>50</v>
      </c>
      <c r="AG1074" t="s">
        <v>167</v>
      </c>
      <c r="AH1074" t="s">
        <v>238</v>
      </c>
      <c r="AI1074" t="s">
        <v>7167</v>
      </c>
      <c r="AJ1074">
        <v>1144</v>
      </c>
    </row>
    <row r="1075" spans="1:36">
      <c r="A1075" t="s">
        <v>6974</v>
      </c>
      <c r="B1075" t="s">
        <v>6975</v>
      </c>
      <c r="C1075" t="s">
        <v>7168</v>
      </c>
      <c r="D1075" t="s">
        <v>1060</v>
      </c>
      <c r="E1075" t="s">
        <v>7169</v>
      </c>
      <c r="F1075">
        <v>1400</v>
      </c>
      <c r="G1075">
        <v>1400</v>
      </c>
      <c r="H1075">
        <v>1400</v>
      </c>
      <c r="I1075" t="s">
        <v>7170</v>
      </c>
      <c r="J1075" t="s">
        <v>7171</v>
      </c>
      <c r="K1075" t="s">
        <v>4305</v>
      </c>
      <c r="L1075" t="s">
        <v>2424</v>
      </c>
      <c r="M1075" t="s">
        <v>7172</v>
      </c>
      <c r="N1075" t="s">
        <v>7173</v>
      </c>
      <c r="O1075" t="s">
        <v>2426</v>
      </c>
      <c r="P1075" t="s">
        <v>7174</v>
      </c>
      <c r="R1075" s="7">
        <v>39576</v>
      </c>
      <c r="T1075" t="s">
        <v>119</v>
      </c>
      <c r="W1075" s="15">
        <v>4.9833333</v>
      </c>
      <c r="X1075" s="15">
        <v>-75.583333300000007</v>
      </c>
      <c r="AF1075" t="s">
        <v>50</v>
      </c>
      <c r="AG1075" t="s">
        <v>167</v>
      </c>
      <c r="AH1075" t="s">
        <v>7155</v>
      </c>
      <c r="AI1075" t="s">
        <v>7175</v>
      </c>
      <c r="AJ1075">
        <v>1145</v>
      </c>
    </row>
    <row r="1076" spans="1:36">
      <c r="A1076" t="s">
        <v>6974</v>
      </c>
      <c r="B1076" t="s">
        <v>6975</v>
      </c>
      <c r="C1076" t="s">
        <v>7176</v>
      </c>
      <c r="D1076" t="s">
        <v>1060</v>
      </c>
      <c r="E1076" t="s">
        <v>7177</v>
      </c>
      <c r="F1076">
        <v>1000</v>
      </c>
      <c r="G1076">
        <v>1000</v>
      </c>
      <c r="H1076">
        <v>1000</v>
      </c>
      <c r="P1076" t="s">
        <v>80</v>
      </c>
      <c r="R1076" s="7">
        <v>39663</v>
      </c>
      <c r="T1076" t="s">
        <v>119</v>
      </c>
      <c r="W1076" s="15">
        <v>5.0609900000000003</v>
      </c>
      <c r="X1076" s="15">
        <v>-75.608980000000003</v>
      </c>
      <c r="Y1076">
        <v>104.84099999999999</v>
      </c>
      <c r="Z1076">
        <v>1126</v>
      </c>
      <c r="AB1076" t="s">
        <v>7178</v>
      </c>
      <c r="AF1076" t="s">
        <v>50</v>
      </c>
      <c r="AG1076" t="s">
        <v>167</v>
      </c>
      <c r="AH1076" t="s">
        <v>7179</v>
      </c>
      <c r="AI1076" t="s">
        <v>7180</v>
      </c>
      <c r="AJ1076">
        <v>1147</v>
      </c>
    </row>
    <row r="1077" spans="1:36">
      <c r="A1077" t="s">
        <v>6974</v>
      </c>
      <c r="B1077" t="s">
        <v>6975</v>
      </c>
      <c r="C1077" t="s">
        <v>7181</v>
      </c>
      <c r="D1077" t="s">
        <v>1060</v>
      </c>
      <c r="E1077" t="s">
        <v>7131</v>
      </c>
      <c r="F1077">
        <v>2497</v>
      </c>
      <c r="G1077">
        <v>2497</v>
      </c>
      <c r="H1077">
        <v>2497</v>
      </c>
      <c r="I1077" t="s">
        <v>7182</v>
      </c>
      <c r="J1077" t="s">
        <v>7183</v>
      </c>
      <c r="K1077" t="s">
        <v>7184</v>
      </c>
      <c r="L1077" t="s">
        <v>7185</v>
      </c>
      <c r="M1077" t="s">
        <v>7186</v>
      </c>
      <c r="P1077" t="s">
        <v>80</v>
      </c>
      <c r="R1077" s="7">
        <v>40069</v>
      </c>
      <c r="T1077" t="s">
        <v>111</v>
      </c>
      <c r="W1077" s="15">
        <v>4.9252222220000004</v>
      </c>
      <c r="X1077" s="15">
        <v>-75.453083329999998</v>
      </c>
      <c r="AF1077" t="s">
        <v>50</v>
      </c>
      <c r="AG1077" t="s">
        <v>167</v>
      </c>
      <c r="AH1077" t="s">
        <v>993</v>
      </c>
      <c r="AI1077" t="s">
        <v>7132</v>
      </c>
      <c r="AJ1077">
        <v>1148</v>
      </c>
    </row>
    <row r="1078" spans="1:36">
      <c r="A1078" t="s">
        <v>6974</v>
      </c>
      <c r="B1078" t="s">
        <v>6975</v>
      </c>
      <c r="C1078" t="s">
        <v>7187</v>
      </c>
      <c r="D1078" t="s">
        <v>7188</v>
      </c>
      <c r="E1078" t="s">
        <v>7189</v>
      </c>
      <c r="F1078">
        <v>900</v>
      </c>
      <c r="G1078">
        <v>900</v>
      </c>
      <c r="H1078">
        <v>900</v>
      </c>
      <c r="I1078" t="s">
        <v>7190</v>
      </c>
      <c r="J1078" t="s">
        <v>7191</v>
      </c>
      <c r="K1078" t="s">
        <v>7192</v>
      </c>
      <c r="L1078" t="s">
        <v>7193</v>
      </c>
      <c r="M1078" t="s">
        <v>7194</v>
      </c>
      <c r="N1078" t="s">
        <v>1536</v>
      </c>
      <c r="O1078" t="s">
        <v>1537</v>
      </c>
      <c r="P1078" t="s">
        <v>1538</v>
      </c>
      <c r="R1078" s="7">
        <v>41029</v>
      </c>
      <c r="T1078" t="s">
        <v>119</v>
      </c>
      <c r="W1078" s="15">
        <v>5.0588889000000004</v>
      </c>
      <c r="X1078" s="15">
        <v>-75.735444400000006</v>
      </c>
      <c r="AF1078" t="s">
        <v>50</v>
      </c>
      <c r="AG1078" t="s">
        <v>167</v>
      </c>
      <c r="AH1078" t="s">
        <v>7155</v>
      </c>
      <c r="AI1078" t="s">
        <v>7195</v>
      </c>
      <c r="AJ1078">
        <v>1149</v>
      </c>
    </row>
    <row r="1079" spans="1:36">
      <c r="A1079" t="s">
        <v>6974</v>
      </c>
      <c r="B1079" t="s">
        <v>6975</v>
      </c>
      <c r="C1079" t="s">
        <v>7196</v>
      </c>
      <c r="D1079" t="s">
        <v>7197</v>
      </c>
      <c r="E1079" t="s">
        <v>7198</v>
      </c>
      <c r="F1079">
        <v>400</v>
      </c>
      <c r="G1079">
        <v>400</v>
      </c>
      <c r="H1079">
        <v>400</v>
      </c>
      <c r="P1079" t="s">
        <v>80</v>
      </c>
      <c r="R1079" s="7">
        <v>29657</v>
      </c>
      <c r="T1079" t="s">
        <v>119</v>
      </c>
      <c r="W1079" s="15">
        <v>1.4173100000000001</v>
      </c>
      <c r="X1079" s="15">
        <v>-75.879739999999998</v>
      </c>
      <c r="Y1079">
        <v>891.46699999999998</v>
      </c>
      <c r="Z1079">
        <v>308</v>
      </c>
      <c r="AB1079" t="s">
        <v>7199</v>
      </c>
      <c r="AF1079" t="s">
        <v>50</v>
      </c>
      <c r="AG1079" t="s">
        <v>1289</v>
      </c>
      <c r="AH1079" t="s">
        <v>7200</v>
      </c>
      <c r="AJ1079">
        <v>1150</v>
      </c>
    </row>
    <row r="1080" spans="1:36">
      <c r="A1080" t="s">
        <v>6974</v>
      </c>
      <c r="B1080" t="s">
        <v>6975</v>
      </c>
      <c r="C1080" t="s">
        <v>7201</v>
      </c>
      <c r="D1080" t="s">
        <v>7202</v>
      </c>
      <c r="E1080" t="s">
        <v>7198</v>
      </c>
      <c r="F1080">
        <v>400</v>
      </c>
      <c r="G1080">
        <v>400</v>
      </c>
      <c r="H1080">
        <v>400</v>
      </c>
      <c r="P1080" t="s">
        <v>80</v>
      </c>
      <c r="R1080" s="7">
        <v>29657</v>
      </c>
      <c r="T1080" t="s">
        <v>119</v>
      </c>
      <c r="W1080" s="15">
        <v>1.4173100000000001</v>
      </c>
      <c r="X1080" s="15">
        <v>-75.879739999999998</v>
      </c>
      <c r="Y1080">
        <v>891.46699999999998</v>
      </c>
      <c r="Z1080">
        <v>308</v>
      </c>
      <c r="AB1080" t="s">
        <v>7199</v>
      </c>
      <c r="AF1080" t="s">
        <v>50</v>
      </c>
      <c r="AG1080" t="s">
        <v>1289</v>
      </c>
      <c r="AH1080" t="s">
        <v>7200</v>
      </c>
      <c r="AJ1080">
        <v>1151</v>
      </c>
    </row>
    <row r="1081" spans="1:36">
      <c r="A1081" t="s">
        <v>6974</v>
      </c>
      <c r="B1081" t="s">
        <v>6975</v>
      </c>
      <c r="C1081" t="s">
        <v>7203</v>
      </c>
      <c r="D1081">
        <v>336536</v>
      </c>
      <c r="E1081" t="s">
        <v>7204</v>
      </c>
      <c r="F1081" t="s">
        <v>7205</v>
      </c>
      <c r="G1081">
        <v>350</v>
      </c>
      <c r="H1081">
        <v>400</v>
      </c>
      <c r="I1081" t="s">
        <v>7206</v>
      </c>
      <c r="J1081" t="s">
        <v>7207</v>
      </c>
      <c r="K1081" t="s">
        <v>7208</v>
      </c>
      <c r="L1081" t="s">
        <v>7209</v>
      </c>
      <c r="M1081" t="s">
        <v>7210</v>
      </c>
      <c r="N1081" t="s">
        <v>7211</v>
      </c>
      <c r="O1081" t="s">
        <v>7212</v>
      </c>
      <c r="P1081" t="s">
        <v>7213</v>
      </c>
      <c r="R1081" s="7">
        <v>33208</v>
      </c>
      <c r="T1081" t="s">
        <v>119</v>
      </c>
      <c r="W1081" s="15">
        <v>0.91666669999999995</v>
      </c>
      <c r="X1081" s="15">
        <v>-72.75</v>
      </c>
      <c r="AF1081" t="s">
        <v>50</v>
      </c>
      <c r="AG1081" t="s">
        <v>196</v>
      </c>
      <c r="AH1081" t="s">
        <v>6144</v>
      </c>
      <c r="AI1081" t="s">
        <v>7214</v>
      </c>
      <c r="AJ1081">
        <v>1152</v>
      </c>
    </row>
    <row r="1082" spans="1:36">
      <c r="A1082" t="s">
        <v>6974</v>
      </c>
      <c r="B1082" t="s">
        <v>6975</v>
      </c>
      <c r="C1082" t="s">
        <v>7215</v>
      </c>
      <c r="D1082" t="s">
        <v>7216</v>
      </c>
      <c r="E1082" t="s">
        <v>7217</v>
      </c>
      <c r="F1082">
        <v>600</v>
      </c>
      <c r="G1082">
        <v>600</v>
      </c>
      <c r="H1082">
        <v>600</v>
      </c>
      <c r="I1082" t="s">
        <v>7218</v>
      </c>
      <c r="J1082" t="s">
        <v>7219</v>
      </c>
      <c r="K1082" t="s">
        <v>7220</v>
      </c>
      <c r="L1082" t="s">
        <v>7221</v>
      </c>
      <c r="M1082" t="s">
        <v>7222</v>
      </c>
      <c r="N1082" t="s">
        <v>5703</v>
      </c>
      <c r="O1082" t="s">
        <v>7223</v>
      </c>
      <c r="P1082" t="s">
        <v>7224</v>
      </c>
      <c r="R1082" s="7">
        <v>33842</v>
      </c>
      <c r="T1082" t="s">
        <v>111</v>
      </c>
      <c r="W1082" s="15">
        <v>1.0833333000000001</v>
      </c>
      <c r="X1082" s="15">
        <v>-72.666666699999993</v>
      </c>
      <c r="AF1082" t="s">
        <v>50</v>
      </c>
      <c r="AG1082" t="s">
        <v>196</v>
      </c>
      <c r="AH1082" t="s">
        <v>6144</v>
      </c>
      <c r="AI1082" t="s">
        <v>7225</v>
      </c>
      <c r="AJ1082">
        <v>1153</v>
      </c>
    </row>
    <row r="1083" spans="1:36">
      <c r="A1083" t="s">
        <v>6974</v>
      </c>
      <c r="B1083" t="s">
        <v>6975</v>
      </c>
      <c r="C1083" t="s">
        <v>7226</v>
      </c>
      <c r="D1083" t="s">
        <v>7227</v>
      </c>
      <c r="E1083" t="s">
        <v>7217</v>
      </c>
      <c r="F1083">
        <v>660</v>
      </c>
      <c r="G1083">
        <v>660</v>
      </c>
      <c r="H1083">
        <v>660</v>
      </c>
      <c r="I1083" t="s">
        <v>7218</v>
      </c>
      <c r="J1083" t="s">
        <v>7219</v>
      </c>
      <c r="K1083" t="s">
        <v>7220</v>
      </c>
      <c r="L1083" t="s">
        <v>7221</v>
      </c>
      <c r="M1083" t="s">
        <v>7222</v>
      </c>
      <c r="N1083" t="s">
        <v>5703</v>
      </c>
      <c r="O1083" t="s">
        <v>7223</v>
      </c>
      <c r="P1083" t="s">
        <v>7224</v>
      </c>
      <c r="R1083" s="7">
        <v>33842</v>
      </c>
      <c r="T1083" t="s">
        <v>119</v>
      </c>
      <c r="W1083" s="15">
        <v>1.0833333000000001</v>
      </c>
      <c r="X1083" s="15">
        <v>-72.666666699999993</v>
      </c>
      <c r="AF1083" t="s">
        <v>50</v>
      </c>
      <c r="AG1083" t="s">
        <v>196</v>
      </c>
      <c r="AH1083" t="s">
        <v>6144</v>
      </c>
      <c r="AI1083" t="s">
        <v>7225</v>
      </c>
      <c r="AJ1083">
        <v>1154</v>
      </c>
    </row>
    <row r="1084" spans="1:36">
      <c r="A1084" t="s">
        <v>6974</v>
      </c>
      <c r="B1084" t="s">
        <v>6975</v>
      </c>
      <c r="C1084" t="s">
        <v>7228</v>
      </c>
      <c r="D1084" t="s">
        <v>7229</v>
      </c>
      <c r="E1084" t="s">
        <v>7230</v>
      </c>
      <c r="F1084">
        <v>200</v>
      </c>
      <c r="G1084">
        <v>200</v>
      </c>
      <c r="H1084">
        <v>200</v>
      </c>
      <c r="I1084" t="s">
        <v>7231</v>
      </c>
      <c r="J1084" t="s">
        <v>7232</v>
      </c>
      <c r="K1084" t="s">
        <v>7233</v>
      </c>
      <c r="L1084" t="s">
        <v>7234</v>
      </c>
      <c r="M1084" t="s">
        <v>7235</v>
      </c>
      <c r="N1084" t="s">
        <v>7236</v>
      </c>
      <c r="O1084" t="s">
        <v>7237</v>
      </c>
      <c r="P1084" t="s">
        <v>7238</v>
      </c>
      <c r="R1084" s="7">
        <v>37121</v>
      </c>
      <c r="T1084" t="s">
        <v>119</v>
      </c>
      <c r="W1084" s="15">
        <v>8.8999999999999996E-2</v>
      </c>
      <c r="X1084" s="15">
        <v>-72.445333300000001</v>
      </c>
      <c r="AF1084" t="s">
        <v>50</v>
      </c>
      <c r="AG1084" t="s">
        <v>196</v>
      </c>
      <c r="AH1084" t="s">
        <v>7239</v>
      </c>
      <c r="AJ1084">
        <v>1155</v>
      </c>
    </row>
    <row r="1085" spans="1:36">
      <c r="A1085" t="s">
        <v>6974</v>
      </c>
      <c r="B1085" t="s">
        <v>6975</v>
      </c>
      <c r="C1085" t="s">
        <v>7240</v>
      </c>
      <c r="D1085" t="s">
        <v>7241</v>
      </c>
      <c r="E1085" t="s">
        <v>7230</v>
      </c>
      <c r="F1085">
        <v>200</v>
      </c>
      <c r="G1085">
        <v>200</v>
      </c>
      <c r="H1085">
        <v>200</v>
      </c>
      <c r="I1085" t="s">
        <v>7242</v>
      </c>
      <c r="J1085" t="s">
        <v>7243</v>
      </c>
      <c r="K1085" t="s">
        <v>7244</v>
      </c>
      <c r="L1085" t="s">
        <v>7245</v>
      </c>
      <c r="M1085" t="s">
        <v>7246</v>
      </c>
      <c r="N1085" t="s">
        <v>7247</v>
      </c>
      <c r="O1085" t="s">
        <v>7248</v>
      </c>
      <c r="P1085" t="s">
        <v>7249</v>
      </c>
      <c r="R1085" s="7">
        <v>37157</v>
      </c>
      <c r="T1085" t="s">
        <v>119</v>
      </c>
      <c r="W1085" s="15">
        <v>0.27305560000000001</v>
      </c>
      <c r="X1085" s="15">
        <v>-72.506500000000003</v>
      </c>
      <c r="AF1085" t="s">
        <v>50</v>
      </c>
      <c r="AG1085" t="s">
        <v>196</v>
      </c>
      <c r="AH1085" t="s">
        <v>7239</v>
      </c>
      <c r="AJ1085">
        <v>1156</v>
      </c>
    </row>
    <row r="1086" spans="1:36">
      <c r="A1086" t="s">
        <v>6974</v>
      </c>
      <c r="B1086" t="s">
        <v>6975</v>
      </c>
      <c r="C1086" t="s">
        <v>7250</v>
      </c>
      <c r="D1086" t="s">
        <v>7251</v>
      </c>
      <c r="E1086" t="s">
        <v>7252</v>
      </c>
      <c r="F1086">
        <v>500</v>
      </c>
      <c r="G1086">
        <v>500</v>
      </c>
      <c r="H1086">
        <v>500</v>
      </c>
      <c r="I1086" t="s">
        <v>7253</v>
      </c>
      <c r="J1086" t="s">
        <v>7254</v>
      </c>
      <c r="K1086" t="s">
        <v>7255</v>
      </c>
      <c r="L1086" t="s">
        <v>7256</v>
      </c>
      <c r="M1086" t="s">
        <v>7257</v>
      </c>
      <c r="N1086" t="s">
        <v>7258</v>
      </c>
      <c r="O1086" t="s">
        <v>7259</v>
      </c>
      <c r="P1086" t="s">
        <v>7260</v>
      </c>
      <c r="R1086" s="7">
        <v>37369</v>
      </c>
      <c r="T1086" t="s">
        <v>119</v>
      </c>
      <c r="W1086" s="15">
        <v>7.1111099999999997E-2</v>
      </c>
      <c r="X1086" s="15">
        <v>-72.446666699999994</v>
      </c>
      <c r="AF1086" t="s">
        <v>50</v>
      </c>
      <c r="AG1086" t="s">
        <v>196</v>
      </c>
      <c r="AH1086" t="s">
        <v>1290</v>
      </c>
      <c r="AI1086" t="s">
        <v>7261</v>
      </c>
      <c r="AJ1086">
        <v>1157</v>
      </c>
    </row>
    <row r="1087" spans="1:36">
      <c r="A1087" t="s">
        <v>6974</v>
      </c>
      <c r="B1087" t="s">
        <v>6975</v>
      </c>
      <c r="C1087" t="s">
        <v>7262</v>
      </c>
      <c r="D1087" t="s">
        <v>7263</v>
      </c>
      <c r="E1087" t="s">
        <v>7264</v>
      </c>
      <c r="F1087">
        <v>635</v>
      </c>
      <c r="G1087">
        <v>635</v>
      </c>
      <c r="H1087">
        <v>635</v>
      </c>
      <c r="I1087" t="s">
        <v>6136</v>
      </c>
      <c r="J1087" t="s">
        <v>6137</v>
      </c>
      <c r="K1087" t="s">
        <v>7265</v>
      </c>
      <c r="L1087" t="s">
        <v>7266</v>
      </c>
      <c r="M1087" t="s">
        <v>7267</v>
      </c>
      <c r="N1087" t="s">
        <v>6141</v>
      </c>
      <c r="O1087" t="s">
        <v>7268</v>
      </c>
      <c r="P1087" t="s">
        <v>7269</v>
      </c>
      <c r="R1087" s="7">
        <v>33931</v>
      </c>
      <c r="T1087" t="s">
        <v>119</v>
      </c>
      <c r="W1087" s="15">
        <v>0.9375</v>
      </c>
      <c r="X1087" s="15">
        <v>-72.700166699999997</v>
      </c>
      <c r="AF1087" t="s">
        <v>50</v>
      </c>
      <c r="AG1087" t="s">
        <v>7270</v>
      </c>
      <c r="AJ1087">
        <v>1159</v>
      </c>
    </row>
    <row r="1088" spans="1:36">
      <c r="A1088" t="s">
        <v>6974</v>
      </c>
      <c r="B1088" t="s">
        <v>6975</v>
      </c>
      <c r="C1088" t="s">
        <v>7271</v>
      </c>
      <c r="D1088" t="s">
        <v>7272</v>
      </c>
      <c r="E1088" t="s">
        <v>7273</v>
      </c>
      <c r="F1088">
        <v>1800</v>
      </c>
      <c r="G1088">
        <v>1800</v>
      </c>
      <c r="H1088">
        <v>1800</v>
      </c>
      <c r="I1088" t="s">
        <v>7274</v>
      </c>
      <c r="J1088" t="s">
        <v>7275</v>
      </c>
      <c r="K1088" t="s">
        <v>7276</v>
      </c>
      <c r="L1088" t="s">
        <v>7277</v>
      </c>
      <c r="M1088" t="s">
        <v>7278</v>
      </c>
      <c r="N1088" t="s">
        <v>7279</v>
      </c>
      <c r="O1088" t="s">
        <v>7280</v>
      </c>
      <c r="P1088" t="s">
        <v>7281</v>
      </c>
      <c r="R1088" s="7">
        <v>27572</v>
      </c>
      <c r="W1088" s="15">
        <v>2.2612777999999998</v>
      </c>
      <c r="X1088" s="15">
        <v>-76.741425000000007</v>
      </c>
      <c r="AF1088" t="s">
        <v>50</v>
      </c>
      <c r="AG1088" t="s">
        <v>283</v>
      </c>
      <c r="AH1088" t="s">
        <v>7282</v>
      </c>
      <c r="AI1088" t="s">
        <v>7283</v>
      </c>
      <c r="AJ1088">
        <v>1160</v>
      </c>
    </row>
    <row r="1089" spans="1:36">
      <c r="A1089" t="s">
        <v>6974</v>
      </c>
      <c r="B1089" t="s">
        <v>6975</v>
      </c>
      <c r="C1089" t="s">
        <v>7284</v>
      </c>
      <c r="D1089" t="s">
        <v>7285</v>
      </c>
      <c r="E1089" t="s">
        <v>7286</v>
      </c>
      <c r="P1089" t="s">
        <v>80</v>
      </c>
      <c r="R1089" s="7">
        <v>27765</v>
      </c>
      <c r="T1089" t="s">
        <v>119</v>
      </c>
      <c r="W1089" s="15">
        <v>2.5521199999999999</v>
      </c>
      <c r="X1089" s="15">
        <v>-77.864909999999995</v>
      </c>
      <c r="Y1089">
        <v>6035.8320000000003</v>
      </c>
      <c r="Z1089">
        <v>4</v>
      </c>
      <c r="AB1089" t="s">
        <v>7287</v>
      </c>
      <c r="AF1089" t="s">
        <v>50</v>
      </c>
      <c r="AG1089" t="s">
        <v>283</v>
      </c>
      <c r="AH1089" t="s">
        <v>7288</v>
      </c>
      <c r="AI1089" t="s">
        <v>7289</v>
      </c>
      <c r="AJ1089">
        <v>1161</v>
      </c>
    </row>
    <row r="1090" spans="1:36">
      <c r="A1090" t="s">
        <v>6974</v>
      </c>
      <c r="B1090" t="s">
        <v>6975</v>
      </c>
      <c r="C1090" t="s">
        <v>7290</v>
      </c>
      <c r="D1090" t="s">
        <v>7291</v>
      </c>
      <c r="E1090" t="s">
        <v>7292</v>
      </c>
      <c r="F1090">
        <v>1713</v>
      </c>
      <c r="G1090">
        <v>1713</v>
      </c>
      <c r="H1090">
        <v>1713</v>
      </c>
      <c r="I1090" t="s">
        <v>768</v>
      </c>
      <c r="J1090" t="s">
        <v>769</v>
      </c>
      <c r="K1090" t="s">
        <v>770</v>
      </c>
      <c r="L1090" t="s">
        <v>771</v>
      </c>
      <c r="M1090" t="s">
        <v>772</v>
      </c>
      <c r="N1090" t="s">
        <v>773</v>
      </c>
      <c r="O1090" t="s">
        <v>774</v>
      </c>
      <c r="P1090" t="s">
        <v>775</v>
      </c>
      <c r="R1090" s="7">
        <v>36491</v>
      </c>
      <c r="W1090" s="15">
        <v>2.4500000000000002</v>
      </c>
      <c r="X1090" s="15">
        <v>-76.616666699999996</v>
      </c>
      <c r="AF1090" t="s">
        <v>50</v>
      </c>
      <c r="AG1090" t="s">
        <v>283</v>
      </c>
      <c r="AH1090" t="s">
        <v>703</v>
      </c>
      <c r="AI1090" t="s">
        <v>7293</v>
      </c>
      <c r="AJ1090">
        <v>1162</v>
      </c>
    </row>
    <row r="1091" spans="1:36">
      <c r="A1091" t="s">
        <v>6974</v>
      </c>
      <c r="B1091" t="s">
        <v>6975</v>
      </c>
      <c r="C1091" t="s">
        <v>7290</v>
      </c>
      <c r="D1091" t="s">
        <v>7294</v>
      </c>
      <c r="E1091" t="s">
        <v>7292</v>
      </c>
      <c r="F1091">
        <v>1713</v>
      </c>
      <c r="G1091">
        <v>1713</v>
      </c>
      <c r="H1091">
        <v>1713</v>
      </c>
      <c r="I1091" t="s">
        <v>768</v>
      </c>
      <c r="J1091" t="s">
        <v>769</v>
      </c>
      <c r="K1091" t="s">
        <v>770</v>
      </c>
      <c r="L1091" t="s">
        <v>771</v>
      </c>
      <c r="M1091" t="s">
        <v>772</v>
      </c>
      <c r="N1091" t="s">
        <v>773</v>
      </c>
      <c r="O1091" t="s">
        <v>774</v>
      </c>
      <c r="P1091" t="s">
        <v>775</v>
      </c>
      <c r="R1091" s="7">
        <v>36491</v>
      </c>
      <c r="W1091" s="15">
        <v>2.4500000000000002</v>
      </c>
      <c r="X1091" s="15">
        <v>-76.616666699999996</v>
      </c>
      <c r="AF1091" t="s">
        <v>50</v>
      </c>
      <c r="AG1091" t="s">
        <v>283</v>
      </c>
      <c r="AH1091" t="s">
        <v>703</v>
      </c>
      <c r="AI1091" t="s">
        <v>7293</v>
      </c>
      <c r="AJ1091">
        <v>1163</v>
      </c>
    </row>
    <row r="1092" spans="1:36">
      <c r="A1092" t="s">
        <v>6974</v>
      </c>
      <c r="B1092" t="s">
        <v>6975</v>
      </c>
      <c r="C1092" t="s">
        <v>7290</v>
      </c>
      <c r="D1092" t="s">
        <v>7295</v>
      </c>
      <c r="E1092" t="s">
        <v>7292</v>
      </c>
      <c r="F1092">
        <v>1713</v>
      </c>
      <c r="G1092">
        <v>1713</v>
      </c>
      <c r="H1092">
        <v>1713</v>
      </c>
      <c r="I1092" t="s">
        <v>768</v>
      </c>
      <c r="J1092" t="s">
        <v>769</v>
      </c>
      <c r="K1092" t="s">
        <v>770</v>
      </c>
      <c r="L1092" t="s">
        <v>771</v>
      </c>
      <c r="M1092" t="s">
        <v>772</v>
      </c>
      <c r="N1092" t="s">
        <v>773</v>
      </c>
      <c r="O1092" t="s">
        <v>774</v>
      </c>
      <c r="P1092" t="s">
        <v>775</v>
      </c>
      <c r="R1092" s="7">
        <v>36491</v>
      </c>
      <c r="W1092" s="15">
        <v>2.4500000000000002</v>
      </c>
      <c r="X1092" s="15">
        <v>-76.616666699999996</v>
      </c>
      <c r="AF1092" t="s">
        <v>50</v>
      </c>
      <c r="AG1092" t="s">
        <v>283</v>
      </c>
      <c r="AH1092" t="s">
        <v>703</v>
      </c>
      <c r="AI1092" t="s">
        <v>7293</v>
      </c>
      <c r="AJ1092">
        <v>1164</v>
      </c>
    </row>
    <row r="1093" spans="1:36">
      <c r="A1093" t="s">
        <v>6974</v>
      </c>
      <c r="B1093" t="s">
        <v>6975</v>
      </c>
      <c r="C1093" t="s">
        <v>7296</v>
      </c>
      <c r="D1093" t="s">
        <v>7297</v>
      </c>
      <c r="E1093" t="s">
        <v>281</v>
      </c>
      <c r="F1093">
        <v>1600</v>
      </c>
      <c r="G1093">
        <v>1600</v>
      </c>
      <c r="H1093">
        <v>1600</v>
      </c>
      <c r="I1093" t="s">
        <v>7298</v>
      </c>
      <c r="J1093" t="s">
        <v>7299</v>
      </c>
      <c r="K1093" t="s">
        <v>7300</v>
      </c>
      <c r="L1093" t="s">
        <v>7301</v>
      </c>
      <c r="M1093" t="s">
        <v>7302</v>
      </c>
      <c r="N1093" t="s">
        <v>7303</v>
      </c>
      <c r="O1093" t="s">
        <v>7304</v>
      </c>
      <c r="P1093" t="s">
        <v>7305</v>
      </c>
      <c r="R1093" s="7">
        <v>36590</v>
      </c>
      <c r="W1093" s="15">
        <v>2.51058</v>
      </c>
      <c r="X1093" s="15">
        <v>-76.984210000000004</v>
      </c>
      <c r="Y1093">
        <v>1862.7349999999999</v>
      </c>
      <c r="Z1093">
        <v>1783</v>
      </c>
      <c r="AB1093" t="s">
        <v>282</v>
      </c>
      <c r="AF1093" t="s">
        <v>50</v>
      </c>
      <c r="AG1093" t="s">
        <v>283</v>
      </c>
      <c r="AH1093" t="s">
        <v>284</v>
      </c>
      <c r="AI1093" t="s">
        <v>285</v>
      </c>
      <c r="AJ1093">
        <v>1165</v>
      </c>
    </row>
    <row r="1094" spans="1:36">
      <c r="A1094" t="s">
        <v>6974</v>
      </c>
      <c r="B1094" t="s">
        <v>6975</v>
      </c>
      <c r="C1094" t="s">
        <v>7306</v>
      </c>
      <c r="D1094" t="s">
        <v>7307</v>
      </c>
      <c r="E1094" t="s">
        <v>7308</v>
      </c>
      <c r="F1094" t="s">
        <v>495</v>
      </c>
      <c r="G1094">
        <v>1700</v>
      </c>
      <c r="H1094">
        <v>1800</v>
      </c>
      <c r="I1094" t="s">
        <v>7309</v>
      </c>
      <c r="J1094" t="s">
        <v>7310</v>
      </c>
      <c r="K1094" t="s">
        <v>7311</v>
      </c>
      <c r="L1094" t="s">
        <v>7312</v>
      </c>
      <c r="M1094" t="s">
        <v>7313</v>
      </c>
      <c r="N1094" t="s">
        <v>7314</v>
      </c>
      <c r="O1094" t="s">
        <v>7315</v>
      </c>
      <c r="P1094" t="s">
        <v>7316</v>
      </c>
      <c r="R1094" s="7">
        <v>37782</v>
      </c>
      <c r="W1094" s="15">
        <v>1.8520833000000001</v>
      </c>
      <c r="X1094" s="15">
        <v>-76.924722200000005</v>
      </c>
      <c r="AF1094" t="s">
        <v>50</v>
      </c>
      <c r="AG1094" t="s">
        <v>283</v>
      </c>
      <c r="AH1094" t="s">
        <v>944</v>
      </c>
      <c r="AI1094" t="s">
        <v>7317</v>
      </c>
      <c r="AJ1094">
        <v>1166</v>
      </c>
    </row>
    <row r="1095" spans="1:36">
      <c r="A1095" t="s">
        <v>6974</v>
      </c>
      <c r="B1095" t="s">
        <v>6975</v>
      </c>
      <c r="C1095" t="s">
        <v>7318</v>
      </c>
      <c r="D1095" t="s">
        <v>7319</v>
      </c>
      <c r="E1095" t="s">
        <v>7320</v>
      </c>
      <c r="P1095" t="s">
        <v>80</v>
      </c>
      <c r="R1095" s="7">
        <v>26869</v>
      </c>
      <c r="T1095" t="s">
        <v>119</v>
      </c>
      <c r="W1095" s="15">
        <v>5.4020799999999998</v>
      </c>
      <c r="X1095" s="15">
        <v>-77.396320000000003</v>
      </c>
      <c r="Y1095">
        <v>3777.8040000000001</v>
      </c>
      <c r="Z1095">
        <v>10</v>
      </c>
      <c r="AB1095" t="s">
        <v>7321</v>
      </c>
      <c r="AF1095" t="s">
        <v>50</v>
      </c>
      <c r="AG1095" t="s">
        <v>374</v>
      </c>
      <c r="AH1095" t="s">
        <v>7322</v>
      </c>
      <c r="AJ1095">
        <v>1167</v>
      </c>
    </row>
    <row r="1096" spans="1:36">
      <c r="A1096" t="s">
        <v>6974</v>
      </c>
      <c r="B1096" t="s">
        <v>6975</v>
      </c>
      <c r="C1096" t="s">
        <v>7323</v>
      </c>
      <c r="D1096" t="s">
        <v>7324</v>
      </c>
      <c r="E1096" t="s">
        <v>7325</v>
      </c>
      <c r="F1096">
        <v>40</v>
      </c>
      <c r="G1096">
        <v>40</v>
      </c>
      <c r="H1096">
        <v>40</v>
      </c>
      <c r="P1096" t="s">
        <v>80</v>
      </c>
      <c r="R1096" s="7">
        <v>27517</v>
      </c>
      <c r="T1096" t="s">
        <v>119</v>
      </c>
      <c r="W1096" s="15">
        <v>5.7024900000000001</v>
      </c>
      <c r="X1096" s="15">
        <v>-76.764259999999993</v>
      </c>
      <c r="Y1096">
        <v>7575.5929999999998</v>
      </c>
      <c r="Z1096">
        <v>40</v>
      </c>
      <c r="AB1096" t="s">
        <v>7326</v>
      </c>
      <c r="AF1096" t="s">
        <v>50</v>
      </c>
      <c r="AG1096" t="s">
        <v>374</v>
      </c>
      <c r="AH1096" t="s">
        <v>7327</v>
      </c>
      <c r="AI1096" t="s">
        <v>7328</v>
      </c>
      <c r="AJ1096">
        <v>1169</v>
      </c>
    </row>
    <row r="1097" spans="1:36">
      <c r="A1097" t="s">
        <v>6974</v>
      </c>
      <c r="B1097" t="s">
        <v>6975</v>
      </c>
      <c r="C1097" t="s">
        <v>7329</v>
      </c>
      <c r="D1097" t="s">
        <v>1323</v>
      </c>
      <c r="E1097" t="s">
        <v>7330</v>
      </c>
      <c r="F1097">
        <v>5</v>
      </c>
      <c r="G1097">
        <v>5</v>
      </c>
      <c r="H1097">
        <v>5</v>
      </c>
      <c r="I1097" t="s">
        <v>1318</v>
      </c>
      <c r="J1097" t="s">
        <v>1319</v>
      </c>
      <c r="K1097" t="s">
        <v>1320</v>
      </c>
      <c r="L1097" t="s">
        <v>1321</v>
      </c>
      <c r="M1097" t="s">
        <v>1322</v>
      </c>
      <c r="N1097" t="s">
        <v>1582</v>
      </c>
      <c r="O1097" t="s">
        <v>1583</v>
      </c>
      <c r="P1097" t="s">
        <v>1584</v>
      </c>
      <c r="R1097" s="7">
        <v>28937</v>
      </c>
      <c r="T1097" t="s">
        <v>119</v>
      </c>
      <c r="W1097" s="15">
        <v>4.1569000000000003</v>
      </c>
      <c r="X1097" s="15">
        <v>-77.137039999999999</v>
      </c>
      <c r="Y1097">
        <v>3254.4549999999999</v>
      </c>
      <c r="Z1097">
        <v>13</v>
      </c>
      <c r="AB1097" t="s">
        <v>1323</v>
      </c>
      <c r="AF1097" t="s">
        <v>50</v>
      </c>
      <c r="AG1097" t="s">
        <v>374</v>
      </c>
      <c r="AH1097" t="s">
        <v>7331</v>
      </c>
      <c r="AI1097" t="s">
        <v>4000</v>
      </c>
      <c r="AJ1097">
        <v>1170</v>
      </c>
    </row>
    <row r="1098" spans="1:36">
      <c r="A1098" t="s">
        <v>6974</v>
      </c>
      <c r="B1098" t="s">
        <v>6975</v>
      </c>
      <c r="C1098" t="s">
        <v>7332</v>
      </c>
      <c r="D1098" t="s">
        <v>7333</v>
      </c>
      <c r="E1098" t="s">
        <v>7334</v>
      </c>
      <c r="F1098">
        <v>5</v>
      </c>
      <c r="G1098">
        <v>5</v>
      </c>
      <c r="H1098">
        <v>5</v>
      </c>
      <c r="I1098" t="s">
        <v>4757</v>
      </c>
      <c r="J1098" t="s">
        <v>4758</v>
      </c>
      <c r="K1098" t="s">
        <v>4006</v>
      </c>
      <c r="L1098" t="s">
        <v>4007</v>
      </c>
      <c r="M1098" t="s">
        <v>7335</v>
      </c>
      <c r="N1098" t="s">
        <v>4009</v>
      </c>
      <c r="O1098" t="s">
        <v>4010</v>
      </c>
      <c r="P1098" t="s">
        <v>4011</v>
      </c>
      <c r="R1098" s="7">
        <v>28955</v>
      </c>
      <c r="T1098" t="s">
        <v>119</v>
      </c>
      <c r="W1098" s="15">
        <v>5</v>
      </c>
      <c r="X1098" s="15">
        <v>-76.733333299999998</v>
      </c>
      <c r="AF1098" t="s">
        <v>50</v>
      </c>
      <c r="AG1098" t="s">
        <v>374</v>
      </c>
      <c r="AH1098" t="s">
        <v>7331</v>
      </c>
      <c r="AI1098" t="s">
        <v>7336</v>
      </c>
      <c r="AJ1098">
        <v>1171</v>
      </c>
    </row>
    <row r="1099" spans="1:36">
      <c r="A1099" t="s">
        <v>6974</v>
      </c>
      <c r="B1099" t="s">
        <v>6975</v>
      </c>
      <c r="C1099" t="s">
        <v>7337</v>
      </c>
      <c r="D1099" t="s">
        <v>7338</v>
      </c>
      <c r="E1099" t="s">
        <v>7339</v>
      </c>
      <c r="F1099">
        <v>80</v>
      </c>
      <c r="G1099">
        <v>80</v>
      </c>
      <c r="H1099">
        <v>80</v>
      </c>
      <c r="P1099" t="s">
        <v>80</v>
      </c>
      <c r="R1099" s="7">
        <v>30496</v>
      </c>
      <c r="T1099" t="s">
        <v>119</v>
      </c>
      <c r="W1099" s="15">
        <v>5.6294000000000004</v>
      </c>
      <c r="X1099" s="15">
        <v>-76.629239999999996</v>
      </c>
      <c r="Y1099">
        <v>8397.9719999999998</v>
      </c>
      <c r="Z1099">
        <v>71</v>
      </c>
      <c r="AB1099" t="s">
        <v>7340</v>
      </c>
      <c r="AF1099" t="s">
        <v>50</v>
      </c>
      <c r="AG1099" t="s">
        <v>374</v>
      </c>
      <c r="AH1099" t="s">
        <v>7341</v>
      </c>
      <c r="AI1099" t="s">
        <v>7342</v>
      </c>
      <c r="AJ1099">
        <v>1172</v>
      </c>
    </row>
    <row r="1100" spans="1:36">
      <c r="A1100" t="s">
        <v>6974</v>
      </c>
      <c r="B1100" t="s">
        <v>6975</v>
      </c>
      <c r="C1100" t="s">
        <v>7343</v>
      </c>
      <c r="D1100" t="s">
        <v>7344</v>
      </c>
      <c r="E1100" t="s">
        <v>7345</v>
      </c>
      <c r="P1100" t="s">
        <v>80</v>
      </c>
      <c r="R1100" s="7">
        <v>32829</v>
      </c>
      <c r="T1100" t="s">
        <v>119</v>
      </c>
      <c r="W1100" s="15">
        <v>6.0291199999999998</v>
      </c>
      <c r="X1100" s="15">
        <v>-77.364859999999993</v>
      </c>
      <c r="Y1100">
        <v>3381.23</v>
      </c>
      <c r="Z1100">
        <v>207</v>
      </c>
      <c r="AB1100" t="s">
        <v>4033</v>
      </c>
      <c r="AF1100" t="s">
        <v>50</v>
      </c>
      <c r="AG1100" t="s">
        <v>374</v>
      </c>
      <c r="AH1100" t="s">
        <v>4034</v>
      </c>
      <c r="AI1100" t="s">
        <v>7346</v>
      </c>
      <c r="AJ1100">
        <v>1174</v>
      </c>
    </row>
    <row r="1101" spans="1:36">
      <c r="A1101" t="s">
        <v>6974</v>
      </c>
      <c r="B1101" t="s">
        <v>6975</v>
      </c>
      <c r="C1101" t="s">
        <v>7347</v>
      </c>
      <c r="D1101" t="s">
        <v>7348</v>
      </c>
      <c r="E1101" t="s">
        <v>7349</v>
      </c>
      <c r="F1101">
        <v>25</v>
      </c>
      <c r="G1101">
        <v>25</v>
      </c>
      <c r="H1101">
        <v>25</v>
      </c>
      <c r="I1101" t="s">
        <v>7350</v>
      </c>
      <c r="J1101" t="s">
        <v>7351</v>
      </c>
      <c r="K1101" t="s">
        <v>7352</v>
      </c>
      <c r="L1101" t="s">
        <v>7353</v>
      </c>
      <c r="M1101" t="s">
        <v>7354</v>
      </c>
      <c r="N1101" t="s">
        <v>7355</v>
      </c>
      <c r="O1101" t="s">
        <v>7356</v>
      </c>
      <c r="P1101" t="s">
        <v>7357</v>
      </c>
      <c r="R1101" s="7">
        <v>34529</v>
      </c>
      <c r="T1101" t="s">
        <v>119</v>
      </c>
      <c r="W1101" s="15">
        <v>5.7</v>
      </c>
      <c r="X1101" s="15">
        <v>-77.266666700000002</v>
      </c>
      <c r="AF1101" t="s">
        <v>50</v>
      </c>
      <c r="AG1101" t="s">
        <v>374</v>
      </c>
      <c r="AH1101" t="s">
        <v>7358</v>
      </c>
      <c r="AI1101" t="s">
        <v>7359</v>
      </c>
      <c r="AJ1101">
        <v>1175</v>
      </c>
    </row>
    <row r="1102" spans="1:36">
      <c r="A1102" t="s">
        <v>6974</v>
      </c>
      <c r="B1102" t="s">
        <v>6975</v>
      </c>
      <c r="C1102" t="s">
        <v>7360</v>
      </c>
      <c r="D1102" t="s">
        <v>7361</v>
      </c>
      <c r="E1102" t="s">
        <v>4046</v>
      </c>
      <c r="I1102" t="s">
        <v>7362</v>
      </c>
      <c r="J1102" t="s">
        <v>7363</v>
      </c>
      <c r="K1102" t="s">
        <v>7364</v>
      </c>
      <c r="L1102" t="s">
        <v>7365</v>
      </c>
      <c r="M1102" t="s">
        <v>7366</v>
      </c>
      <c r="N1102" t="s">
        <v>4052</v>
      </c>
      <c r="O1102" t="s">
        <v>4053</v>
      </c>
      <c r="P1102" t="s">
        <v>4054</v>
      </c>
      <c r="R1102" s="7">
        <v>38215</v>
      </c>
      <c r="T1102" t="s">
        <v>111</v>
      </c>
      <c r="W1102" s="15">
        <v>5.2177806000000002</v>
      </c>
      <c r="X1102" s="15">
        <v>-76.634866700000003</v>
      </c>
      <c r="AF1102" t="s">
        <v>50</v>
      </c>
      <c r="AG1102" t="s">
        <v>374</v>
      </c>
      <c r="AH1102" t="s">
        <v>4055</v>
      </c>
      <c r="AI1102" t="s">
        <v>4056</v>
      </c>
      <c r="AJ1102">
        <v>1176</v>
      </c>
    </row>
    <row r="1103" spans="1:36">
      <c r="A1103" t="s">
        <v>6974</v>
      </c>
      <c r="B1103" t="s">
        <v>6975</v>
      </c>
      <c r="C1103" t="s">
        <v>7367</v>
      </c>
      <c r="D1103" t="s">
        <v>1060</v>
      </c>
      <c r="E1103" t="s">
        <v>7368</v>
      </c>
      <c r="F1103">
        <v>641</v>
      </c>
      <c r="G1103">
        <v>641</v>
      </c>
      <c r="H1103">
        <v>641</v>
      </c>
      <c r="I1103" t="s">
        <v>7369</v>
      </c>
      <c r="J1103" t="s">
        <v>7370</v>
      </c>
      <c r="K1103" t="s">
        <v>1368</v>
      </c>
      <c r="L1103" t="s">
        <v>1369</v>
      </c>
      <c r="M1103" t="s">
        <v>7371</v>
      </c>
      <c r="N1103" t="s">
        <v>1371</v>
      </c>
      <c r="O1103" t="s">
        <v>1372</v>
      </c>
      <c r="P1103" t="s">
        <v>1373</v>
      </c>
      <c r="R1103" s="7">
        <v>39954</v>
      </c>
      <c r="T1103" t="s">
        <v>119</v>
      </c>
      <c r="W1103" s="15">
        <v>4.8692722000000002</v>
      </c>
      <c r="X1103" s="15">
        <v>-76.250647200000003</v>
      </c>
      <c r="AF1103" t="s">
        <v>50</v>
      </c>
      <c r="AG1103" t="s">
        <v>374</v>
      </c>
      <c r="AH1103" t="s">
        <v>1447</v>
      </c>
      <c r="AI1103" t="s">
        <v>1375</v>
      </c>
      <c r="AJ1103">
        <v>1177</v>
      </c>
    </row>
    <row r="1104" spans="1:36">
      <c r="A1104" t="s">
        <v>6974</v>
      </c>
      <c r="B1104" t="s">
        <v>6975</v>
      </c>
      <c r="C1104" t="s">
        <v>7372</v>
      </c>
      <c r="D1104" t="s">
        <v>7373</v>
      </c>
      <c r="E1104" t="s">
        <v>7374</v>
      </c>
      <c r="F1104">
        <v>1700</v>
      </c>
      <c r="G1104">
        <v>1700</v>
      </c>
      <c r="H1104">
        <v>1700</v>
      </c>
      <c r="P1104" t="s">
        <v>80</v>
      </c>
      <c r="R1104" s="7">
        <v>27167</v>
      </c>
      <c r="W1104" s="15">
        <v>4.84084</v>
      </c>
      <c r="X1104" s="15">
        <v>-73.651290000000003</v>
      </c>
      <c r="Y1104">
        <v>2258.3589999999999</v>
      </c>
      <c r="Z1104">
        <v>1798</v>
      </c>
      <c r="AB1104" t="s">
        <v>7375</v>
      </c>
      <c r="AF1104" t="s">
        <v>50</v>
      </c>
      <c r="AG1104" t="s">
        <v>98</v>
      </c>
      <c r="AH1104" t="s">
        <v>7376</v>
      </c>
      <c r="AI1104" t="s">
        <v>7377</v>
      </c>
      <c r="AJ1104">
        <v>1178</v>
      </c>
    </row>
    <row r="1105" spans="1:36">
      <c r="A1105" t="s">
        <v>6974</v>
      </c>
      <c r="B1105" t="s">
        <v>6975</v>
      </c>
      <c r="C1105" t="s">
        <v>7378</v>
      </c>
      <c r="D1105" t="s">
        <v>7379</v>
      </c>
      <c r="E1105" t="s">
        <v>7380</v>
      </c>
      <c r="F1105">
        <v>1300</v>
      </c>
      <c r="G1105">
        <v>1300</v>
      </c>
      <c r="H1105">
        <v>1300</v>
      </c>
      <c r="P1105" t="s">
        <v>80</v>
      </c>
      <c r="R1105" s="7">
        <v>27558</v>
      </c>
      <c r="W1105" s="15">
        <v>4.33948</v>
      </c>
      <c r="X1105" s="15">
        <v>-74.478880000000004</v>
      </c>
      <c r="Y1105">
        <v>2641.97</v>
      </c>
      <c r="Z1105">
        <v>1448</v>
      </c>
      <c r="AB1105" t="s">
        <v>7381</v>
      </c>
      <c r="AF1105" t="s">
        <v>50</v>
      </c>
      <c r="AG1105" t="s">
        <v>98</v>
      </c>
      <c r="AH1105" t="s">
        <v>7382</v>
      </c>
      <c r="AI1105" t="s">
        <v>7383</v>
      </c>
      <c r="AJ1105">
        <v>1179</v>
      </c>
    </row>
    <row r="1106" spans="1:36">
      <c r="A1106" t="s">
        <v>6974</v>
      </c>
      <c r="B1106" t="s">
        <v>6975</v>
      </c>
      <c r="C1106" t="s">
        <v>7384</v>
      </c>
      <c r="D1106" t="s">
        <v>7385</v>
      </c>
      <c r="E1106" t="s">
        <v>7386</v>
      </c>
      <c r="F1106">
        <v>1245</v>
      </c>
      <c r="G1106">
        <v>1245</v>
      </c>
      <c r="H1106">
        <v>1245</v>
      </c>
      <c r="P1106" t="s">
        <v>80</v>
      </c>
      <c r="R1106" s="7">
        <v>35000</v>
      </c>
      <c r="T1106" t="s">
        <v>119</v>
      </c>
      <c r="W1106" s="15">
        <v>5.5583200000000001</v>
      </c>
      <c r="X1106" s="15">
        <v>-74.291569999999993</v>
      </c>
      <c r="Y1106">
        <v>880.31299999999999</v>
      </c>
      <c r="Z1106">
        <v>1387</v>
      </c>
      <c r="AB1106" t="s">
        <v>6180</v>
      </c>
      <c r="AF1106" t="s">
        <v>50</v>
      </c>
      <c r="AG1106" t="s">
        <v>98</v>
      </c>
      <c r="AH1106" t="s">
        <v>6181</v>
      </c>
      <c r="AI1106" t="s">
        <v>7387</v>
      </c>
      <c r="AJ1106">
        <v>1180</v>
      </c>
    </row>
    <row r="1107" spans="1:36">
      <c r="A1107" t="s">
        <v>6974</v>
      </c>
      <c r="B1107" t="s">
        <v>6975</v>
      </c>
      <c r="C1107" t="s">
        <v>7388</v>
      </c>
      <c r="D1107" t="s">
        <v>7389</v>
      </c>
      <c r="E1107" t="s">
        <v>7390</v>
      </c>
      <c r="F1107" t="s">
        <v>408</v>
      </c>
      <c r="G1107">
        <v>1900</v>
      </c>
      <c r="H1107">
        <v>2100</v>
      </c>
      <c r="I1107" t="s">
        <v>2098</v>
      </c>
      <c r="J1107" t="s">
        <v>2099</v>
      </c>
      <c r="K1107" t="s">
        <v>7391</v>
      </c>
      <c r="L1107" t="s">
        <v>7392</v>
      </c>
      <c r="M1107" t="s">
        <v>7393</v>
      </c>
      <c r="N1107" t="s">
        <v>2103</v>
      </c>
      <c r="O1107" t="s">
        <v>7394</v>
      </c>
      <c r="P1107" t="s">
        <v>7395</v>
      </c>
      <c r="R1107" s="7">
        <v>38031</v>
      </c>
      <c r="T1107" t="s">
        <v>111</v>
      </c>
      <c r="W1107" s="15">
        <v>4.8666666999999997</v>
      </c>
      <c r="X1107" s="15">
        <v>-74.433333300000001</v>
      </c>
      <c r="AF1107" t="s">
        <v>50</v>
      </c>
      <c r="AG1107" t="s">
        <v>98</v>
      </c>
      <c r="AH1107" t="s">
        <v>215</v>
      </c>
      <c r="AI1107" t="s">
        <v>7396</v>
      </c>
      <c r="AJ1107">
        <v>1181</v>
      </c>
    </row>
    <row r="1108" spans="1:36">
      <c r="A1108" t="s">
        <v>6974</v>
      </c>
      <c r="B1108" t="s">
        <v>6975</v>
      </c>
      <c r="C1108" t="s">
        <v>7397</v>
      </c>
      <c r="D1108" t="s">
        <v>7398</v>
      </c>
      <c r="E1108" t="s">
        <v>7399</v>
      </c>
      <c r="F1108">
        <v>100</v>
      </c>
      <c r="G1108">
        <v>100</v>
      </c>
      <c r="H1108">
        <v>100</v>
      </c>
      <c r="P1108" t="s">
        <v>80</v>
      </c>
      <c r="R1108" s="7">
        <v>28416</v>
      </c>
      <c r="T1108" t="s">
        <v>111</v>
      </c>
      <c r="W1108" s="15">
        <v>2.7359800000000001</v>
      </c>
      <c r="X1108" s="15">
        <v>-67.921019999999999</v>
      </c>
      <c r="Y1108">
        <v>4840.8249999999998</v>
      </c>
      <c r="Z1108">
        <v>129</v>
      </c>
      <c r="AB1108" t="s">
        <v>7400</v>
      </c>
      <c r="AF1108" t="s">
        <v>50</v>
      </c>
      <c r="AG1108" t="s">
        <v>7401</v>
      </c>
      <c r="AH1108" t="s">
        <v>7402</v>
      </c>
      <c r="AJ1108">
        <v>1182</v>
      </c>
    </row>
    <row r="1109" spans="1:36">
      <c r="A1109" t="s">
        <v>6974</v>
      </c>
      <c r="B1109" t="s">
        <v>6975</v>
      </c>
      <c r="C1109" t="s">
        <v>7403</v>
      </c>
      <c r="D1109" t="s">
        <v>7404</v>
      </c>
      <c r="E1109" t="s">
        <v>7405</v>
      </c>
      <c r="P1109" t="s">
        <v>80</v>
      </c>
      <c r="R1109" s="7">
        <v>34455</v>
      </c>
      <c r="T1109" t="s">
        <v>119</v>
      </c>
      <c r="W1109" s="15">
        <v>2.3857300000000001</v>
      </c>
      <c r="X1109" s="15">
        <v>-68.617140000000006</v>
      </c>
      <c r="Y1109">
        <v>1927.4290000000001</v>
      </c>
      <c r="Z1109">
        <v>136</v>
      </c>
      <c r="AB1109" t="s">
        <v>7406</v>
      </c>
      <c r="AF1109" t="s">
        <v>50</v>
      </c>
      <c r="AG1109" t="s">
        <v>6194</v>
      </c>
      <c r="AH1109" t="s">
        <v>7407</v>
      </c>
      <c r="AI1109" t="s">
        <v>7408</v>
      </c>
      <c r="AJ1109">
        <v>1183</v>
      </c>
    </row>
    <row r="1110" spans="1:36">
      <c r="A1110" t="s">
        <v>6974</v>
      </c>
      <c r="B1110" t="s">
        <v>6975</v>
      </c>
      <c r="C1110" t="s">
        <v>7409</v>
      </c>
      <c r="D1110" t="s">
        <v>7410</v>
      </c>
      <c r="E1110" t="s">
        <v>7411</v>
      </c>
      <c r="F1110">
        <v>290</v>
      </c>
      <c r="G1110">
        <v>290</v>
      </c>
      <c r="H1110">
        <v>290</v>
      </c>
      <c r="I1110" t="s">
        <v>7412</v>
      </c>
      <c r="J1110" t="s">
        <v>7413</v>
      </c>
      <c r="K1110" t="s">
        <v>7414</v>
      </c>
      <c r="L1110" t="s">
        <v>7415</v>
      </c>
      <c r="M1110" t="s">
        <v>7416</v>
      </c>
      <c r="N1110" t="s">
        <v>7417</v>
      </c>
      <c r="O1110" t="s">
        <v>7418</v>
      </c>
      <c r="P1110" t="s">
        <v>7419</v>
      </c>
      <c r="R1110" s="7">
        <v>35022</v>
      </c>
      <c r="T1110" t="s">
        <v>119</v>
      </c>
      <c r="W1110" s="15">
        <v>2.4744443999999999</v>
      </c>
      <c r="X1110" s="15">
        <v>-72.696666699999994</v>
      </c>
      <c r="AF1110" t="s">
        <v>50</v>
      </c>
      <c r="AG1110" t="s">
        <v>6194</v>
      </c>
      <c r="AH1110" t="s">
        <v>6195</v>
      </c>
      <c r="AI1110" t="s">
        <v>7420</v>
      </c>
      <c r="AJ1110">
        <v>1184</v>
      </c>
    </row>
    <row r="1111" spans="1:36">
      <c r="A1111" t="s">
        <v>6974</v>
      </c>
      <c r="B1111" t="s">
        <v>6975</v>
      </c>
      <c r="C1111" t="s">
        <v>7421</v>
      </c>
      <c r="D1111" t="s">
        <v>7422</v>
      </c>
      <c r="E1111" t="s">
        <v>7423</v>
      </c>
      <c r="F1111">
        <v>1600</v>
      </c>
      <c r="G1111">
        <v>1600</v>
      </c>
      <c r="H1111">
        <v>1600</v>
      </c>
      <c r="I1111" t="s">
        <v>1617</v>
      </c>
      <c r="J1111" t="s">
        <v>1618</v>
      </c>
      <c r="K1111" t="s">
        <v>1619</v>
      </c>
      <c r="L1111" t="s">
        <v>1620</v>
      </c>
      <c r="M1111" t="s">
        <v>1621</v>
      </c>
      <c r="N1111" t="s">
        <v>1622</v>
      </c>
      <c r="O1111" t="s">
        <v>1623</v>
      </c>
      <c r="P1111" t="s">
        <v>1624</v>
      </c>
      <c r="R1111" s="7">
        <v>30236</v>
      </c>
      <c r="W1111" s="15">
        <v>1.8562917000000001</v>
      </c>
      <c r="X1111" s="15">
        <v>-76.039391699999996</v>
      </c>
      <c r="AF1111" t="s">
        <v>50</v>
      </c>
      <c r="AG1111" t="s">
        <v>51</v>
      </c>
      <c r="AH1111" t="s">
        <v>140</v>
      </c>
      <c r="AI1111" t="s">
        <v>7424</v>
      </c>
      <c r="AJ1111">
        <v>1185</v>
      </c>
    </row>
    <row r="1112" spans="1:36">
      <c r="A1112" t="s">
        <v>6974</v>
      </c>
      <c r="B1112" t="s">
        <v>6975</v>
      </c>
      <c r="C1112" t="s">
        <v>7421</v>
      </c>
      <c r="D1112" t="s">
        <v>7425</v>
      </c>
      <c r="E1112" t="s">
        <v>7423</v>
      </c>
      <c r="F1112">
        <v>1600</v>
      </c>
      <c r="G1112">
        <v>1600</v>
      </c>
      <c r="H1112">
        <v>1600</v>
      </c>
      <c r="I1112" t="s">
        <v>1617</v>
      </c>
      <c r="J1112" t="s">
        <v>1618</v>
      </c>
      <c r="K1112" t="s">
        <v>1619</v>
      </c>
      <c r="L1112" t="s">
        <v>1620</v>
      </c>
      <c r="M1112" t="s">
        <v>1621</v>
      </c>
      <c r="N1112" t="s">
        <v>1622</v>
      </c>
      <c r="O1112" t="s">
        <v>1623</v>
      </c>
      <c r="P1112" t="s">
        <v>1624</v>
      </c>
      <c r="R1112" s="7">
        <v>30236</v>
      </c>
      <c r="W1112" s="15">
        <v>1.8562917000000001</v>
      </c>
      <c r="X1112" s="15">
        <v>-76.039391699999996</v>
      </c>
      <c r="AF1112" t="s">
        <v>50</v>
      </c>
      <c r="AG1112" t="s">
        <v>51</v>
      </c>
      <c r="AH1112" t="s">
        <v>140</v>
      </c>
      <c r="AI1112" t="s">
        <v>7424</v>
      </c>
      <c r="AJ1112">
        <v>1186</v>
      </c>
    </row>
    <row r="1113" spans="1:36">
      <c r="A1113" t="s">
        <v>6974</v>
      </c>
      <c r="B1113" t="s">
        <v>6975</v>
      </c>
      <c r="C1113" t="s">
        <v>7426</v>
      </c>
      <c r="D1113" t="s">
        <v>7427</v>
      </c>
      <c r="E1113" t="s">
        <v>7428</v>
      </c>
      <c r="F1113">
        <v>1400</v>
      </c>
      <c r="G1113">
        <v>1400</v>
      </c>
      <c r="H1113">
        <v>1400</v>
      </c>
      <c r="I1113" t="s">
        <v>1641</v>
      </c>
      <c r="J1113" t="s">
        <v>1642</v>
      </c>
      <c r="K1113" t="s">
        <v>1643</v>
      </c>
      <c r="L1113" t="s">
        <v>1644</v>
      </c>
      <c r="M1113" t="s">
        <v>1645</v>
      </c>
      <c r="N1113" t="s">
        <v>1646</v>
      </c>
      <c r="O1113" t="s">
        <v>1647</v>
      </c>
      <c r="P1113" t="s">
        <v>1648</v>
      </c>
      <c r="R1113" s="7">
        <v>33131</v>
      </c>
      <c r="W1113" s="15">
        <v>3.3769999999999998</v>
      </c>
      <c r="X1113" s="15">
        <v>-74.802458299999998</v>
      </c>
      <c r="AF1113" t="s">
        <v>50</v>
      </c>
      <c r="AG1113" t="s">
        <v>51</v>
      </c>
      <c r="AH1113" t="s">
        <v>50</v>
      </c>
      <c r="AI1113" t="s">
        <v>7429</v>
      </c>
      <c r="AJ1113">
        <v>1188</v>
      </c>
    </row>
    <row r="1114" spans="1:36">
      <c r="A1114" t="s">
        <v>6974</v>
      </c>
      <c r="B1114" t="s">
        <v>6975</v>
      </c>
      <c r="C1114" t="s">
        <v>7430</v>
      </c>
      <c r="D1114" t="s">
        <v>7431</v>
      </c>
      <c r="E1114" t="s">
        <v>7432</v>
      </c>
      <c r="F1114">
        <v>720</v>
      </c>
      <c r="G1114">
        <v>720</v>
      </c>
      <c r="H1114">
        <v>720</v>
      </c>
      <c r="I1114" t="s">
        <v>7433</v>
      </c>
      <c r="J1114" t="s">
        <v>7434</v>
      </c>
      <c r="K1114" t="s">
        <v>7435</v>
      </c>
      <c r="L1114" t="s">
        <v>7436</v>
      </c>
      <c r="M1114" t="s">
        <v>7437</v>
      </c>
      <c r="N1114" t="s">
        <v>7438</v>
      </c>
      <c r="O1114" t="s">
        <v>7439</v>
      </c>
      <c r="P1114" t="s">
        <v>7440</v>
      </c>
      <c r="R1114" s="7">
        <v>35147</v>
      </c>
      <c r="T1114" t="s">
        <v>119</v>
      </c>
      <c r="W1114" s="15">
        <v>2.9287361000000001</v>
      </c>
      <c r="X1114" s="15">
        <v>-75.284149999999997</v>
      </c>
      <c r="AF1114" t="s">
        <v>50</v>
      </c>
      <c r="AG1114" t="s">
        <v>51</v>
      </c>
      <c r="AH1114" t="s">
        <v>5017</v>
      </c>
      <c r="AI1114" t="s">
        <v>7441</v>
      </c>
      <c r="AJ1114">
        <v>1189</v>
      </c>
    </row>
    <row r="1115" spans="1:36">
      <c r="A1115" t="s">
        <v>6974</v>
      </c>
      <c r="B1115" t="s">
        <v>6975</v>
      </c>
      <c r="C1115" t="s">
        <v>7442</v>
      </c>
      <c r="D1115" t="s">
        <v>1060</v>
      </c>
      <c r="E1115" t="s">
        <v>7443</v>
      </c>
      <c r="F1115">
        <v>1925</v>
      </c>
      <c r="G1115">
        <v>1925</v>
      </c>
      <c r="H1115">
        <v>1925</v>
      </c>
      <c r="I1115" t="s">
        <v>7444</v>
      </c>
      <c r="J1115" t="s">
        <v>7445</v>
      </c>
      <c r="K1115" t="s">
        <v>5009</v>
      </c>
      <c r="L1115" t="s">
        <v>5010</v>
      </c>
      <c r="M1115" t="s">
        <v>7446</v>
      </c>
      <c r="N1115" t="s">
        <v>2958</v>
      </c>
      <c r="O1115" t="s">
        <v>329</v>
      </c>
      <c r="P1115" t="s">
        <v>2959</v>
      </c>
      <c r="R1115" s="7">
        <v>40022</v>
      </c>
      <c r="T1115" t="s">
        <v>119</v>
      </c>
      <c r="W1115" s="15">
        <v>1.7689805999999999</v>
      </c>
      <c r="X1115" s="15">
        <v>-76.018733299999994</v>
      </c>
      <c r="AF1115" t="s">
        <v>50</v>
      </c>
      <c r="AG1115" t="s">
        <v>51</v>
      </c>
      <c r="AH1115" t="s">
        <v>140</v>
      </c>
      <c r="AI1115" t="s">
        <v>7447</v>
      </c>
      <c r="AJ1115">
        <v>1190</v>
      </c>
    </row>
    <row r="1116" spans="1:36">
      <c r="A1116" t="s">
        <v>6974</v>
      </c>
      <c r="B1116" t="s">
        <v>6975</v>
      </c>
      <c r="C1116" t="s">
        <v>7448</v>
      </c>
      <c r="D1116" t="s">
        <v>1060</v>
      </c>
      <c r="E1116" t="s">
        <v>7449</v>
      </c>
      <c r="F1116">
        <v>1925</v>
      </c>
      <c r="G1116">
        <v>1925</v>
      </c>
      <c r="H1116">
        <v>1925</v>
      </c>
      <c r="I1116" t="s">
        <v>7444</v>
      </c>
      <c r="J1116" t="s">
        <v>7445</v>
      </c>
      <c r="K1116" t="s">
        <v>5009</v>
      </c>
      <c r="L1116" t="s">
        <v>5010</v>
      </c>
      <c r="M1116" t="s">
        <v>7446</v>
      </c>
      <c r="N1116" t="s">
        <v>2958</v>
      </c>
      <c r="O1116" t="s">
        <v>329</v>
      </c>
      <c r="P1116" t="s">
        <v>2959</v>
      </c>
      <c r="R1116" s="7">
        <v>40022</v>
      </c>
      <c r="T1116" t="s">
        <v>119</v>
      </c>
      <c r="W1116" s="15">
        <v>1.7689805999999999</v>
      </c>
      <c r="X1116" s="15">
        <v>-76.018733299999994</v>
      </c>
      <c r="AF1116" t="s">
        <v>50</v>
      </c>
      <c r="AG1116" t="s">
        <v>51</v>
      </c>
      <c r="AH1116" t="s">
        <v>140</v>
      </c>
      <c r="AI1116" t="s">
        <v>7450</v>
      </c>
      <c r="AJ1116">
        <v>1191</v>
      </c>
    </row>
    <row r="1117" spans="1:36">
      <c r="A1117" t="s">
        <v>6974</v>
      </c>
      <c r="B1117" t="s">
        <v>6975</v>
      </c>
      <c r="C1117" t="s">
        <v>7451</v>
      </c>
      <c r="D1117" t="s">
        <v>7452</v>
      </c>
      <c r="E1117" t="s">
        <v>7453</v>
      </c>
      <c r="F1117">
        <v>1800</v>
      </c>
      <c r="G1117">
        <v>1800</v>
      </c>
      <c r="H1117">
        <v>1800</v>
      </c>
      <c r="I1117" t="s">
        <v>7454</v>
      </c>
      <c r="J1117" t="s">
        <v>7455</v>
      </c>
      <c r="K1117" t="s">
        <v>3003</v>
      </c>
      <c r="L1117" t="s">
        <v>3004</v>
      </c>
      <c r="M1117" t="s">
        <v>7456</v>
      </c>
      <c r="N1117" t="s">
        <v>3006</v>
      </c>
      <c r="O1117" t="s">
        <v>3007</v>
      </c>
      <c r="P1117" t="s">
        <v>3008</v>
      </c>
      <c r="R1117" s="7">
        <v>26580</v>
      </c>
      <c r="T1117" t="s">
        <v>119</v>
      </c>
      <c r="W1117" s="15">
        <v>10.933333299999999</v>
      </c>
      <c r="X1117" s="15">
        <v>-73.966666700000005</v>
      </c>
      <c r="AF1117" t="s">
        <v>7457</v>
      </c>
      <c r="AG1117" t="s">
        <v>1296</v>
      </c>
      <c r="AH1117" t="s">
        <v>1297</v>
      </c>
      <c r="AI1117" t="s">
        <v>7458</v>
      </c>
      <c r="AJ1117">
        <v>1192</v>
      </c>
    </row>
    <row r="1118" spans="1:36">
      <c r="A1118" t="s">
        <v>6974</v>
      </c>
      <c r="B1118" t="s">
        <v>6975</v>
      </c>
      <c r="C1118" t="s">
        <v>7459</v>
      </c>
      <c r="D1118" t="s">
        <v>7460</v>
      </c>
      <c r="E1118" t="s">
        <v>7461</v>
      </c>
      <c r="F1118" t="s">
        <v>7462</v>
      </c>
      <c r="G1118">
        <v>600</v>
      </c>
      <c r="H1118">
        <v>1300</v>
      </c>
      <c r="P1118" t="s">
        <v>80</v>
      </c>
      <c r="R1118" s="7">
        <v>18627</v>
      </c>
      <c r="W1118" s="15">
        <v>2.9626999999999999</v>
      </c>
      <c r="X1118" s="15">
        <v>-73.88673</v>
      </c>
      <c r="Y1118">
        <v>4935.0150000000003</v>
      </c>
      <c r="Z1118">
        <v>1289</v>
      </c>
      <c r="AB1118" t="s">
        <v>3019</v>
      </c>
      <c r="AF1118" t="s">
        <v>50</v>
      </c>
      <c r="AG1118" t="s">
        <v>1336</v>
      </c>
      <c r="AH1118" t="s">
        <v>7463</v>
      </c>
      <c r="AI1118" t="s">
        <v>7464</v>
      </c>
      <c r="AJ1118">
        <v>1193</v>
      </c>
    </row>
    <row r="1119" spans="1:36">
      <c r="A1119" t="s">
        <v>6974</v>
      </c>
      <c r="B1119" t="s">
        <v>6975</v>
      </c>
      <c r="C1119" t="s">
        <v>7465</v>
      </c>
      <c r="D1119" t="s">
        <v>7466</v>
      </c>
      <c r="E1119" t="s">
        <v>7467</v>
      </c>
      <c r="F1119">
        <v>300</v>
      </c>
      <c r="G1119">
        <v>300</v>
      </c>
      <c r="H1119">
        <v>300</v>
      </c>
      <c r="P1119" t="s">
        <v>80</v>
      </c>
      <c r="R1119" s="7">
        <v>20709</v>
      </c>
      <c r="T1119" t="s">
        <v>119</v>
      </c>
      <c r="W1119" s="15">
        <v>3.40666</v>
      </c>
      <c r="X1119" s="15">
        <v>-73.459339999999997</v>
      </c>
      <c r="Y1119">
        <v>67.599000000000004</v>
      </c>
      <c r="Z1119">
        <v>250</v>
      </c>
      <c r="AB1119" t="s">
        <v>7468</v>
      </c>
      <c r="AF1119" t="s">
        <v>50</v>
      </c>
      <c r="AG1119" t="s">
        <v>1336</v>
      </c>
      <c r="AH1119" t="s">
        <v>7469</v>
      </c>
      <c r="AI1119" t="s">
        <v>7470</v>
      </c>
      <c r="AJ1119">
        <v>1194</v>
      </c>
    </row>
    <row r="1120" spans="1:36">
      <c r="A1120" t="s">
        <v>6974</v>
      </c>
      <c r="B1120" t="s">
        <v>6975</v>
      </c>
      <c r="C1120" t="s">
        <v>7471</v>
      </c>
      <c r="D1120" t="s">
        <v>7472</v>
      </c>
      <c r="E1120" t="s">
        <v>7473</v>
      </c>
      <c r="F1120">
        <v>480</v>
      </c>
      <c r="G1120">
        <v>480</v>
      </c>
      <c r="H1120">
        <v>480</v>
      </c>
      <c r="P1120" t="s">
        <v>80</v>
      </c>
      <c r="R1120" s="7">
        <v>25729</v>
      </c>
      <c r="T1120" t="s">
        <v>65</v>
      </c>
      <c r="W1120" s="15">
        <v>2.2343099999999998</v>
      </c>
      <c r="X1120" s="15">
        <v>-73.812799999999996</v>
      </c>
      <c r="Y1120">
        <v>5967.0510000000004</v>
      </c>
      <c r="Z1120">
        <v>403</v>
      </c>
      <c r="AB1120" t="s">
        <v>7474</v>
      </c>
      <c r="AF1120" t="s">
        <v>50</v>
      </c>
      <c r="AG1120" t="s">
        <v>1336</v>
      </c>
      <c r="AH1120" t="s">
        <v>7475</v>
      </c>
      <c r="AI1120" t="s">
        <v>7476</v>
      </c>
      <c r="AJ1120">
        <v>1195</v>
      </c>
    </row>
    <row r="1121" spans="1:36">
      <c r="A1121" t="s">
        <v>6974</v>
      </c>
      <c r="B1121" t="s">
        <v>6975</v>
      </c>
      <c r="C1121" t="s">
        <v>7471</v>
      </c>
      <c r="D1121" t="s">
        <v>7477</v>
      </c>
      <c r="E1121" t="s">
        <v>7473</v>
      </c>
      <c r="F1121">
        <v>480</v>
      </c>
      <c r="G1121">
        <v>480</v>
      </c>
      <c r="H1121">
        <v>480</v>
      </c>
      <c r="P1121" t="s">
        <v>80</v>
      </c>
      <c r="R1121" s="7">
        <v>25729</v>
      </c>
      <c r="T1121" t="s">
        <v>65</v>
      </c>
      <c r="W1121" s="15">
        <v>2.2343099999999998</v>
      </c>
      <c r="X1121" s="15">
        <v>-73.812799999999996</v>
      </c>
      <c r="Y1121">
        <v>5967.0510000000004</v>
      </c>
      <c r="Z1121">
        <v>403</v>
      </c>
      <c r="AB1121" t="s">
        <v>7474</v>
      </c>
      <c r="AF1121" t="s">
        <v>50</v>
      </c>
      <c r="AG1121" t="s">
        <v>1336</v>
      </c>
      <c r="AH1121" t="s">
        <v>7475</v>
      </c>
      <c r="AI1121" t="s">
        <v>7476</v>
      </c>
      <c r="AJ1121">
        <v>1196</v>
      </c>
    </row>
    <row r="1122" spans="1:36">
      <c r="A1122" t="s">
        <v>6974</v>
      </c>
      <c r="B1122" t="s">
        <v>6975</v>
      </c>
      <c r="C1122" t="s">
        <v>7478</v>
      </c>
      <c r="D1122" t="s">
        <v>7479</v>
      </c>
      <c r="E1122" t="s">
        <v>7480</v>
      </c>
      <c r="F1122">
        <v>800</v>
      </c>
      <c r="G1122">
        <v>800</v>
      </c>
      <c r="H1122">
        <v>800</v>
      </c>
      <c r="P1122" t="s">
        <v>80</v>
      </c>
      <c r="R1122" s="7">
        <v>25754</v>
      </c>
      <c r="T1122" t="s">
        <v>119</v>
      </c>
      <c r="W1122" s="15">
        <v>3.9916200000000002</v>
      </c>
      <c r="X1122" s="15">
        <v>-73.359120000000004</v>
      </c>
      <c r="Y1122">
        <v>1508.2149999999999</v>
      </c>
      <c r="Z1122">
        <v>261</v>
      </c>
      <c r="AA1122" t="s">
        <v>7481</v>
      </c>
      <c r="AB1122" t="s">
        <v>7482</v>
      </c>
      <c r="AF1122" t="s">
        <v>50</v>
      </c>
      <c r="AG1122" t="s">
        <v>1336</v>
      </c>
      <c r="AH1122" t="s">
        <v>7483</v>
      </c>
      <c r="AI1122" t="s">
        <v>7484</v>
      </c>
      <c r="AJ1122">
        <v>1197</v>
      </c>
    </row>
    <row r="1123" spans="1:36">
      <c r="A1123" t="s">
        <v>6974</v>
      </c>
      <c r="B1123" t="s">
        <v>6975</v>
      </c>
      <c r="C1123" t="s">
        <v>7485</v>
      </c>
      <c r="D1123" t="s">
        <v>7486</v>
      </c>
      <c r="E1123" t="s">
        <v>7487</v>
      </c>
      <c r="F1123">
        <v>1500</v>
      </c>
      <c r="G1123">
        <v>1500</v>
      </c>
      <c r="H1123">
        <v>1500</v>
      </c>
      <c r="P1123" t="s">
        <v>80</v>
      </c>
      <c r="R1123" s="7">
        <v>31579</v>
      </c>
      <c r="W1123" s="15">
        <v>4.2010199999999998</v>
      </c>
      <c r="X1123" s="15">
        <v>-73.743470000000002</v>
      </c>
      <c r="Y1123">
        <v>3238.319</v>
      </c>
      <c r="Z1123">
        <v>1003</v>
      </c>
      <c r="AA1123" t="s">
        <v>7488</v>
      </c>
      <c r="AB1123" t="s">
        <v>7489</v>
      </c>
      <c r="AF1123" t="s">
        <v>50</v>
      </c>
      <c r="AG1123" t="s">
        <v>1336</v>
      </c>
      <c r="AH1123" t="s">
        <v>7490</v>
      </c>
      <c r="AJ1123">
        <v>1198</v>
      </c>
    </row>
    <row r="1124" spans="1:36">
      <c r="A1124" t="s">
        <v>6974</v>
      </c>
      <c r="B1124" t="s">
        <v>6975</v>
      </c>
      <c r="C1124" t="s">
        <v>7491</v>
      </c>
      <c r="D1124" t="s">
        <v>7492</v>
      </c>
      <c r="E1124" t="s">
        <v>7493</v>
      </c>
      <c r="F1124">
        <v>1500</v>
      </c>
      <c r="G1124">
        <v>1500</v>
      </c>
      <c r="H1124">
        <v>1500</v>
      </c>
      <c r="P1124" t="s">
        <v>80</v>
      </c>
      <c r="R1124" s="7">
        <v>31580</v>
      </c>
      <c r="T1124" t="s">
        <v>65</v>
      </c>
      <c r="W1124" s="15">
        <v>4.2712300000000001</v>
      </c>
      <c r="X1124" s="15">
        <v>-73.51549</v>
      </c>
      <c r="Y1124">
        <v>6521.0529999999999</v>
      </c>
      <c r="Z1124">
        <v>433</v>
      </c>
      <c r="AA1124" t="s">
        <v>7494</v>
      </c>
      <c r="AB1124" t="s">
        <v>7495</v>
      </c>
      <c r="AF1124" t="s">
        <v>50</v>
      </c>
      <c r="AG1124" t="s">
        <v>1336</v>
      </c>
      <c r="AH1124" t="s">
        <v>7496</v>
      </c>
      <c r="AI1124" t="s">
        <v>7497</v>
      </c>
      <c r="AJ1124">
        <v>1199</v>
      </c>
    </row>
    <row r="1125" spans="1:36">
      <c r="A1125" t="s">
        <v>6974</v>
      </c>
      <c r="B1125" t="s">
        <v>6975</v>
      </c>
      <c r="C1125" t="s">
        <v>7498</v>
      </c>
      <c r="D1125" t="s">
        <v>7499</v>
      </c>
      <c r="E1125" t="s">
        <v>7500</v>
      </c>
      <c r="F1125">
        <v>700</v>
      </c>
      <c r="G1125">
        <v>700</v>
      </c>
      <c r="H1125">
        <v>700</v>
      </c>
      <c r="I1125" t="s">
        <v>7501</v>
      </c>
      <c r="J1125" t="s">
        <v>7502</v>
      </c>
      <c r="K1125" t="s">
        <v>7503</v>
      </c>
      <c r="L1125" t="s">
        <v>7504</v>
      </c>
      <c r="M1125" t="s">
        <v>7505</v>
      </c>
      <c r="N1125" t="s">
        <v>7506</v>
      </c>
      <c r="O1125" t="s">
        <v>7507</v>
      </c>
      <c r="P1125" t="s">
        <v>7508</v>
      </c>
      <c r="R1125" s="7">
        <v>38843</v>
      </c>
      <c r="W1125" s="15">
        <v>1.1176111</v>
      </c>
      <c r="X1125" s="15">
        <v>-76.319972199999995</v>
      </c>
      <c r="AF1125" t="s">
        <v>50</v>
      </c>
      <c r="AG1125" t="s">
        <v>1362</v>
      </c>
      <c r="AH1125" t="s">
        <v>7509</v>
      </c>
      <c r="AI1125" t="s">
        <v>7510</v>
      </c>
      <c r="AJ1125">
        <v>1200</v>
      </c>
    </row>
    <row r="1126" spans="1:36">
      <c r="A1126" t="s">
        <v>6974</v>
      </c>
      <c r="B1126" t="s">
        <v>6975</v>
      </c>
      <c r="C1126" t="s">
        <v>7511</v>
      </c>
      <c r="D1126" t="s">
        <v>7512</v>
      </c>
      <c r="E1126" t="s">
        <v>7513</v>
      </c>
      <c r="F1126">
        <v>700</v>
      </c>
      <c r="G1126">
        <v>700</v>
      </c>
      <c r="H1126">
        <v>700</v>
      </c>
      <c r="I1126" t="s">
        <v>6296</v>
      </c>
      <c r="J1126" t="s">
        <v>6297</v>
      </c>
      <c r="K1126" t="s">
        <v>6298</v>
      </c>
      <c r="L1126" t="s">
        <v>6299</v>
      </c>
      <c r="M1126" t="s">
        <v>6300</v>
      </c>
      <c r="N1126" t="s">
        <v>6301</v>
      </c>
      <c r="O1126" t="s">
        <v>6302</v>
      </c>
      <c r="P1126" t="s">
        <v>6303</v>
      </c>
      <c r="R1126" s="7">
        <v>26713</v>
      </c>
      <c r="W1126" s="15">
        <v>1.0825899999999999</v>
      </c>
      <c r="X1126" s="15">
        <v>-76.664119999999997</v>
      </c>
      <c r="Y1126">
        <v>2639.5639999999999</v>
      </c>
      <c r="Z1126">
        <v>696</v>
      </c>
      <c r="AB1126" t="s">
        <v>66</v>
      </c>
      <c r="AF1126" t="s">
        <v>50</v>
      </c>
      <c r="AG1126" t="s">
        <v>67</v>
      </c>
      <c r="AH1126" t="s">
        <v>4117</v>
      </c>
      <c r="AI1126" t="s">
        <v>7514</v>
      </c>
      <c r="AJ1126">
        <v>1201</v>
      </c>
    </row>
    <row r="1127" spans="1:36">
      <c r="A1127" t="s">
        <v>6974</v>
      </c>
      <c r="B1127" t="s">
        <v>6975</v>
      </c>
      <c r="C1127" t="s">
        <v>7511</v>
      </c>
      <c r="D1127" t="s">
        <v>7515</v>
      </c>
      <c r="E1127" t="s">
        <v>7513</v>
      </c>
      <c r="F1127">
        <v>700</v>
      </c>
      <c r="G1127">
        <v>700</v>
      </c>
      <c r="H1127">
        <v>700</v>
      </c>
      <c r="I1127" t="s">
        <v>6296</v>
      </c>
      <c r="J1127" t="s">
        <v>6297</v>
      </c>
      <c r="K1127" t="s">
        <v>6298</v>
      </c>
      <c r="L1127" t="s">
        <v>6299</v>
      </c>
      <c r="M1127" t="s">
        <v>6300</v>
      </c>
      <c r="N1127" t="s">
        <v>6301</v>
      </c>
      <c r="O1127" t="s">
        <v>6302</v>
      </c>
      <c r="P1127" t="s">
        <v>6303</v>
      </c>
      <c r="R1127" s="7">
        <v>26713</v>
      </c>
      <c r="W1127" s="15">
        <v>1.0825899999999999</v>
      </c>
      <c r="X1127" s="15">
        <v>-76.664119999999997</v>
      </c>
      <c r="Y1127">
        <v>2639.5639999999999</v>
      </c>
      <c r="Z1127">
        <v>696</v>
      </c>
      <c r="AB1127" t="s">
        <v>66</v>
      </c>
      <c r="AF1127" t="s">
        <v>50</v>
      </c>
      <c r="AG1127" t="s">
        <v>67</v>
      </c>
      <c r="AH1127" t="s">
        <v>4117</v>
      </c>
      <c r="AI1127" t="s">
        <v>7514</v>
      </c>
      <c r="AJ1127">
        <v>1202</v>
      </c>
    </row>
    <row r="1128" spans="1:36">
      <c r="A1128" t="s">
        <v>6974</v>
      </c>
      <c r="B1128" t="s">
        <v>6975</v>
      </c>
      <c r="C1128" t="s">
        <v>7516</v>
      </c>
      <c r="D1128" t="s">
        <v>7517</v>
      </c>
      <c r="E1128" t="s">
        <v>7518</v>
      </c>
      <c r="F1128">
        <v>1090</v>
      </c>
      <c r="G1128">
        <v>1090</v>
      </c>
      <c r="H1128">
        <v>1090</v>
      </c>
      <c r="I1128" t="s">
        <v>7519</v>
      </c>
      <c r="J1128" t="s">
        <v>7520</v>
      </c>
      <c r="K1128" t="s">
        <v>7521</v>
      </c>
      <c r="L1128" t="s">
        <v>7522</v>
      </c>
      <c r="M1128" t="s">
        <v>7523</v>
      </c>
      <c r="N1128" t="s">
        <v>7524</v>
      </c>
      <c r="O1128" t="s">
        <v>7525</v>
      </c>
      <c r="P1128" t="s">
        <v>7526</v>
      </c>
      <c r="R1128" s="7">
        <v>31351</v>
      </c>
      <c r="T1128" t="s">
        <v>119</v>
      </c>
      <c r="W1128" s="15">
        <v>4.4421944</v>
      </c>
      <c r="X1128" s="15">
        <v>-75.791572200000004</v>
      </c>
      <c r="AF1128" t="s">
        <v>50</v>
      </c>
      <c r="AG1128" t="s">
        <v>182</v>
      </c>
      <c r="AH1128" t="s">
        <v>7527</v>
      </c>
      <c r="AI1128" t="s">
        <v>7528</v>
      </c>
      <c r="AJ1128">
        <v>1203</v>
      </c>
    </row>
    <row r="1129" spans="1:36">
      <c r="A1129" t="s">
        <v>6974</v>
      </c>
      <c r="B1129" t="s">
        <v>6975</v>
      </c>
      <c r="C1129" t="s">
        <v>7516</v>
      </c>
      <c r="D1129" t="s">
        <v>7529</v>
      </c>
      <c r="E1129" t="s">
        <v>7518</v>
      </c>
      <c r="F1129">
        <v>1090</v>
      </c>
      <c r="G1129">
        <v>1090</v>
      </c>
      <c r="H1129">
        <v>1090</v>
      </c>
      <c r="I1129" t="s">
        <v>7519</v>
      </c>
      <c r="J1129" t="s">
        <v>7520</v>
      </c>
      <c r="K1129" t="s">
        <v>7521</v>
      </c>
      <c r="L1129" t="s">
        <v>7522</v>
      </c>
      <c r="M1129" t="s">
        <v>7523</v>
      </c>
      <c r="N1129" t="s">
        <v>7524</v>
      </c>
      <c r="O1129" t="s">
        <v>7525</v>
      </c>
      <c r="P1129" t="s">
        <v>7526</v>
      </c>
      <c r="R1129" s="7">
        <v>31351</v>
      </c>
      <c r="T1129" t="s">
        <v>119</v>
      </c>
      <c r="W1129" s="15">
        <v>4.4421944</v>
      </c>
      <c r="X1129" s="15">
        <v>-75.791572200000004</v>
      </c>
      <c r="AF1129" t="s">
        <v>50</v>
      </c>
      <c r="AG1129" t="s">
        <v>182</v>
      </c>
      <c r="AH1129" t="s">
        <v>7527</v>
      </c>
      <c r="AI1129" t="s">
        <v>7528</v>
      </c>
      <c r="AJ1129">
        <v>1204</v>
      </c>
    </row>
    <row r="1130" spans="1:36">
      <c r="A1130" t="s">
        <v>6974</v>
      </c>
      <c r="B1130" t="s">
        <v>6975</v>
      </c>
      <c r="C1130" t="s">
        <v>7530</v>
      </c>
      <c r="D1130" t="s">
        <v>7531</v>
      </c>
      <c r="E1130" t="s">
        <v>7532</v>
      </c>
      <c r="F1130">
        <v>1500</v>
      </c>
      <c r="G1130">
        <v>1500</v>
      </c>
      <c r="H1130">
        <v>1500</v>
      </c>
      <c r="I1130" t="s">
        <v>797</v>
      </c>
      <c r="J1130" t="s">
        <v>798</v>
      </c>
      <c r="K1130" t="s">
        <v>4228</v>
      </c>
      <c r="L1130" t="s">
        <v>4229</v>
      </c>
      <c r="M1130" t="s">
        <v>7533</v>
      </c>
      <c r="N1130" t="s">
        <v>801</v>
      </c>
      <c r="O1130" t="s">
        <v>2437</v>
      </c>
      <c r="P1130" t="s">
        <v>7534</v>
      </c>
      <c r="R1130" s="7">
        <v>32777</v>
      </c>
      <c r="W1130" s="15">
        <v>4.6485300000000001</v>
      </c>
      <c r="X1130" s="15">
        <v>-75.729789999999994</v>
      </c>
      <c r="Y1130">
        <v>1598.444</v>
      </c>
      <c r="Z1130">
        <v>1492</v>
      </c>
      <c r="AB1130" t="s">
        <v>7535</v>
      </c>
      <c r="AF1130" t="s">
        <v>50</v>
      </c>
      <c r="AG1130" t="s">
        <v>182</v>
      </c>
      <c r="AH1130" t="s">
        <v>320</v>
      </c>
      <c r="AI1130" t="s">
        <v>7536</v>
      </c>
      <c r="AJ1130">
        <v>1205</v>
      </c>
    </row>
    <row r="1131" spans="1:36">
      <c r="A1131" t="s">
        <v>6974</v>
      </c>
      <c r="B1131" t="s">
        <v>6975</v>
      </c>
      <c r="C1131" t="s">
        <v>7537</v>
      </c>
      <c r="D1131" t="s">
        <v>7538</v>
      </c>
      <c r="E1131" t="s">
        <v>7539</v>
      </c>
      <c r="F1131">
        <v>1550</v>
      </c>
      <c r="G1131">
        <v>1550</v>
      </c>
      <c r="H1131">
        <v>1550</v>
      </c>
      <c r="I1131" t="s">
        <v>7540</v>
      </c>
      <c r="J1131" t="s">
        <v>7541</v>
      </c>
      <c r="K1131" t="s">
        <v>7542</v>
      </c>
      <c r="L1131" t="s">
        <v>7543</v>
      </c>
      <c r="M1131" t="s">
        <v>7544</v>
      </c>
      <c r="N1131" t="s">
        <v>7545</v>
      </c>
      <c r="O1131" t="s">
        <v>7546</v>
      </c>
      <c r="P1131" t="s">
        <v>7547</v>
      </c>
      <c r="R1131" s="7">
        <v>34753</v>
      </c>
      <c r="W1131" s="15">
        <v>4.5914599999999997</v>
      </c>
      <c r="X1131" s="15">
        <v>-75.682969999999997</v>
      </c>
      <c r="Y1131">
        <v>1510.62</v>
      </c>
      <c r="Z1131">
        <v>1594</v>
      </c>
      <c r="AB1131" t="s">
        <v>7548</v>
      </c>
      <c r="AF1131" t="s">
        <v>50</v>
      </c>
      <c r="AG1131" t="s">
        <v>182</v>
      </c>
      <c r="AH1131" t="s">
        <v>7549</v>
      </c>
      <c r="AI1131" t="s">
        <v>7550</v>
      </c>
      <c r="AJ1131">
        <v>1206</v>
      </c>
    </row>
    <row r="1132" spans="1:36">
      <c r="A1132" t="s">
        <v>6974</v>
      </c>
      <c r="B1132" t="s">
        <v>6975</v>
      </c>
      <c r="C1132" t="s">
        <v>7551</v>
      </c>
      <c r="D1132" t="s">
        <v>7552</v>
      </c>
      <c r="E1132" t="s">
        <v>7553</v>
      </c>
      <c r="F1132">
        <v>1560</v>
      </c>
      <c r="G1132">
        <v>1560</v>
      </c>
      <c r="H1132">
        <v>1560</v>
      </c>
      <c r="P1132" t="s">
        <v>80</v>
      </c>
      <c r="R1132" s="7">
        <v>35315</v>
      </c>
      <c r="W1132" s="15">
        <v>4.5100300000000004</v>
      </c>
      <c r="X1132" s="15">
        <v>-75.613339999999994</v>
      </c>
      <c r="Y1132">
        <v>1215.27</v>
      </c>
      <c r="Z1132">
        <v>1766</v>
      </c>
      <c r="AB1132" t="s">
        <v>7554</v>
      </c>
      <c r="AF1132" t="s">
        <v>50</v>
      </c>
      <c r="AG1132" t="s">
        <v>182</v>
      </c>
      <c r="AH1132" t="s">
        <v>7555</v>
      </c>
      <c r="AI1132" t="s">
        <v>7556</v>
      </c>
      <c r="AJ1132">
        <v>1207</v>
      </c>
    </row>
    <row r="1133" spans="1:36">
      <c r="A1133" t="s">
        <v>6974</v>
      </c>
      <c r="B1133" t="s">
        <v>6975</v>
      </c>
      <c r="C1133" t="s">
        <v>7557</v>
      </c>
      <c r="D1133" t="s">
        <v>7558</v>
      </c>
      <c r="E1133" t="s">
        <v>7559</v>
      </c>
      <c r="F1133">
        <v>1880</v>
      </c>
      <c r="G1133">
        <v>1880</v>
      </c>
      <c r="H1133">
        <v>1880</v>
      </c>
      <c r="I1133" t="s">
        <v>7560</v>
      </c>
      <c r="J1133" t="s">
        <v>7561</v>
      </c>
      <c r="K1133" t="s">
        <v>7562</v>
      </c>
      <c r="L1133" t="s">
        <v>7563</v>
      </c>
      <c r="M1133" t="s">
        <v>7564</v>
      </c>
      <c r="N1133" t="s">
        <v>7565</v>
      </c>
      <c r="O1133" t="s">
        <v>7566</v>
      </c>
      <c r="P1133" t="s">
        <v>7567</v>
      </c>
      <c r="R1133" s="7">
        <v>40011</v>
      </c>
      <c r="T1133" t="s">
        <v>119</v>
      </c>
      <c r="W1133" s="15">
        <v>4.6857499999999996</v>
      </c>
      <c r="X1133" s="15">
        <v>-75.6327</v>
      </c>
      <c r="Y1133">
        <v>593.35699999999997</v>
      </c>
      <c r="Z1133">
        <v>1935</v>
      </c>
      <c r="AB1133" t="s">
        <v>7568</v>
      </c>
      <c r="AF1133" t="s">
        <v>50</v>
      </c>
      <c r="AG1133" t="s">
        <v>182</v>
      </c>
      <c r="AH1133" t="s">
        <v>320</v>
      </c>
      <c r="AI1133" t="s">
        <v>7569</v>
      </c>
      <c r="AJ1133">
        <v>1208</v>
      </c>
    </row>
    <row r="1134" spans="1:36">
      <c r="A1134" t="s">
        <v>6974</v>
      </c>
      <c r="B1134" t="s">
        <v>6975</v>
      </c>
      <c r="C1134" t="s">
        <v>7570</v>
      </c>
      <c r="D1134" t="s">
        <v>7571</v>
      </c>
      <c r="E1134" t="s">
        <v>7572</v>
      </c>
      <c r="F1134">
        <v>1700</v>
      </c>
      <c r="G1134">
        <v>1700</v>
      </c>
      <c r="H1134">
        <v>1700</v>
      </c>
      <c r="I1134" t="s">
        <v>797</v>
      </c>
      <c r="J1134" t="s">
        <v>798</v>
      </c>
      <c r="K1134" t="s">
        <v>4228</v>
      </c>
      <c r="L1134" t="s">
        <v>4229</v>
      </c>
      <c r="M1134" t="s">
        <v>7533</v>
      </c>
      <c r="N1134" t="s">
        <v>801</v>
      </c>
      <c r="O1134" t="s">
        <v>2437</v>
      </c>
      <c r="P1134" t="s">
        <v>7534</v>
      </c>
      <c r="R1134" s="7">
        <v>34943</v>
      </c>
      <c r="W1134" s="15">
        <v>4.6666667000000004</v>
      </c>
      <c r="X1134" s="15">
        <v>-75.633333300000004</v>
      </c>
      <c r="AF1134" t="s">
        <v>50</v>
      </c>
      <c r="AG1134" t="s">
        <v>1671</v>
      </c>
      <c r="AH1134" t="s">
        <v>320</v>
      </c>
      <c r="AI1134" t="s">
        <v>7573</v>
      </c>
      <c r="AJ1134">
        <v>1209</v>
      </c>
    </row>
    <row r="1135" spans="1:36">
      <c r="A1135" t="s">
        <v>6974</v>
      </c>
      <c r="B1135" t="s">
        <v>6975</v>
      </c>
      <c r="C1135" t="s">
        <v>7574</v>
      </c>
      <c r="D1135" t="s">
        <v>7575</v>
      </c>
      <c r="E1135" t="s">
        <v>7572</v>
      </c>
      <c r="F1135">
        <v>1700</v>
      </c>
      <c r="G1135">
        <v>1700</v>
      </c>
      <c r="H1135">
        <v>1700</v>
      </c>
      <c r="I1135" t="s">
        <v>797</v>
      </c>
      <c r="J1135" t="s">
        <v>798</v>
      </c>
      <c r="K1135" t="s">
        <v>4228</v>
      </c>
      <c r="L1135" t="s">
        <v>4229</v>
      </c>
      <c r="M1135" t="s">
        <v>7533</v>
      </c>
      <c r="N1135" t="s">
        <v>801</v>
      </c>
      <c r="O1135" t="s">
        <v>2437</v>
      </c>
      <c r="P1135" t="s">
        <v>7534</v>
      </c>
      <c r="R1135" s="7">
        <v>34943</v>
      </c>
      <c r="W1135" s="15">
        <v>4.6666667000000004</v>
      </c>
      <c r="X1135" s="15">
        <v>-75.633333300000004</v>
      </c>
      <c r="AF1135" t="s">
        <v>50</v>
      </c>
      <c r="AG1135" t="s">
        <v>1671</v>
      </c>
      <c r="AH1135" t="s">
        <v>320</v>
      </c>
      <c r="AI1135" t="s">
        <v>7573</v>
      </c>
      <c r="AJ1135">
        <v>1210</v>
      </c>
    </row>
    <row r="1136" spans="1:36">
      <c r="A1136" t="s">
        <v>6974</v>
      </c>
      <c r="B1136" t="s">
        <v>6975</v>
      </c>
      <c r="C1136" t="s">
        <v>7574</v>
      </c>
      <c r="D1136" t="s">
        <v>7571</v>
      </c>
      <c r="E1136" t="s">
        <v>7572</v>
      </c>
      <c r="F1136">
        <v>1700</v>
      </c>
      <c r="G1136">
        <v>1700</v>
      </c>
      <c r="H1136">
        <v>1700</v>
      </c>
      <c r="I1136" t="s">
        <v>797</v>
      </c>
      <c r="J1136" t="s">
        <v>798</v>
      </c>
      <c r="K1136" t="s">
        <v>4228</v>
      </c>
      <c r="L1136" t="s">
        <v>4229</v>
      </c>
      <c r="M1136" t="s">
        <v>7533</v>
      </c>
      <c r="N1136" t="s">
        <v>801</v>
      </c>
      <c r="O1136" t="s">
        <v>2437</v>
      </c>
      <c r="P1136" t="s">
        <v>7534</v>
      </c>
      <c r="R1136" s="7">
        <v>34943</v>
      </c>
      <c r="W1136" s="15">
        <v>4.6666667000000004</v>
      </c>
      <c r="X1136" s="15">
        <v>-75.633333300000004</v>
      </c>
      <c r="AF1136" t="s">
        <v>50</v>
      </c>
      <c r="AG1136" t="s">
        <v>1671</v>
      </c>
      <c r="AH1136" t="s">
        <v>320</v>
      </c>
      <c r="AI1136" t="s">
        <v>7573</v>
      </c>
      <c r="AJ1136">
        <v>1211</v>
      </c>
    </row>
    <row r="1137" spans="1:36">
      <c r="A1137" t="s">
        <v>6974</v>
      </c>
      <c r="B1137" t="s">
        <v>6975</v>
      </c>
      <c r="C1137" t="s">
        <v>7576</v>
      </c>
      <c r="D1137" t="s">
        <v>7577</v>
      </c>
      <c r="E1137" t="s">
        <v>7578</v>
      </c>
      <c r="F1137">
        <v>1200</v>
      </c>
      <c r="G1137">
        <v>1200</v>
      </c>
      <c r="H1137">
        <v>1200</v>
      </c>
      <c r="I1137" t="s">
        <v>7579</v>
      </c>
      <c r="J1137" t="s">
        <v>7580</v>
      </c>
      <c r="K1137" t="s">
        <v>7581</v>
      </c>
      <c r="L1137" t="s">
        <v>7582</v>
      </c>
      <c r="M1137" t="s">
        <v>7583</v>
      </c>
      <c r="N1137" t="s">
        <v>7584</v>
      </c>
      <c r="O1137" t="s">
        <v>7585</v>
      </c>
      <c r="P1137" t="s">
        <v>7586</v>
      </c>
      <c r="R1137" s="7">
        <v>35538</v>
      </c>
      <c r="W1137" s="15">
        <v>4.5579277999999999</v>
      </c>
      <c r="X1137" s="15">
        <v>-75.754591700000006</v>
      </c>
      <c r="AF1137" t="s">
        <v>50</v>
      </c>
      <c r="AG1137" t="s">
        <v>1671</v>
      </c>
      <c r="AH1137" t="s">
        <v>7587</v>
      </c>
      <c r="AI1137" t="s">
        <v>7588</v>
      </c>
      <c r="AJ1137">
        <v>1212</v>
      </c>
    </row>
    <row r="1138" spans="1:36">
      <c r="A1138" t="s">
        <v>6974</v>
      </c>
      <c r="B1138" t="s">
        <v>6975</v>
      </c>
      <c r="C1138" t="s">
        <v>7589</v>
      </c>
      <c r="D1138" t="s">
        <v>7590</v>
      </c>
      <c r="E1138" t="s">
        <v>7591</v>
      </c>
      <c r="F1138">
        <v>1480</v>
      </c>
      <c r="G1138">
        <v>1480</v>
      </c>
      <c r="H1138">
        <v>1480</v>
      </c>
      <c r="I1138" t="s">
        <v>7592</v>
      </c>
      <c r="J1138" t="s">
        <v>7593</v>
      </c>
      <c r="K1138" t="s">
        <v>7542</v>
      </c>
      <c r="L1138" t="s">
        <v>7543</v>
      </c>
      <c r="M1138" t="s">
        <v>7594</v>
      </c>
      <c r="N1138" t="s">
        <v>7545</v>
      </c>
      <c r="O1138" t="s">
        <v>7546</v>
      </c>
      <c r="P1138" t="s">
        <v>7547</v>
      </c>
      <c r="R1138" s="7">
        <v>36140</v>
      </c>
      <c r="W1138" s="15">
        <v>4.6090299999999997</v>
      </c>
      <c r="X1138" s="15">
        <v>-75.693470000000005</v>
      </c>
      <c r="Y1138">
        <v>1765.595</v>
      </c>
      <c r="Z1138">
        <v>1485</v>
      </c>
      <c r="AB1138" t="s">
        <v>7595</v>
      </c>
      <c r="AF1138" t="s">
        <v>50</v>
      </c>
      <c r="AG1138" t="s">
        <v>1671</v>
      </c>
      <c r="AH1138" t="s">
        <v>7596</v>
      </c>
      <c r="AI1138" t="s">
        <v>7597</v>
      </c>
      <c r="AJ1138">
        <v>1213</v>
      </c>
    </row>
    <row r="1139" spans="1:36">
      <c r="A1139" t="s">
        <v>6974</v>
      </c>
      <c r="B1139" t="s">
        <v>6975</v>
      </c>
      <c r="C1139" t="s">
        <v>7598</v>
      </c>
      <c r="D1139" t="s">
        <v>7188</v>
      </c>
      <c r="E1139" t="s">
        <v>6649</v>
      </c>
      <c r="F1139">
        <v>1783</v>
      </c>
      <c r="G1139">
        <v>1783</v>
      </c>
      <c r="H1139">
        <v>1783</v>
      </c>
      <c r="I1139" t="s">
        <v>3168</v>
      </c>
      <c r="J1139" t="s">
        <v>3169</v>
      </c>
      <c r="K1139" t="s">
        <v>3170</v>
      </c>
      <c r="L1139" t="s">
        <v>3171</v>
      </c>
      <c r="M1139" t="s">
        <v>3172</v>
      </c>
      <c r="N1139" t="s">
        <v>3173</v>
      </c>
      <c r="O1139" t="s">
        <v>3174</v>
      </c>
      <c r="P1139" t="s">
        <v>3175</v>
      </c>
      <c r="R1139" s="7">
        <v>41019</v>
      </c>
      <c r="T1139" t="s">
        <v>119</v>
      </c>
      <c r="W1139" s="15">
        <v>4.72879</v>
      </c>
      <c r="X1139" s="15">
        <v>-75.5779</v>
      </c>
      <c r="Y1139">
        <v>611.64800000000002</v>
      </c>
      <c r="Z1139">
        <v>1864</v>
      </c>
      <c r="AB1139" t="s">
        <v>359</v>
      </c>
      <c r="AF1139" t="s">
        <v>50</v>
      </c>
      <c r="AG1139" t="s">
        <v>360</v>
      </c>
      <c r="AH1139" t="s">
        <v>361</v>
      </c>
      <c r="AI1139" t="s">
        <v>6650</v>
      </c>
      <c r="AJ1139">
        <v>1214</v>
      </c>
    </row>
    <row r="1140" spans="1:36">
      <c r="A1140" t="s">
        <v>6974</v>
      </c>
      <c r="B1140" t="s">
        <v>6975</v>
      </c>
      <c r="C1140" t="s">
        <v>7599</v>
      </c>
      <c r="D1140" t="s">
        <v>7600</v>
      </c>
      <c r="E1140" t="s">
        <v>7601</v>
      </c>
      <c r="F1140">
        <v>1900</v>
      </c>
      <c r="G1140">
        <v>1900</v>
      </c>
      <c r="H1140">
        <v>1900</v>
      </c>
      <c r="P1140" t="s">
        <v>80</v>
      </c>
      <c r="R1140" s="7">
        <v>30609</v>
      </c>
      <c r="T1140" t="s">
        <v>111</v>
      </c>
      <c r="W1140" s="15">
        <v>6.3023100000000003</v>
      </c>
      <c r="X1140" s="15">
        <v>-73.189239999999998</v>
      </c>
      <c r="Y1140">
        <v>2196.1680000000001</v>
      </c>
      <c r="Z1140">
        <v>1819</v>
      </c>
      <c r="AB1140" t="s">
        <v>7602</v>
      </c>
      <c r="AF1140" t="s">
        <v>50</v>
      </c>
      <c r="AG1140" t="s">
        <v>224</v>
      </c>
      <c r="AH1140" t="s">
        <v>3217</v>
      </c>
      <c r="AI1140" t="s">
        <v>7603</v>
      </c>
      <c r="AJ1140">
        <v>1215</v>
      </c>
    </row>
    <row r="1141" spans="1:36">
      <c r="A1141" t="s">
        <v>6974</v>
      </c>
      <c r="B1141" t="s">
        <v>6975</v>
      </c>
      <c r="C1141" t="s">
        <v>7604</v>
      </c>
      <c r="D1141" t="s">
        <v>7605</v>
      </c>
      <c r="E1141" t="s">
        <v>7606</v>
      </c>
      <c r="F1141">
        <v>2000</v>
      </c>
      <c r="G1141">
        <v>2000</v>
      </c>
      <c r="H1141">
        <v>2000</v>
      </c>
      <c r="P1141" t="s">
        <v>80</v>
      </c>
      <c r="R1141" s="7">
        <v>24203</v>
      </c>
      <c r="W1141" s="15">
        <v>3.9420700000000002</v>
      </c>
      <c r="X1141" s="15">
        <v>-74.591309999999993</v>
      </c>
      <c r="Y1141">
        <v>1426.5070000000001</v>
      </c>
      <c r="Z1141">
        <v>1353</v>
      </c>
      <c r="AB1141" t="s">
        <v>7607</v>
      </c>
      <c r="AF1141" t="s">
        <v>50</v>
      </c>
      <c r="AG1141" t="s">
        <v>133</v>
      </c>
      <c r="AH1141" t="s">
        <v>7608</v>
      </c>
      <c r="AJ1141">
        <v>1216</v>
      </c>
    </row>
    <row r="1142" spans="1:36">
      <c r="A1142" t="s">
        <v>6974</v>
      </c>
      <c r="B1142" t="s">
        <v>6975</v>
      </c>
      <c r="C1142" t="s">
        <v>7609</v>
      </c>
      <c r="D1142" t="s">
        <v>7610</v>
      </c>
      <c r="E1142" t="s">
        <v>7611</v>
      </c>
      <c r="F1142">
        <v>1150</v>
      </c>
      <c r="G1142">
        <v>1150</v>
      </c>
      <c r="H1142">
        <v>1150</v>
      </c>
      <c r="I1142" t="s">
        <v>5497</v>
      </c>
      <c r="J1142" t="s">
        <v>5498</v>
      </c>
      <c r="K1142" t="s">
        <v>4317</v>
      </c>
      <c r="L1142" t="s">
        <v>2307</v>
      </c>
      <c r="M1142" t="s">
        <v>5499</v>
      </c>
      <c r="N1142" t="s">
        <v>5500</v>
      </c>
      <c r="O1142" t="s">
        <v>2310</v>
      </c>
      <c r="P1142" t="s">
        <v>5501</v>
      </c>
      <c r="R1142" s="7">
        <v>39013</v>
      </c>
      <c r="W1142" s="15">
        <v>4.4333333000000001</v>
      </c>
      <c r="X1142" s="15">
        <v>-75.233333299999998</v>
      </c>
      <c r="AF1142" t="s">
        <v>50</v>
      </c>
      <c r="AG1142" t="s">
        <v>133</v>
      </c>
      <c r="AH1142" t="s">
        <v>874</v>
      </c>
      <c r="AI1142" t="s">
        <v>7612</v>
      </c>
      <c r="AJ1142">
        <v>1217</v>
      </c>
    </row>
    <row r="1143" spans="1:36">
      <c r="A1143" t="s">
        <v>6974</v>
      </c>
      <c r="B1143" t="s">
        <v>6975</v>
      </c>
      <c r="C1143" t="s">
        <v>7613</v>
      </c>
      <c r="D1143" t="s">
        <v>7614</v>
      </c>
      <c r="E1143" t="s">
        <v>7615</v>
      </c>
      <c r="P1143" t="s">
        <v>80</v>
      </c>
      <c r="R1143" s="7">
        <v>22375</v>
      </c>
      <c r="T1143" t="s">
        <v>119</v>
      </c>
      <c r="W1143" s="15">
        <v>4.0020600000000002</v>
      </c>
      <c r="X1143" s="15">
        <v>-76.978319999999997</v>
      </c>
      <c r="Y1143">
        <v>7060.0810000000001</v>
      </c>
      <c r="Z1143">
        <v>20</v>
      </c>
      <c r="AB1143" t="s">
        <v>4129</v>
      </c>
      <c r="AF1143" t="s">
        <v>50</v>
      </c>
      <c r="AG1143" t="s">
        <v>3251</v>
      </c>
      <c r="AH1143" t="s">
        <v>7616</v>
      </c>
      <c r="AJ1143">
        <v>1218</v>
      </c>
    </row>
    <row r="1144" spans="1:36">
      <c r="A1144" t="s">
        <v>6974</v>
      </c>
      <c r="B1144" t="s">
        <v>6975</v>
      </c>
      <c r="C1144" t="s">
        <v>7617</v>
      </c>
      <c r="D1144" t="s">
        <v>7618</v>
      </c>
      <c r="E1144" t="s">
        <v>7619</v>
      </c>
      <c r="F1144">
        <v>1050</v>
      </c>
      <c r="G1144">
        <v>1050</v>
      </c>
      <c r="H1144">
        <v>1050</v>
      </c>
      <c r="P1144" t="s">
        <v>80</v>
      </c>
      <c r="R1144" s="7">
        <v>24193</v>
      </c>
      <c r="W1144" s="15">
        <v>3.61633</v>
      </c>
      <c r="X1144" s="15">
        <v>-76.898060000000001</v>
      </c>
      <c r="Y1144">
        <v>690.23800000000006</v>
      </c>
      <c r="Z1144">
        <v>330</v>
      </c>
      <c r="AB1144" t="s">
        <v>5632</v>
      </c>
      <c r="AF1144" t="s">
        <v>50</v>
      </c>
      <c r="AG1144" t="s">
        <v>3251</v>
      </c>
      <c r="AH1144" t="s">
        <v>7620</v>
      </c>
      <c r="AJ1144">
        <v>1219</v>
      </c>
    </row>
    <row r="1145" spans="1:36">
      <c r="A1145" t="s">
        <v>6974</v>
      </c>
      <c r="B1145" t="s">
        <v>6975</v>
      </c>
      <c r="C1145" t="s">
        <v>7621</v>
      </c>
      <c r="D1145" t="s">
        <v>7622</v>
      </c>
      <c r="E1145" t="s">
        <v>7623</v>
      </c>
      <c r="F1145">
        <v>0</v>
      </c>
      <c r="G1145">
        <v>0</v>
      </c>
      <c r="H1145">
        <v>0</v>
      </c>
      <c r="P1145" t="s">
        <v>80</v>
      </c>
      <c r="R1145" s="7">
        <v>24733</v>
      </c>
      <c r="T1145" t="s">
        <v>119</v>
      </c>
      <c r="W1145" s="15">
        <v>3.9285999999999999</v>
      </c>
      <c r="X1145" s="15">
        <v>-77.356459999999998</v>
      </c>
      <c r="Y1145">
        <v>96.674999999999997</v>
      </c>
      <c r="Z1145">
        <v>0</v>
      </c>
      <c r="AB1145" t="s">
        <v>7624</v>
      </c>
      <c r="AF1145" t="s">
        <v>50</v>
      </c>
      <c r="AG1145" t="s">
        <v>3251</v>
      </c>
      <c r="AH1145" t="s">
        <v>6683</v>
      </c>
      <c r="AI1145" t="s">
        <v>7625</v>
      </c>
      <c r="AJ1145">
        <v>1220</v>
      </c>
    </row>
    <row r="1146" spans="1:36">
      <c r="A1146" t="s">
        <v>6974</v>
      </c>
      <c r="B1146" t="s">
        <v>6975</v>
      </c>
      <c r="C1146" t="s">
        <v>7626</v>
      </c>
      <c r="D1146" t="s">
        <v>7627</v>
      </c>
      <c r="E1146" t="s">
        <v>7619</v>
      </c>
      <c r="F1146">
        <v>400</v>
      </c>
      <c r="G1146">
        <v>400</v>
      </c>
      <c r="H1146">
        <v>400</v>
      </c>
      <c r="P1146" t="s">
        <v>80</v>
      </c>
      <c r="R1146" s="7">
        <v>26608</v>
      </c>
      <c r="W1146" s="15">
        <v>3.61633</v>
      </c>
      <c r="X1146" s="15">
        <v>-76.898060000000001</v>
      </c>
      <c r="Y1146">
        <v>690.23800000000006</v>
      </c>
      <c r="Z1146">
        <v>330</v>
      </c>
      <c r="AB1146" t="s">
        <v>5632</v>
      </c>
      <c r="AF1146" t="s">
        <v>50</v>
      </c>
      <c r="AG1146" t="s">
        <v>3251</v>
      </c>
      <c r="AH1146" t="s">
        <v>7620</v>
      </c>
      <c r="AJ1146">
        <v>1221</v>
      </c>
    </row>
    <row r="1147" spans="1:36">
      <c r="A1147" t="s">
        <v>6974</v>
      </c>
      <c r="B1147" t="s">
        <v>6975</v>
      </c>
      <c r="C1147" t="s">
        <v>7628</v>
      </c>
      <c r="D1147" t="s">
        <v>7629</v>
      </c>
      <c r="E1147" t="s">
        <v>7630</v>
      </c>
      <c r="F1147" t="s">
        <v>7631</v>
      </c>
      <c r="G1147" t="s">
        <v>7631</v>
      </c>
      <c r="H1147" t="s">
        <v>7631</v>
      </c>
      <c r="I1147" t="s">
        <v>7631</v>
      </c>
      <c r="K1147" t="s">
        <v>7631</v>
      </c>
      <c r="P1147" t="s">
        <v>80</v>
      </c>
      <c r="R1147" s="7">
        <v>27864</v>
      </c>
      <c r="W1147" s="15">
        <v>4.67096</v>
      </c>
      <c r="X1147" s="15">
        <v>-75.768280000000004</v>
      </c>
      <c r="Y1147">
        <v>4353.2460000000001</v>
      </c>
      <c r="Z1147">
        <v>1260</v>
      </c>
      <c r="AB1147" t="s">
        <v>7632</v>
      </c>
      <c r="AF1147" t="s">
        <v>50</v>
      </c>
      <c r="AG1147" t="s">
        <v>3251</v>
      </c>
      <c r="AH1147" t="s">
        <v>7633</v>
      </c>
      <c r="AI1147" t="s">
        <v>7634</v>
      </c>
      <c r="AJ1147">
        <v>1222</v>
      </c>
    </row>
    <row r="1148" spans="1:36">
      <c r="A1148" t="s">
        <v>6974</v>
      </c>
      <c r="B1148" t="s">
        <v>6975</v>
      </c>
      <c r="C1148" t="s">
        <v>7635</v>
      </c>
      <c r="D1148" t="s">
        <v>7636</v>
      </c>
      <c r="E1148" t="s">
        <v>7637</v>
      </c>
      <c r="F1148">
        <v>1110</v>
      </c>
      <c r="G1148">
        <v>1110</v>
      </c>
      <c r="H1148">
        <v>1110</v>
      </c>
      <c r="P1148" t="s">
        <v>80</v>
      </c>
      <c r="R1148" s="7">
        <v>29975</v>
      </c>
      <c r="T1148" t="s">
        <v>119</v>
      </c>
      <c r="W1148" s="15">
        <v>3.9116399999999998</v>
      </c>
      <c r="X1148" s="15">
        <v>-76.620720000000006</v>
      </c>
      <c r="Y1148">
        <v>861.58199999999999</v>
      </c>
      <c r="Z1148">
        <v>1120</v>
      </c>
      <c r="AB1148" t="s">
        <v>7638</v>
      </c>
      <c r="AF1148" t="s">
        <v>50</v>
      </c>
      <c r="AG1148" t="s">
        <v>3251</v>
      </c>
      <c r="AH1148" t="s">
        <v>7639</v>
      </c>
      <c r="AI1148" t="s">
        <v>7640</v>
      </c>
      <c r="AJ1148">
        <v>1223</v>
      </c>
    </row>
    <row r="1149" spans="1:36">
      <c r="A1149" t="s">
        <v>6974</v>
      </c>
      <c r="B1149" t="s">
        <v>6975</v>
      </c>
      <c r="C1149" t="s">
        <v>7641</v>
      </c>
      <c r="D1149" t="s">
        <v>7642</v>
      </c>
      <c r="E1149" t="s">
        <v>7643</v>
      </c>
      <c r="F1149">
        <v>976</v>
      </c>
      <c r="G1149">
        <v>976</v>
      </c>
      <c r="H1149">
        <v>976</v>
      </c>
      <c r="P1149" t="s">
        <v>80</v>
      </c>
      <c r="R1149" s="7">
        <v>32178</v>
      </c>
      <c r="T1149" t="s">
        <v>119</v>
      </c>
      <c r="W1149" s="15">
        <v>3.3749799999999999</v>
      </c>
      <c r="X1149" s="15">
        <v>-76.534480000000002</v>
      </c>
      <c r="Y1149">
        <v>273.11900000000003</v>
      </c>
      <c r="Z1149">
        <v>987</v>
      </c>
      <c r="AB1149" t="s">
        <v>7644</v>
      </c>
      <c r="AF1149" t="s">
        <v>50</v>
      </c>
      <c r="AG1149" t="s">
        <v>3251</v>
      </c>
      <c r="AH1149" t="s">
        <v>3296</v>
      </c>
      <c r="AI1149" t="s">
        <v>7645</v>
      </c>
      <c r="AJ1149">
        <v>1224</v>
      </c>
    </row>
    <row r="1150" spans="1:36">
      <c r="A1150" t="s">
        <v>6974</v>
      </c>
      <c r="B1150" t="s">
        <v>6975</v>
      </c>
      <c r="C1150" t="s">
        <v>7646</v>
      </c>
      <c r="D1150" t="s">
        <v>7647</v>
      </c>
      <c r="E1150" t="s">
        <v>7648</v>
      </c>
      <c r="F1150">
        <v>0</v>
      </c>
      <c r="G1150">
        <v>0</v>
      </c>
      <c r="H1150">
        <v>0</v>
      </c>
      <c r="P1150" t="s">
        <v>80</v>
      </c>
      <c r="R1150" s="7">
        <v>38365</v>
      </c>
      <c r="T1150" t="s">
        <v>111</v>
      </c>
      <c r="W1150" s="15">
        <v>3.9367800000000002</v>
      </c>
      <c r="X1150" s="15">
        <v>-77.36533</v>
      </c>
      <c r="Y1150">
        <v>1357.8019999999999</v>
      </c>
      <c r="Z1150">
        <v>0</v>
      </c>
      <c r="AB1150" t="s">
        <v>7649</v>
      </c>
      <c r="AF1150" t="s">
        <v>50</v>
      </c>
      <c r="AG1150" t="s">
        <v>3251</v>
      </c>
      <c r="AH1150" t="s">
        <v>7650</v>
      </c>
      <c r="AI1150" t="s">
        <v>7651</v>
      </c>
      <c r="AJ1150">
        <v>1225</v>
      </c>
    </row>
    <row r="1151" spans="1:36">
      <c r="A1151" t="s">
        <v>6974</v>
      </c>
      <c r="B1151" t="s">
        <v>6975</v>
      </c>
      <c r="C1151" t="s">
        <v>7646</v>
      </c>
      <c r="D1151" t="s">
        <v>7652</v>
      </c>
      <c r="E1151" t="s">
        <v>7648</v>
      </c>
      <c r="F1151">
        <v>0</v>
      </c>
      <c r="G1151">
        <v>0</v>
      </c>
      <c r="H1151">
        <v>0</v>
      </c>
      <c r="P1151" t="s">
        <v>80</v>
      </c>
      <c r="R1151" s="7">
        <v>38365</v>
      </c>
      <c r="T1151" t="s">
        <v>111</v>
      </c>
      <c r="W1151" s="15">
        <v>3.9367800000000002</v>
      </c>
      <c r="X1151" s="15">
        <v>-77.36533</v>
      </c>
      <c r="Y1151">
        <v>1357.8019999999999</v>
      </c>
      <c r="Z1151">
        <v>0</v>
      </c>
      <c r="AB1151" t="s">
        <v>7649</v>
      </c>
      <c r="AF1151" t="s">
        <v>50</v>
      </c>
      <c r="AG1151" t="s">
        <v>3251</v>
      </c>
      <c r="AH1151" t="s">
        <v>7650</v>
      </c>
      <c r="AI1151" t="s">
        <v>7651</v>
      </c>
      <c r="AJ1151">
        <v>1226</v>
      </c>
    </row>
    <row r="1152" spans="1:36">
      <c r="A1152" t="s">
        <v>6974</v>
      </c>
      <c r="B1152" t="s">
        <v>6975</v>
      </c>
      <c r="C1152" t="s">
        <v>7653</v>
      </c>
      <c r="D1152" t="s">
        <v>7654</v>
      </c>
      <c r="E1152" t="s">
        <v>7655</v>
      </c>
      <c r="F1152">
        <v>1200</v>
      </c>
      <c r="G1152">
        <v>1200</v>
      </c>
      <c r="H1152">
        <v>1200</v>
      </c>
      <c r="P1152" t="s">
        <v>80</v>
      </c>
      <c r="R1152" s="7">
        <v>32014</v>
      </c>
      <c r="T1152" t="s">
        <v>119</v>
      </c>
      <c r="W1152" s="15">
        <v>3.7527900000000001</v>
      </c>
      <c r="X1152" s="15">
        <v>-76.581789999999998</v>
      </c>
      <c r="Y1152">
        <v>3086.2379999999998</v>
      </c>
      <c r="Z1152">
        <v>1283</v>
      </c>
      <c r="AB1152" t="s">
        <v>7656</v>
      </c>
      <c r="AF1152" t="s">
        <v>50</v>
      </c>
      <c r="AG1152" t="s">
        <v>3251</v>
      </c>
      <c r="AH1152" t="s">
        <v>7657</v>
      </c>
      <c r="AI1152" t="s">
        <v>7658</v>
      </c>
      <c r="AJ1152">
        <v>1227</v>
      </c>
    </row>
    <row r="1153" spans="1:36">
      <c r="A1153" t="s">
        <v>6974</v>
      </c>
      <c r="B1153" t="s">
        <v>6975</v>
      </c>
      <c r="C1153" t="s">
        <v>7659</v>
      </c>
      <c r="D1153" t="s">
        <v>7660</v>
      </c>
      <c r="E1153" t="s">
        <v>7661</v>
      </c>
      <c r="F1153">
        <v>1050</v>
      </c>
      <c r="G1153">
        <v>1050</v>
      </c>
      <c r="H1153">
        <v>1050</v>
      </c>
      <c r="P1153" t="s">
        <v>80</v>
      </c>
      <c r="R1153" s="7">
        <v>24193</v>
      </c>
      <c r="T1153" t="s">
        <v>399</v>
      </c>
      <c r="W1153" s="15">
        <v>3.3633799999999998</v>
      </c>
      <c r="X1153" s="15">
        <v>-76.523250000000004</v>
      </c>
      <c r="Y1153">
        <v>735.50199999999995</v>
      </c>
      <c r="Z1153">
        <v>974</v>
      </c>
      <c r="AB1153" t="s">
        <v>7662</v>
      </c>
      <c r="AF1153" t="s">
        <v>50</v>
      </c>
      <c r="AG1153" t="s">
        <v>83</v>
      </c>
      <c r="AH1153" t="s">
        <v>7663</v>
      </c>
      <c r="AJ1153">
        <v>1228</v>
      </c>
    </row>
    <row r="1154" spans="1:36">
      <c r="A1154" t="s">
        <v>6974</v>
      </c>
      <c r="B1154" t="s">
        <v>6975</v>
      </c>
      <c r="C1154" t="s">
        <v>7664</v>
      </c>
      <c r="D1154" t="s">
        <v>2736</v>
      </c>
      <c r="E1154" t="s">
        <v>7665</v>
      </c>
      <c r="F1154">
        <v>3</v>
      </c>
      <c r="G1154">
        <v>3</v>
      </c>
      <c r="H1154">
        <v>3</v>
      </c>
      <c r="P1154" t="s">
        <v>80</v>
      </c>
      <c r="R1154" s="7">
        <v>40373</v>
      </c>
      <c r="T1154" t="s">
        <v>119</v>
      </c>
      <c r="W1154" s="15">
        <v>3.8369800000000001</v>
      </c>
      <c r="X1154" s="15">
        <v>-77.191190000000006</v>
      </c>
      <c r="Y1154">
        <v>785.76599999999996</v>
      </c>
      <c r="Z1154">
        <v>0</v>
      </c>
      <c r="AB1154" t="s">
        <v>7666</v>
      </c>
      <c r="AF1154" t="s">
        <v>50</v>
      </c>
      <c r="AG1154" t="s">
        <v>83</v>
      </c>
      <c r="AH1154" t="s">
        <v>6683</v>
      </c>
      <c r="AI1154" t="s">
        <v>7667</v>
      </c>
      <c r="AJ1154">
        <v>1229</v>
      </c>
    </row>
    <row r="1155" spans="1:36">
      <c r="A1155" t="s">
        <v>6974</v>
      </c>
      <c r="B1155" t="s">
        <v>6975</v>
      </c>
      <c r="C1155" t="s">
        <v>7668</v>
      </c>
      <c r="D1155" t="s">
        <v>7669</v>
      </c>
      <c r="E1155" t="s">
        <v>7670</v>
      </c>
      <c r="I1155" t="s">
        <v>7671</v>
      </c>
      <c r="J1155" t="s">
        <v>7672</v>
      </c>
      <c r="K1155" t="s">
        <v>7673</v>
      </c>
      <c r="L1155" t="s">
        <v>7674</v>
      </c>
      <c r="M1155" t="s">
        <v>7675</v>
      </c>
      <c r="N1155" t="s">
        <v>7676</v>
      </c>
      <c r="O1155" t="s">
        <v>7677</v>
      </c>
      <c r="P1155" t="s">
        <v>7678</v>
      </c>
      <c r="R1155" s="7">
        <v>19243</v>
      </c>
      <c r="T1155" t="s">
        <v>119</v>
      </c>
      <c r="W1155" s="15">
        <v>0.25</v>
      </c>
      <c r="X1155" s="15">
        <v>-70.5</v>
      </c>
      <c r="AF1155" t="s">
        <v>50</v>
      </c>
      <c r="AG1155" t="s">
        <v>7679</v>
      </c>
      <c r="AH1155" t="s">
        <v>7680</v>
      </c>
      <c r="AI1155" t="s">
        <v>7681</v>
      </c>
      <c r="AJ1155">
        <v>1230</v>
      </c>
    </row>
    <row r="1156" spans="1:36">
      <c r="A1156" t="s">
        <v>6974</v>
      </c>
      <c r="B1156" t="s">
        <v>6975</v>
      </c>
      <c r="C1156" t="s">
        <v>7668</v>
      </c>
      <c r="D1156" t="s">
        <v>7682</v>
      </c>
      <c r="E1156" t="s">
        <v>7670</v>
      </c>
      <c r="I1156" t="s">
        <v>7671</v>
      </c>
      <c r="J1156" t="s">
        <v>7672</v>
      </c>
      <c r="K1156" t="s">
        <v>7673</v>
      </c>
      <c r="L1156" t="s">
        <v>7674</v>
      </c>
      <c r="M1156" t="s">
        <v>7675</v>
      </c>
      <c r="N1156" t="s">
        <v>7676</v>
      </c>
      <c r="O1156" t="s">
        <v>7677</v>
      </c>
      <c r="P1156" t="s">
        <v>7678</v>
      </c>
      <c r="R1156" s="7">
        <v>19243</v>
      </c>
      <c r="T1156" t="s">
        <v>119</v>
      </c>
      <c r="W1156" s="15">
        <v>0.25</v>
      </c>
      <c r="X1156" s="15">
        <v>-70.5</v>
      </c>
      <c r="AF1156" t="s">
        <v>50</v>
      </c>
      <c r="AG1156" t="s">
        <v>7679</v>
      </c>
      <c r="AH1156" t="s">
        <v>7680</v>
      </c>
      <c r="AI1156" t="s">
        <v>7681</v>
      </c>
      <c r="AJ1156">
        <v>1231</v>
      </c>
    </row>
    <row r="1157" spans="1:36">
      <c r="A1157" t="s">
        <v>6974</v>
      </c>
      <c r="B1157" t="s">
        <v>6975</v>
      </c>
      <c r="C1157" t="s">
        <v>7683</v>
      </c>
      <c r="D1157" t="s">
        <v>7684</v>
      </c>
      <c r="E1157" t="s">
        <v>7685</v>
      </c>
      <c r="P1157" t="s">
        <v>80</v>
      </c>
      <c r="R1157" s="7">
        <v>26006</v>
      </c>
      <c r="W1157" s="15">
        <v>4.89466</v>
      </c>
      <c r="X1157" s="15">
        <v>-71.010729999999995</v>
      </c>
      <c r="Y1157">
        <v>5403.9250000000002</v>
      </c>
      <c r="Z1157">
        <v>137</v>
      </c>
      <c r="AB1157" t="s">
        <v>7686</v>
      </c>
      <c r="AF1157" t="s">
        <v>50</v>
      </c>
      <c r="AG1157" t="s">
        <v>7687</v>
      </c>
      <c r="AH1157" t="s">
        <v>7688</v>
      </c>
      <c r="AI1157" t="s">
        <v>7689</v>
      </c>
      <c r="AJ1157">
        <v>1233</v>
      </c>
    </row>
    <row r="1158" spans="1:36">
      <c r="A1158" t="s">
        <v>7690</v>
      </c>
      <c r="B1158" t="s">
        <v>7691</v>
      </c>
      <c r="C1158" t="s">
        <v>7692</v>
      </c>
      <c r="D1158" t="s">
        <v>7693</v>
      </c>
      <c r="E1158" t="s">
        <v>7694</v>
      </c>
      <c r="F1158" t="s">
        <v>7695</v>
      </c>
      <c r="G1158" t="s">
        <v>7695</v>
      </c>
      <c r="H1158" t="s">
        <v>7695</v>
      </c>
      <c r="I1158" t="s">
        <v>7696</v>
      </c>
      <c r="J1158" t="s">
        <v>7697</v>
      </c>
      <c r="K1158" t="s">
        <v>7698</v>
      </c>
      <c r="L1158" t="s">
        <v>7699</v>
      </c>
      <c r="M1158" t="s">
        <v>7700</v>
      </c>
      <c r="N1158" t="s">
        <v>7701</v>
      </c>
      <c r="O1158" t="s">
        <v>7702</v>
      </c>
      <c r="P1158" t="s">
        <v>7703</v>
      </c>
      <c r="R1158" s="7">
        <v>31934</v>
      </c>
      <c r="T1158" t="s">
        <v>119</v>
      </c>
      <c r="W1158" s="15">
        <v>7.8333332999999996</v>
      </c>
      <c r="X1158" s="15">
        <v>-75.416666699999993</v>
      </c>
      <c r="AF1158" t="s">
        <v>50</v>
      </c>
      <c r="AG1158" t="s">
        <v>402</v>
      </c>
      <c r="AH1158" t="s">
        <v>7704</v>
      </c>
      <c r="AI1158" t="s">
        <v>7705</v>
      </c>
      <c r="AJ1158">
        <v>1235</v>
      </c>
    </row>
    <row r="1159" spans="1:36">
      <c r="A1159" t="s">
        <v>7690</v>
      </c>
      <c r="B1159" t="s">
        <v>7691</v>
      </c>
      <c r="C1159" t="s">
        <v>7706</v>
      </c>
      <c r="D1159" t="s">
        <v>7707</v>
      </c>
      <c r="E1159" t="s">
        <v>7708</v>
      </c>
      <c r="F1159">
        <v>66</v>
      </c>
      <c r="G1159">
        <v>66</v>
      </c>
      <c r="H1159">
        <v>66</v>
      </c>
      <c r="I1159" t="s">
        <v>7709</v>
      </c>
      <c r="J1159" t="s">
        <v>7710</v>
      </c>
      <c r="K1159" t="s">
        <v>7711</v>
      </c>
      <c r="L1159" t="s">
        <v>7712</v>
      </c>
      <c r="M1159" t="s">
        <v>7713</v>
      </c>
      <c r="N1159" t="s">
        <v>7714</v>
      </c>
      <c r="O1159" t="s">
        <v>1861</v>
      </c>
      <c r="P1159" t="s">
        <v>7715</v>
      </c>
      <c r="R1159" s="7">
        <v>31934</v>
      </c>
      <c r="T1159" t="s">
        <v>119</v>
      </c>
      <c r="W1159" s="15">
        <v>7.2333333</v>
      </c>
      <c r="X1159" s="15">
        <v>-76.416666699999993</v>
      </c>
      <c r="AF1159" t="s">
        <v>50</v>
      </c>
      <c r="AG1159" t="s">
        <v>402</v>
      </c>
      <c r="AH1159" t="s">
        <v>7716</v>
      </c>
      <c r="AI1159" t="s">
        <v>7717</v>
      </c>
      <c r="AJ1159">
        <v>1236</v>
      </c>
    </row>
    <row r="1160" spans="1:36">
      <c r="A1160" t="s">
        <v>7690</v>
      </c>
      <c r="B1160" t="s">
        <v>7691</v>
      </c>
      <c r="C1160" t="s">
        <v>7718</v>
      </c>
      <c r="D1160" t="s">
        <v>7719</v>
      </c>
      <c r="E1160" t="s">
        <v>7720</v>
      </c>
      <c r="F1160">
        <v>880</v>
      </c>
      <c r="G1160">
        <v>880</v>
      </c>
      <c r="H1160">
        <v>880</v>
      </c>
      <c r="I1160" t="s">
        <v>7721</v>
      </c>
      <c r="J1160" t="s">
        <v>7722</v>
      </c>
      <c r="K1160" t="s">
        <v>7723</v>
      </c>
      <c r="L1160" t="s">
        <v>7724</v>
      </c>
      <c r="M1160" t="s">
        <v>7725</v>
      </c>
      <c r="N1160" t="s">
        <v>7726</v>
      </c>
      <c r="O1160" t="s">
        <v>1609</v>
      </c>
      <c r="P1160" t="s">
        <v>7727</v>
      </c>
      <c r="R1160" s="7">
        <v>35972</v>
      </c>
      <c r="T1160" t="s">
        <v>119</v>
      </c>
      <c r="W1160" s="15">
        <v>4.7694444000000003</v>
      </c>
      <c r="X1160" s="15">
        <v>-73.3238889</v>
      </c>
      <c r="AF1160" t="s">
        <v>50</v>
      </c>
      <c r="AG1160" t="s">
        <v>98</v>
      </c>
      <c r="AH1160" t="s">
        <v>7728</v>
      </c>
      <c r="AJ1160">
        <v>1237</v>
      </c>
    </row>
    <row r="1161" spans="1:36" s="11" customFormat="1">
      <c r="A1161" s="11" t="s">
        <v>7690</v>
      </c>
      <c r="B1161" s="11" t="s">
        <v>7691</v>
      </c>
      <c r="C1161" s="11" t="s">
        <v>7729</v>
      </c>
      <c r="D1161" s="11" t="s">
        <v>7730</v>
      </c>
      <c r="E1161" s="11" t="s">
        <v>7731</v>
      </c>
      <c r="F1161" s="11">
        <v>1150</v>
      </c>
      <c r="G1161" s="11">
        <v>1150</v>
      </c>
      <c r="H1161" s="11">
        <v>1150</v>
      </c>
      <c r="I1161" s="11" t="s">
        <v>7732</v>
      </c>
      <c r="J1161" s="11" t="s">
        <v>7733</v>
      </c>
      <c r="K1161" s="11" t="s">
        <v>7734</v>
      </c>
      <c r="L1161" s="11" t="s">
        <v>7735</v>
      </c>
      <c r="M1161" s="11" t="s">
        <v>7736</v>
      </c>
      <c r="N1161" s="11" t="s">
        <v>7737</v>
      </c>
      <c r="O1161" s="11" t="s">
        <v>7738</v>
      </c>
      <c r="P1161" s="11" t="s">
        <v>7739</v>
      </c>
      <c r="R1161" s="13">
        <v>35976</v>
      </c>
      <c r="T1161" s="11" t="s">
        <v>119</v>
      </c>
      <c r="W1161" s="15">
        <v>4.7638889000000004</v>
      </c>
      <c r="X1161" s="15">
        <v>-73.348888900000006</v>
      </c>
      <c r="AF1161" s="11" t="s">
        <v>50</v>
      </c>
      <c r="AG1161" s="11" t="s">
        <v>98</v>
      </c>
      <c r="AH1161" s="11" t="s">
        <v>7740</v>
      </c>
      <c r="AI1161" s="11" t="s">
        <v>7741</v>
      </c>
      <c r="AJ1161" s="11">
        <v>1238</v>
      </c>
    </row>
    <row r="1162" spans="1:36">
      <c r="A1162" t="s">
        <v>7690</v>
      </c>
      <c r="B1162" t="s">
        <v>7691</v>
      </c>
      <c r="C1162" t="s">
        <v>7742</v>
      </c>
      <c r="D1162" t="s">
        <v>7743</v>
      </c>
      <c r="E1162" t="s">
        <v>7744</v>
      </c>
      <c r="P1162" t="s">
        <v>80</v>
      </c>
      <c r="R1162" s="7" t="s">
        <v>7745</v>
      </c>
      <c r="W1162" s="15">
        <v>8.3910599999999995</v>
      </c>
      <c r="X1162" s="15">
        <v>-73.28801</v>
      </c>
      <c r="Y1162">
        <v>512.47</v>
      </c>
      <c r="Z1162">
        <v>1078</v>
      </c>
      <c r="AB1162" t="s">
        <v>7746</v>
      </c>
      <c r="AF1162" t="s">
        <v>50</v>
      </c>
      <c r="AG1162" t="s">
        <v>7747</v>
      </c>
      <c r="AH1162" t="s">
        <v>7748</v>
      </c>
      <c r="AJ1162">
        <v>1239</v>
      </c>
    </row>
    <row r="1163" spans="1:36">
      <c r="A1163" t="s">
        <v>7749</v>
      </c>
      <c r="B1163" t="s">
        <v>7750</v>
      </c>
      <c r="C1163" t="s">
        <v>7751</v>
      </c>
      <c r="D1163" t="s">
        <v>1060</v>
      </c>
      <c r="E1163" t="s">
        <v>7752</v>
      </c>
      <c r="F1163" t="s">
        <v>7753</v>
      </c>
      <c r="G1163">
        <v>2070</v>
      </c>
      <c r="H1163">
        <v>2200</v>
      </c>
      <c r="I1163" t="s">
        <v>7754</v>
      </c>
      <c r="J1163" t="s">
        <v>7755</v>
      </c>
      <c r="K1163" t="s">
        <v>1071</v>
      </c>
      <c r="L1163" t="s">
        <v>1071</v>
      </c>
      <c r="M1163" t="s">
        <v>7756</v>
      </c>
      <c r="N1163" t="s">
        <v>7757</v>
      </c>
      <c r="O1163" t="s">
        <v>1074</v>
      </c>
      <c r="P1163" t="s">
        <v>7758</v>
      </c>
      <c r="R1163" s="7">
        <v>39755</v>
      </c>
      <c r="T1163" t="s">
        <v>236</v>
      </c>
      <c r="W1163" s="15">
        <v>5.0833332999999996</v>
      </c>
      <c r="X1163" s="15">
        <v>-75.5084722</v>
      </c>
      <c r="AF1163" t="s">
        <v>50</v>
      </c>
      <c r="AG1163" t="s">
        <v>167</v>
      </c>
      <c r="AH1163" t="s">
        <v>7759</v>
      </c>
      <c r="AI1163" t="s">
        <v>7760</v>
      </c>
      <c r="AJ1163">
        <v>1240</v>
      </c>
    </row>
    <row r="1164" spans="1:36">
      <c r="A1164" t="s">
        <v>7761</v>
      </c>
      <c r="B1164" t="s">
        <v>7762</v>
      </c>
      <c r="C1164" t="s">
        <v>7763</v>
      </c>
      <c r="D1164" t="s">
        <v>7764</v>
      </c>
      <c r="E1164" t="s">
        <v>7765</v>
      </c>
      <c r="F1164">
        <v>1950</v>
      </c>
      <c r="G1164">
        <v>1950</v>
      </c>
      <c r="H1164">
        <v>1950</v>
      </c>
      <c r="I1164" t="s">
        <v>7766</v>
      </c>
      <c r="J1164" t="s">
        <v>7767</v>
      </c>
      <c r="K1164" t="s">
        <v>7768</v>
      </c>
      <c r="L1164" t="s">
        <v>7769</v>
      </c>
      <c r="M1164" t="s">
        <v>7770</v>
      </c>
      <c r="N1164" t="s">
        <v>7771</v>
      </c>
      <c r="O1164" t="s">
        <v>7772</v>
      </c>
      <c r="P1164" t="s">
        <v>7773</v>
      </c>
      <c r="R1164" s="7">
        <v>12175</v>
      </c>
      <c r="W1164" s="15">
        <v>5.7897888999999996</v>
      </c>
      <c r="X1164" s="15">
        <v>-75.785111099999995</v>
      </c>
      <c r="AF1164" t="s">
        <v>50</v>
      </c>
      <c r="AG1164" t="s">
        <v>402</v>
      </c>
      <c r="AH1164" t="s">
        <v>7774</v>
      </c>
      <c r="AJ1164">
        <v>1241</v>
      </c>
    </row>
    <row r="1165" spans="1:36">
      <c r="A1165" t="s">
        <v>7761</v>
      </c>
      <c r="B1165" t="s">
        <v>7762</v>
      </c>
      <c r="C1165" t="s">
        <v>7775</v>
      </c>
      <c r="D1165" t="s">
        <v>7776</v>
      </c>
      <c r="E1165" t="s">
        <v>7777</v>
      </c>
      <c r="F1165">
        <v>2122</v>
      </c>
      <c r="G1165">
        <v>2122</v>
      </c>
      <c r="H1165">
        <v>2122</v>
      </c>
      <c r="I1165" t="s">
        <v>474</v>
      </c>
      <c r="J1165" t="s">
        <v>475</v>
      </c>
      <c r="K1165" t="s">
        <v>3359</v>
      </c>
      <c r="L1165" t="s">
        <v>476</v>
      </c>
      <c r="M1165" t="s">
        <v>477</v>
      </c>
      <c r="N1165" t="s">
        <v>478</v>
      </c>
      <c r="O1165" t="s">
        <v>479</v>
      </c>
      <c r="P1165" t="s">
        <v>480</v>
      </c>
      <c r="R1165" s="7">
        <v>12754</v>
      </c>
      <c r="W1165" s="15">
        <v>6.1550000000000002</v>
      </c>
      <c r="X1165" s="15">
        <v>-75.388888899999998</v>
      </c>
      <c r="AF1165" t="s">
        <v>50</v>
      </c>
      <c r="AG1165" t="s">
        <v>402</v>
      </c>
      <c r="AH1165" t="s">
        <v>7778</v>
      </c>
      <c r="AJ1165">
        <v>1242</v>
      </c>
    </row>
    <row r="1166" spans="1:36">
      <c r="A1166" t="s">
        <v>7761</v>
      </c>
      <c r="B1166" t="s">
        <v>7762</v>
      </c>
      <c r="C1166" t="s">
        <v>7763</v>
      </c>
      <c r="D1166" t="s">
        <v>7779</v>
      </c>
      <c r="E1166" t="s">
        <v>7780</v>
      </c>
      <c r="F1166">
        <v>2148</v>
      </c>
      <c r="G1166">
        <v>2148</v>
      </c>
      <c r="H1166">
        <v>2148</v>
      </c>
      <c r="I1166" t="s">
        <v>541</v>
      </c>
      <c r="J1166" t="s">
        <v>542</v>
      </c>
      <c r="K1166" t="s">
        <v>543</v>
      </c>
      <c r="L1166" t="s">
        <v>544</v>
      </c>
      <c r="M1166" t="s">
        <v>545</v>
      </c>
      <c r="N1166" t="s">
        <v>546</v>
      </c>
      <c r="O1166" t="s">
        <v>547</v>
      </c>
      <c r="P1166" t="s">
        <v>548</v>
      </c>
      <c r="R1166" s="7">
        <v>13119</v>
      </c>
      <c r="W1166" s="15">
        <v>6.2800111000000003</v>
      </c>
      <c r="X1166" s="15">
        <v>-75.4427333</v>
      </c>
      <c r="AF1166" t="s">
        <v>50</v>
      </c>
      <c r="AG1166" t="s">
        <v>402</v>
      </c>
      <c r="AH1166" t="s">
        <v>7781</v>
      </c>
      <c r="AJ1166">
        <v>1243</v>
      </c>
    </row>
    <row r="1167" spans="1:36">
      <c r="A1167" t="s">
        <v>7761</v>
      </c>
      <c r="B1167" t="s">
        <v>7762</v>
      </c>
      <c r="C1167" t="s">
        <v>7782</v>
      </c>
      <c r="D1167" t="s">
        <v>7783</v>
      </c>
      <c r="E1167" t="s">
        <v>7784</v>
      </c>
      <c r="F1167">
        <v>2850</v>
      </c>
      <c r="G1167">
        <v>2850</v>
      </c>
      <c r="H1167">
        <v>2850</v>
      </c>
      <c r="I1167" t="s">
        <v>7785</v>
      </c>
      <c r="J1167" t="s">
        <v>7786</v>
      </c>
      <c r="K1167" t="s">
        <v>7787</v>
      </c>
      <c r="L1167" t="s">
        <v>7788</v>
      </c>
      <c r="M1167" t="s">
        <v>7789</v>
      </c>
      <c r="N1167" t="s">
        <v>7790</v>
      </c>
      <c r="O1167" t="s">
        <v>7791</v>
      </c>
      <c r="P1167" t="s">
        <v>7792</v>
      </c>
      <c r="R1167" s="7">
        <v>16469</v>
      </c>
      <c r="T1167" t="s">
        <v>119</v>
      </c>
      <c r="W1167" s="15">
        <v>2.1971582999999999</v>
      </c>
      <c r="X1167" s="15">
        <v>-75.638266700000003</v>
      </c>
      <c r="AF1167" t="s">
        <v>50</v>
      </c>
      <c r="AG1167" t="s">
        <v>51</v>
      </c>
      <c r="AH1167" t="s">
        <v>7793</v>
      </c>
      <c r="AJ1167">
        <v>1244</v>
      </c>
    </row>
    <row r="1168" spans="1:36">
      <c r="A1168" t="s">
        <v>7761</v>
      </c>
      <c r="B1168" t="s">
        <v>7762</v>
      </c>
      <c r="C1168" t="s">
        <v>7794</v>
      </c>
      <c r="D1168" t="s">
        <v>7795</v>
      </c>
      <c r="E1168" t="s">
        <v>7796</v>
      </c>
      <c r="F1168">
        <v>2500</v>
      </c>
      <c r="G1168">
        <v>2500</v>
      </c>
      <c r="H1168">
        <v>2500</v>
      </c>
      <c r="I1168" t="s">
        <v>5739</v>
      </c>
      <c r="J1168" t="s">
        <v>5740</v>
      </c>
      <c r="K1168" t="s">
        <v>557</v>
      </c>
      <c r="L1168" t="s">
        <v>558</v>
      </c>
      <c r="M1168" t="s">
        <v>5741</v>
      </c>
      <c r="N1168" t="s">
        <v>560</v>
      </c>
      <c r="O1168" t="s">
        <v>561</v>
      </c>
      <c r="P1168" t="s">
        <v>562</v>
      </c>
      <c r="R1168" s="7">
        <v>16733</v>
      </c>
      <c r="W1168" s="15">
        <v>6.2205899999999996</v>
      </c>
      <c r="X1168" s="15">
        <v>-75.554109999999994</v>
      </c>
      <c r="Y1168">
        <v>3416.2629999999999</v>
      </c>
      <c r="Z1168">
        <v>1831</v>
      </c>
      <c r="AB1168" t="s">
        <v>7797</v>
      </c>
      <c r="AF1168" t="s">
        <v>50</v>
      </c>
      <c r="AG1168" t="s">
        <v>402</v>
      </c>
      <c r="AH1168" t="s">
        <v>7798</v>
      </c>
      <c r="AI1168" t="s">
        <v>7799</v>
      </c>
      <c r="AJ1168">
        <v>1246</v>
      </c>
    </row>
    <row r="1169" spans="1:36">
      <c r="A1169" t="s">
        <v>7761</v>
      </c>
      <c r="B1169" t="s">
        <v>7762</v>
      </c>
      <c r="C1169" t="s">
        <v>7800</v>
      </c>
      <c r="D1169" t="s">
        <v>7801</v>
      </c>
      <c r="E1169" t="s">
        <v>7796</v>
      </c>
      <c r="F1169" t="s">
        <v>416</v>
      </c>
      <c r="G1169">
        <v>2300</v>
      </c>
      <c r="H1169">
        <v>2500</v>
      </c>
      <c r="I1169" t="s">
        <v>3514</v>
      </c>
      <c r="J1169" t="s">
        <v>3515</v>
      </c>
      <c r="K1169" t="s">
        <v>3516</v>
      </c>
      <c r="L1169" t="s">
        <v>3517</v>
      </c>
      <c r="M1169" t="s">
        <v>3518</v>
      </c>
      <c r="N1169" t="s">
        <v>3519</v>
      </c>
      <c r="O1169" t="s">
        <v>3520</v>
      </c>
      <c r="P1169" t="s">
        <v>3521</v>
      </c>
      <c r="R1169" s="7">
        <v>17460</v>
      </c>
      <c r="W1169" s="15">
        <v>6.2205899999999996</v>
      </c>
      <c r="X1169" s="15">
        <v>-75.554109999999994</v>
      </c>
      <c r="Y1169">
        <v>3416.2629999999999</v>
      </c>
      <c r="Z1169">
        <v>1831</v>
      </c>
      <c r="AB1169" t="s">
        <v>7797</v>
      </c>
      <c r="AF1169" t="s">
        <v>50</v>
      </c>
      <c r="AG1169" t="s">
        <v>402</v>
      </c>
      <c r="AH1169" t="s">
        <v>7798</v>
      </c>
      <c r="AI1169" t="s">
        <v>7799</v>
      </c>
      <c r="AJ1169">
        <v>1247</v>
      </c>
    </row>
    <row r="1170" spans="1:36">
      <c r="A1170" t="s">
        <v>7761</v>
      </c>
      <c r="B1170" t="s">
        <v>7762</v>
      </c>
      <c r="C1170" t="s">
        <v>7802</v>
      </c>
      <c r="D1170" t="s">
        <v>7803</v>
      </c>
      <c r="E1170" t="s">
        <v>7804</v>
      </c>
      <c r="F1170">
        <v>2575</v>
      </c>
      <c r="G1170">
        <v>2575</v>
      </c>
      <c r="H1170">
        <v>2575</v>
      </c>
      <c r="I1170" t="s">
        <v>4316</v>
      </c>
      <c r="J1170" t="s">
        <v>2306</v>
      </c>
      <c r="K1170" t="s">
        <v>4317</v>
      </c>
      <c r="L1170" t="s">
        <v>2307</v>
      </c>
      <c r="M1170" t="s">
        <v>2308</v>
      </c>
      <c r="N1170" t="s">
        <v>2309</v>
      </c>
      <c r="O1170" t="s">
        <v>2310</v>
      </c>
      <c r="P1170" t="s">
        <v>2311</v>
      </c>
      <c r="R1170" s="7">
        <v>17765</v>
      </c>
      <c r="W1170" s="15">
        <v>5.6833333000000001</v>
      </c>
      <c r="X1170" s="15">
        <v>-75.233333299999998</v>
      </c>
      <c r="AF1170" t="s">
        <v>50</v>
      </c>
      <c r="AG1170" t="s">
        <v>3306</v>
      </c>
      <c r="AH1170" t="s">
        <v>7805</v>
      </c>
      <c r="AJ1170">
        <v>1249</v>
      </c>
    </row>
    <row r="1171" spans="1:36">
      <c r="A1171" t="s">
        <v>7761</v>
      </c>
      <c r="B1171" t="s">
        <v>7762</v>
      </c>
      <c r="C1171" t="s">
        <v>7802</v>
      </c>
      <c r="D1171" t="s">
        <v>7803</v>
      </c>
      <c r="E1171" t="s">
        <v>7804</v>
      </c>
      <c r="F1171">
        <v>2575</v>
      </c>
      <c r="G1171">
        <v>2575</v>
      </c>
      <c r="H1171">
        <v>2575</v>
      </c>
      <c r="I1171" t="s">
        <v>4316</v>
      </c>
      <c r="J1171" t="s">
        <v>2306</v>
      </c>
      <c r="K1171" t="s">
        <v>4317</v>
      </c>
      <c r="L1171" t="s">
        <v>2307</v>
      </c>
      <c r="M1171" t="s">
        <v>2308</v>
      </c>
      <c r="N1171" t="s">
        <v>2309</v>
      </c>
      <c r="O1171" t="s">
        <v>2310</v>
      </c>
      <c r="P1171" t="s">
        <v>2311</v>
      </c>
      <c r="R1171" s="7">
        <v>17765</v>
      </c>
      <c r="W1171" s="15">
        <v>5.6833333000000001</v>
      </c>
      <c r="X1171" s="15">
        <v>-75.233333299999998</v>
      </c>
      <c r="AF1171" t="s">
        <v>50</v>
      </c>
      <c r="AG1171" t="s">
        <v>3306</v>
      </c>
      <c r="AH1171" t="s">
        <v>7805</v>
      </c>
      <c r="AJ1171">
        <v>1250</v>
      </c>
    </row>
    <row r="1172" spans="1:36">
      <c r="A1172" t="s">
        <v>7761</v>
      </c>
      <c r="B1172" t="s">
        <v>7762</v>
      </c>
      <c r="C1172" t="s">
        <v>7806</v>
      </c>
      <c r="D1172" t="s">
        <v>7807</v>
      </c>
      <c r="E1172" t="s">
        <v>7808</v>
      </c>
      <c r="F1172">
        <v>2800</v>
      </c>
      <c r="G1172">
        <v>2800</v>
      </c>
      <c r="H1172">
        <v>2800</v>
      </c>
      <c r="P1172" t="s">
        <v>80</v>
      </c>
      <c r="R1172" s="7">
        <v>25516</v>
      </c>
      <c r="T1172" t="s">
        <v>119</v>
      </c>
      <c r="W1172" s="15">
        <v>7.3436700000000004</v>
      </c>
      <c r="X1172" s="15">
        <v>-72.641599999999997</v>
      </c>
      <c r="Y1172">
        <v>2111.6089999999999</v>
      </c>
      <c r="Z1172">
        <v>2884</v>
      </c>
      <c r="AB1172" t="s">
        <v>7809</v>
      </c>
      <c r="AF1172" t="s">
        <v>50</v>
      </c>
      <c r="AG1172" t="s">
        <v>7810</v>
      </c>
      <c r="AH1172" t="s">
        <v>7811</v>
      </c>
      <c r="AI1172" t="s">
        <v>7812</v>
      </c>
      <c r="AJ1172">
        <v>1252</v>
      </c>
    </row>
    <row r="1173" spans="1:36">
      <c r="A1173" t="s">
        <v>7761</v>
      </c>
      <c r="B1173" t="s">
        <v>7762</v>
      </c>
      <c r="C1173" t="s">
        <v>7813</v>
      </c>
      <c r="D1173" t="s">
        <v>3665</v>
      </c>
      <c r="E1173" t="s">
        <v>7814</v>
      </c>
      <c r="F1173" t="s">
        <v>3667</v>
      </c>
      <c r="G1173">
        <v>2200</v>
      </c>
      <c r="H1173">
        <v>2600</v>
      </c>
      <c r="I1173" t="s">
        <v>4226</v>
      </c>
      <c r="J1173" t="s">
        <v>4227</v>
      </c>
      <c r="K1173" t="s">
        <v>799</v>
      </c>
      <c r="L1173" t="s">
        <v>419</v>
      </c>
      <c r="M1173" t="s">
        <v>7815</v>
      </c>
      <c r="N1173" t="s">
        <v>811</v>
      </c>
      <c r="O1173" t="s">
        <v>422</v>
      </c>
      <c r="P1173" t="s">
        <v>3671</v>
      </c>
      <c r="R1173" s="7">
        <v>26022</v>
      </c>
      <c r="W1173" s="15">
        <v>6.2833332999999998</v>
      </c>
      <c r="X1173" s="15">
        <v>-75.5</v>
      </c>
      <c r="AF1173" t="s">
        <v>50</v>
      </c>
      <c r="AG1173" t="s">
        <v>402</v>
      </c>
      <c r="AH1173" t="s">
        <v>7816</v>
      </c>
      <c r="AI1173" t="s">
        <v>7817</v>
      </c>
      <c r="AJ1173">
        <v>1253</v>
      </c>
    </row>
    <row r="1174" spans="1:36">
      <c r="A1174" t="s">
        <v>7761</v>
      </c>
      <c r="B1174" t="s">
        <v>7762</v>
      </c>
      <c r="C1174" t="s">
        <v>7813</v>
      </c>
      <c r="D1174" t="s">
        <v>7818</v>
      </c>
      <c r="E1174" t="s">
        <v>7814</v>
      </c>
      <c r="F1174" t="s">
        <v>3667</v>
      </c>
      <c r="G1174">
        <v>2200</v>
      </c>
      <c r="H1174">
        <v>2600</v>
      </c>
      <c r="I1174" t="s">
        <v>4226</v>
      </c>
      <c r="J1174" t="s">
        <v>4227</v>
      </c>
      <c r="K1174" t="s">
        <v>799</v>
      </c>
      <c r="L1174" t="s">
        <v>419</v>
      </c>
      <c r="M1174" t="s">
        <v>7815</v>
      </c>
      <c r="N1174" t="s">
        <v>811</v>
      </c>
      <c r="O1174" t="s">
        <v>422</v>
      </c>
      <c r="P1174" t="s">
        <v>3671</v>
      </c>
      <c r="R1174" s="7">
        <v>26022</v>
      </c>
      <c r="W1174" s="15">
        <v>6.2833332999999998</v>
      </c>
      <c r="X1174" s="15">
        <v>-75.5</v>
      </c>
      <c r="AF1174" t="s">
        <v>50</v>
      </c>
      <c r="AG1174" t="s">
        <v>402</v>
      </c>
      <c r="AH1174" t="s">
        <v>7816</v>
      </c>
      <c r="AI1174" t="s">
        <v>7817</v>
      </c>
      <c r="AJ1174">
        <v>1254</v>
      </c>
    </row>
    <row r="1175" spans="1:36">
      <c r="A1175" t="s">
        <v>7761</v>
      </c>
      <c r="B1175" t="s">
        <v>7762</v>
      </c>
      <c r="C1175" t="s">
        <v>7042</v>
      </c>
      <c r="D1175" t="s">
        <v>7043</v>
      </c>
      <c r="E1175" t="s">
        <v>7044</v>
      </c>
      <c r="F1175" t="s">
        <v>3834</v>
      </c>
      <c r="G1175">
        <v>400</v>
      </c>
      <c r="H1175">
        <v>700</v>
      </c>
      <c r="P1175" t="s">
        <v>80</v>
      </c>
      <c r="R1175" s="7">
        <v>26090</v>
      </c>
      <c r="T1175" t="s">
        <v>119</v>
      </c>
      <c r="W1175" s="15">
        <v>7.3167600000000004</v>
      </c>
      <c r="X1175" s="15">
        <v>-75.056430000000006</v>
      </c>
      <c r="Y1175">
        <v>3115.4110000000001</v>
      </c>
      <c r="Z1175">
        <v>474</v>
      </c>
      <c r="AB1175" t="s">
        <v>3827</v>
      </c>
      <c r="AF1175" t="s">
        <v>50</v>
      </c>
      <c r="AG1175" t="s">
        <v>402</v>
      </c>
      <c r="AH1175" t="s">
        <v>1186</v>
      </c>
      <c r="AI1175" t="s">
        <v>7045</v>
      </c>
      <c r="AJ1175">
        <v>1255</v>
      </c>
    </row>
    <row r="1176" spans="1:36">
      <c r="A1176" t="s">
        <v>7761</v>
      </c>
      <c r="B1176" t="s">
        <v>7762</v>
      </c>
      <c r="C1176" t="s">
        <v>7819</v>
      </c>
      <c r="D1176" t="s">
        <v>7820</v>
      </c>
      <c r="E1176" t="s">
        <v>7821</v>
      </c>
      <c r="F1176">
        <v>2200</v>
      </c>
      <c r="G1176">
        <v>2200</v>
      </c>
      <c r="H1176">
        <v>2200</v>
      </c>
      <c r="I1176" t="s">
        <v>541</v>
      </c>
      <c r="J1176" t="s">
        <v>542</v>
      </c>
      <c r="K1176" t="s">
        <v>543</v>
      </c>
      <c r="L1176" t="s">
        <v>544</v>
      </c>
      <c r="M1176" t="s">
        <v>545</v>
      </c>
      <c r="N1176" t="s">
        <v>546</v>
      </c>
      <c r="O1176" t="s">
        <v>547</v>
      </c>
      <c r="P1176" t="s">
        <v>548</v>
      </c>
      <c r="R1176" s="7">
        <v>26122</v>
      </c>
      <c r="T1176" t="s">
        <v>119</v>
      </c>
      <c r="W1176" s="15">
        <v>6.2800111000000003</v>
      </c>
      <c r="X1176" s="15">
        <v>-75.4427333</v>
      </c>
      <c r="AF1176" t="s">
        <v>50</v>
      </c>
      <c r="AG1176" t="s">
        <v>402</v>
      </c>
      <c r="AH1176" t="s">
        <v>550</v>
      </c>
      <c r="AI1176" t="s">
        <v>7822</v>
      </c>
      <c r="AJ1176">
        <v>1256</v>
      </c>
    </row>
    <row r="1177" spans="1:36">
      <c r="A1177" t="s">
        <v>7761</v>
      </c>
      <c r="B1177" t="s">
        <v>7762</v>
      </c>
      <c r="C1177" t="s">
        <v>7819</v>
      </c>
      <c r="D1177" t="s">
        <v>7823</v>
      </c>
      <c r="E1177" t="s">
        <v>7821</v>
      </c>
      <c r="F1177">
        <v>2200</v>
      </c>
      <c r="G1177">
        <v>2200</v>
      </c>
      <c r="H1177">
        <v>2200</v>
      </c>
      <c r="I1177" t="s">
        <v>541</v>
      </c>
      <c r="J1177" t="s">
        <v>542</v>
      </c>
      <c r="K1177" t="s">
        <v>543</v>
      </c>
      <c r="L1177" t="s">
        <v>544</v>
      </c>
      <c r="M1177" t="s">
        <v>545</v>
      </c>
      <c r="N1177" t="s">
        <v>546</v>
      </c>
      <c r="O1177" t="s">
        <v>547</v>
      </c>
      <c r="P1177" t="s">
        <v>548</v>
      </c>
      <c r="R1177" s="7">
        <v>26122</v>
      </c>
      <c r="W1177" s="15">
        <v>6.2800111000000003</v>
      </c>
      <c r="X1177" s="15">
        <v>-75.4427333</v>
      </c>
      <c r="AF1177" t="s">
        <v>50</v>
      </c>
      <c r="AG1177" t="s">
        <v>402</v>
      </c>
      <c r="AH1177" t="s">
        <v>550</v>
      </c>
      <c r="AI1177" t="s">
        <v>7822</v>
      </c>
      <c r="AJ1177">
        <v>1257</v>
      </c>
    </row>
    <row r="1178" spans="1:36">
      <c r="A1178" t="s">
        <v>7761</v>
      </c>
      <c r="B1178" t="s">
        <v>7762</v>
      </c>
      <c r="C1178" t="s">
        <v>7824</v>
      </c>
      <c r="D1178" t="s">
        <v>7825</v>
      </c>
      <c r="E1178" t="s">
        <v>7826</v>
      </c>
      <c r="F1178">
        <v>1476</v>
      </c>
      <c r="G1178">
        <v>1476</v>
      </c>
      <c r="H1178">
        <v>1476</v>
      </c>
      <c r="I1178" t="s">
        <v>3514</v>
      </c>
      <c r="J1178" t="s">
        <v>3515</v>
      </c>
      <c r="K1178" t="s">
        <v>3516</v>
      </c>
      <c r="L1178" t="s">
        <v>3517</v>
      </c>
      <c r="M1178" t="s">
        <v>3518</v>
      </c>
      <c r="N1178" t="s">
        <v>3519</v>
      </c>
      <c r="O1178" t="s">
        <v>3520</v>
      </c>
      <c r="P1178" t="s">
        <v>3521</v>
      </c>
      <c r="R1178" s="7">
        <v>27829</v>
      </c>
      <c r="W1178" s="15">
        <v>6.2359249999999999</v>
      </c>
      <c r="X1178" s="15">
        <v>-75.575136099999995</v>
      </c>
      <c r="AF1178" t="s">
        <v>50</v>
      </c>
      <c r="AG1178" t="s">
        <v>402</v>
      </c>
      <c r="AH1178" t="s">
        <v>855</v>
      </c>
      <c r="AI1178" t="s">
        <v>7827</v>
      </c>
      <c r="AJ1178">
        <v>1258</v>
      </c>
    </row>
    <row r="1179" spans="1:36">
      <c r="A1179" t="s">
        <v>7761</v>
      </c>
      <c r="B1179" t="s">
        <v>7762</v>
      </c>
      <c r="C1179" t="s">
        <v>7828</v>
      </c>
      <c r="D1179" t="s">
        <v>7829</v>
      </c>
      <c r="E1179" t="s">
        <v>7830</v>
      </c>
      <c r="F1179">
        <v>2100</v>
      </c>
      <c r="G1179">
        <v>2100</v>
      </c>
      <c r="H1179">
        <v>2100</v>
      </c>
      <c r="I1179" t="s">
        <v>5739</v>
      </c>
      <c r="J1179" t="s">
        <v>5740</v>
      </c>
      <c r="K1179" t="s">
        <v>557</v>
      </c>
      <c r="L1179" t="s">
        <v>558</v>
      </c>
      <c r="M1179" t="s">
        <v>5741</v>
      </c>
      <c r="N1179" t="s">
        <v>560</v>
      </c>
      <c r="O1179" t="s">
        <v>561</v>
      </c>
      <c r="P1179" t="s">
        <v>562</v>
      </c>
      <c r="R1179" s="7">
        <v>30622</v>
      </c>
      <c r="W1179" s="15">
        <v>6.09</v>
      </c>
      <c r="X1179" s="15">
        <v>-75.638000000000005</v>
      </c>
      <c r="AF1179" t="s">
        <v>50</v>
      </c>
      <c r="AG1179" t="s">
        <v>402</v>
      </c>
      <c r="AH1179" t="s">
        <v>167</v>
      </c>
      <c r="AI1179" t="s">
        <v>7831</v>
      </c>
      <c r="AJ1179">
        <v>1260</v>
      </c>
    </row>
    <row r="1180" spans="1:36">
      <c r="A1180" t="s">
        <v>7761</v>
      </c>
      <c r="B1180" t="s">
        <v>7762</v>
      </c>
      <c r="C1180" t="s">
        <v>7832</v>
      </c>
      <c r="D1180" t="s">
        <v>7833</v>
      </c>
      <c r="E1180" t="s">
        <v>7834</v>
      </c>
      <c r="F1180">
        <v>2290</v>
      </c>
      <c r="G1180">
        <v>2290</v>
      </c>
      <c r="H1180">
        <v>2290</v>
      </c>
      <c r="I1180" t="s">
        <v>541</v>
      </c>
      <c r="J1180" t="s">
        <v>542</v>
      </c>
      <c r="K1180" t="s">
        <v>543</v>
      </c>
      <c r="L1180" t="s">
        <v>544</v>
      </c>
      <c r="M1180" t="s">
        <v>545</v>
      </c>
      <c r="N1180" t="s">
        <v>546</v>
      </c>
      <c r="O1180" t="s">
        <v>547</v>
      </c>
      <c r="P1180" t="s">
        <v>548</v>
      </c>
      <c r="R1180" s="7">
        <v>30723</v>
      </c>
      <c r="W1180" s="15">
        <v>6.3112199999999996</v>
      </c>
      <c r="X1180" s="15">
        <v>-75.146090000000001</v>
      </c>
      <c r="Y1180">
        <v>2681.63</v>
      </c>
      <c r="Z1180">
        <v>1854</v>
      </c>
      <c r="AB1180" t="s">
        <v>2229</v>
      </c>
      <c r="AF1180" t="s">
        <v>50</v>
      </c>
      <c r="AG1180" t="s">
        <v>402</v>
      </c>
      <c r="AH1180" t="s">
        <v>2230</v>
      </c>
      <c r="AI1180" t="s">
        <v>7835</v>
      </c>
      <c r="AJ1180">
        <v>1261</v>
      </c>
    </row>
    <row r="1181" spans="1:36">
      <c r="A1181" t="s">
        <v>7761</v>
      </c>
      <c r="B1181" t="s">
        <v>7762</v>
      </c>
      <c r="C1181" t="s">
        <v>7836</v>
      </c>
      <c r="D1181" t="s">
        <v>7837</v>
      </c>
      <c r="E1181" t="s">
        <v>7838</v>
      </c>
      <c r="F1181">
        <v>2440</v>
      </c>
      <c r="G1181">
        <v>2440</v>
      </c>
      <c r="H1181">
        <v>2440</v>
      </c>
      <c r="I1181" t="s">
        <v>5739</v>
      </c>
      <c r="J1181" t="s">
        <v>5740</v>
      </c>
      <c r="K1181" t="s">
        <v>557</v>
      </c>
      <c r="L1181" t="s">
        <v>558</v>
      </c>
      <c r="M1181" t="s">
        <v>5741</v>
      </c>
      <c r="N1181" t="s">
        <v>560</v>
      </c>
      <c r="O1181" t="s">
        <v>561</v>
      </c>
      <c r="P1181" t="s">
        <v>562</v>
      </c>
      <c r="R1181" s="7">
        <v>30764</v>
      </c>
      <c r="W1181" s="15">
        <v>6.09</v>
      </c>
      <c r="X1181" s="15">
        <v>-75.638000000000005</v>
      </c>
      <c r="AF1181" t="s">
        <v>50</v>
      </c>
      <c r="AG1181" t="s">
        <v>402</v>
      </c>
      <c r="AH1181" t="s">
        <v>167</v>
      </c>
      <c r="AI1181" t="s">
        <v>7839</v>
      </c>
      <c r="AJ1181">
        <v>1262</v>
      </c>
    </row>
    <row r="1182" spans="1:36">
      <c r="A1182" t="s">
        <v>7761</v>
      </c>
      <c r="B1182" t="s">
        <v>7762</v>
      </c>
      <c r="C1182" t="s">
        <v>7840</v>
      </c>
      <c r="D1182" t="s">
        <v>7841</v>
      </c>
      <c r="E1182" t="s">
        <v>7838</v>
      </c>
      <c r="F1182">
        <v>2440</v>
      </c>
      <c r="G1182">
        <v>2440</v>
      </c>
      <c r="H1182">
        <v>2440</v>
      </c>
      <c r="I1182" t="s">
        <v>5739</v>
      </c>
      <c r="J1182" t="s">
        <v>5740</v>
      </c>
      <c r="K1182" t="s">
        <v>557</v>
      </c>
      <c r="L1182" t="s">
        <v>558</v>
      </c>
      <c r="M1182" t="s">
        <v>5741</v>
      </c>
      <c r="N1182" t="s">
        <v>560</v>
      </c>
      <c r="O1182" t="s">
        <v>561</v>
      </c>
      <c r="P1182" t="s">
        <v>562</v>
      </c>
      <c r="R1182" s="7">
        <v>30764</v>
      </c>
      <c r="W1182" s="15">
        <v>6.09</v>
      </c>
      <c r="X1182" s="15">
        <v>-75.638000000000005</v>
      </c>
      <c r="AF1182" t="s">
        <v>50</v>
      </c>
      <c r="AG1182" t="s">
        <v>402</v>
      </c>
      <c r="AH1182" t="s">
        <v>167</v>
      </c>
      <c r="AI1182" t="s">
        <v>7839</v>
      </c>
      <c r="AJ1182">
        <v>1263</v>
      </c>
    </row>
    <row r="1183" spans="1:36">
      <c r="A1183" t="s">
        <v>7761</v>
      </c>
      <c r="B1183" t="s">
        <v>7762</v>
      </c>
      <c r="C1183" t="s">
        <v>7842</v>
      </c>
      <c r="D1183" t="s">
        <v>7843</v>
      </c>
      <c r="E1183" t="s">
        <v>7844</v>
      </c>
      <c r="F1183">
        <v>2320</v>
      </c>
      <c r="G1183">
        <v>2320</v>
      </c>
      <c r="H1183">
        <v>2320</v>
      </c>
      <c r="I1183" t="s">
        <v>2164</v>
      </c>
      <c r="J1183" t="s">
        <v>2165</v>
      </c>
      <c r="K1183" t="s">
        <v>7845</v>
      </c>
      <c r="L1183" t="s">
        <v>7846</v>
      </c>
      <c r="M1183" t="s">
        <v>7847</v>
      </c>
      <c r="N1183" t="s">
        <v>2168</v>
      </c>
      <c r="O1183" t="s">
        <v>955</v>
      </c>
      <c r="P1183" t="s">
        <v>2169</v>
      </c>
      <c r="R1183" s="7">
        <v>30780</v>
      </c>
      <c r="W1183" s="15">
        <v>4.8697777999999996</v>
      </c>
      <c r="X1183" s="15">
        <v>-75.177352799999994</v>
      </c>
      <c r="AF1183" t="s">
        <v>50</v>
      </c>
      <c r="AG1183" t="s">
        <v>133</v>
      </c>
      <c r="AH1183" t="s">
        <v>7848</v>
      </c>
      <c r="AI1183" t="s">
        <v>7849</v>
      </c>
      <c r="AJ1183">
        <v>1264</v>
      </c>
    </row>
    <row r="1184" spans="1:36">
      <c r="A1184" t="s">
        <v>7761</v>
      </c>
      <c r="B1184" t="s">
        <v>7762</v>
      </c>
      <c r="C1184" t="s">
        <v>7850</v>
      </c>
      <c r="D1184" t="s">
        <v>7851</v>
      </c>
      <c r="E1184" t="s">
        <v>4294</v>
      </c>
      <c r="F1184" t="s">
        <v>2286</v>
      </c>
      <c r="G1184">
        <v>1600</v>
      </c>
      <c r="H1184">
        <v>1700</v>
      </c>
      <c r="I1184" t="s">
        <v>541</v>
      </c>
      <c r="J1184" t="s">
        <v>542</v>
      </c>
      <c r="K1184" t="s">
        <v>543</v>
      </c>
      <c r="L1184" t="s">
        <v>544</v>
      </c>
      <c r="M1184" t="s">
        <v>545</v>
      </c>
      <c r="N1184" t="s">
        <v>546</v>
      </c>
      <c r="O1184" t="s">
        <v>547</v>
      </c>
      <c r="P1184" t="s">
        <v>548</v>
      </c>
      <c r="R1184" s="7">
        <v>31920</v>
      </c>
      <c r="W1184" s="15">
        <v>6.2800111000000003</v>
      </c>
      <c r="X1184" s="15">
        <v>-75.4427333</v>
      </c>
      <c r="AF1184" t="s">
        <v>50</v>
      </c>
      <c r="AG1184" t="s">
        <v>402</v>
      </c>
      <c r="AH1184" t="s">
        <v>4300</v>
      </c>
      <c r="AI1184" t="s">
        <v>4301</v>
      </c>
      <c r="AJ1184">
        <v>1265</v>
      </c>
    </row>
    <row r="1185" spans="1:36">
      <c r="A1185" t="s">
        <v>7761</v>
      </c>
      <c r="B1185" t="s">
        <v>7762</v>
      </c>
      <c r="C1185" t="s">
        <v>7852</v>
      </c>
      <c r="D1185" t="s">
        <v>7853</v>
      </c>
      <c r="E1185" t="s">
        <v>7854</v>
      </c>
      <c r="F1185">
        <v>2680</v>
      </c>
      <c r="G1185">
        <v>2680</v>
      </c>
      <c r="H1185">
        <v>2680</v>
      </c>
      <c r="I1185" t="s">
        <v>4316</v>
      </c>
      <c r="J1185" t="s">
        <v>2306</v>
      </c>
      <c r="K1185" t="s">
        <v>4317</v>
      </c>
      <c r="L1185" t="s">
        <v>2307</v>
      </c>
      <c r="M1185" t="s">
        <v>2308</v>
      </c>
      <c r="N1185" t="s">
        <v>2309</v>
      </c>
      <c r="O1185" t="s">
        <v>2310</v>
      </c>
      <c r="P1185" t="s">
        <v>2311</v>
      </c>
      <c r="R1185" s="7">
        <v>31965</v>
      </c>
      <c r="T1185" t="s">
        <v>119</v>
      </c>
      <c r="W1185" s="15">
        <v>5.6833333000000001</v>
      </c>
      <c r="X1185" s="15">
        <v>-75.233333299999998</v>
      </c>
      <c r="AF1185" t="s">
        <v>50</v>
      </c>
      <c r="AG1185" t="s">
        <v>402</v>
      </c>
      <c r="AH1185" t="s">
        <v>3306</v>
      </c>
      <c r="AI1185" t="s">
        <v>7855</v>
      </c>
      <c r="AJ1185">
        <v>1266</v>
      </c>
    </row>
    <row r="1186" spans="1:36">
      <c r="A1186" t="s">
        <v>7761</v>
      </c>
      <c r="B1186" t="s">
        <v>7762</v>
      </c>
      <c r="C1186" t="s">
        <v>7856</v>
      </c>
      <c r="D1186" t="s">
        <v>7857</v>
      </c>
      <c r="E1186" t="s">
        <v>7854</v>
      </c>
      <c r="F1186">
        <v>2680</v>
      </c>
      <c r="G1186">
        <v>2680</v>
      </c>
      <c r="H1186">
        <v>2680</v>
      </c>
      <c r="I1186" t="s">
        <v>4316</v>
      </c>
      <c r="J1186" t="s">
        <v>2306</v>
      </c>
      <c r="K1186" t="s">
        <v>4317</v>
      </c>
      <c r="L1186" t="s">
        <v>2307</v>
      </c>
      <c r="M1186" t="s">
        <v>2308</v>
      </c>
      <c r="N1186" t="s">
        <v>2309</v>
      </c>
      <c r="O1186" t="s">
        <v>2310</v>
      </c>
      <c r="P1186" t="s">
        <v>2311</v>
      </c>
      <c r="R1186" s="7">
        <v>31965</v>
      </c>
      <c r="T1186" t="s">
        <v>119</v>
      </c>
      <c r="W1186" s="15">
        <v>5.6833333000000001</v>
      </c>
      <c r="X1186" s="15">
        <v>-75.233333299999998</v>
      </c>
      <c r="AF1186" t="s">
        <v>50</v>
      </c>
      <c r="AG1186" t="s">
        <v>402</v>
      </c>
      <c r="AH1186" t="s">
        <v>3306</v>
      </c>
      <c r="AI1186" t="s">
        <v>7855</v>
      </c>
      <c r="AJ1186">
        <v>1267</v>
      </c>
    </row>
    <row r="1187" spans="1:36">
      <c r="A1187" t="s">
        <v>7761</v>
      </c>
      <c r="B1187" t="s">
        <v>7762</v>
      </c>
      <c r="C1187" t="s">
        <v>7858</v>
      </c>
      <c r="D1187" t="s">
        <v>7859</v>
      </c>
      <c r="E1187" t="s">
        <v>7860</v>
      </c>
      <c r="F1187">
        <v>2700</v>
      </c>
      <c r="G1187">
        <v>2700</v>
      </c>
      <c r="H1187">
        <v>2700</v>
      </c>
      <c r="I1187" t="s">
        <v>6084</v>
      </c>
      <c r="J1187" t="s">
        <v>6085</v>
      </c>
      <c r="K1187" t="s">
        <v>4138</v>
      </c>
      <c r="L1187" t="s">
        <v>530</v>
      </c>
      <c r="M1187" t="s">
        <v>7861</v>
      </c>
      <c r="N1187" t="s">
        <v>1695</v>
      </c>
      <c r="O1187" t="s">
        <v>533</v>
      </c>
      <c r="P1187" t="s">
        <v>7862</v>
      </c>
      <c r="R1187" s="7">
        <v>32270</v>
      </c>
      <c r="T1187" t="s">
        <v>111</v>
      </c>
      <c r="W1187" s="15">
        <v>6.5</v>
      </c>
      <c r="X1187" s="15">
        <v>-75.533333299999995</v>
      </c>
      <c r="AF1187" t="s">
        <v>50</v>
      </c>
      <c r="AG1187" t="s">
        <v>402</v>
      </c>
      <c r="AH1187" t="s">
        <v>7748</v>
      </c>
      <c r="AI1187" t="s">
        <v>7863</v>
      </c>
      <c r="AJ1187">
        <v>1268</v>
      </c>
    </row>
    <row r="1188" spans="1:36">
      <c r="A1188" t="s">
        <v>7761</v>
      </c>
      <c r="B1188" t="s">
        <v>7762</v>
      </c>
      <c r="C1188" t="s">
        <v>7864</v>
      </c>
      <c r="D1188" t="s">
        <v>7865</v>
      </c>
      <c r="E1188" t="s">
        <v>7866</v>
      </c>
      <c r="F1188" t="s">
        <v>2339</v>
      </c>
      <c r="G1188">
        <v>2205</v>
      </c>
      <c r="H1188">
        <v>2240</v>
      </c>
      <c r="I1188" t="s">
        <v>7867</v>
      </c>
      <c r="J1188" t="s">
        <v>7868</v>
      </c>
      <c r="K1188" t="s">
        <v>799</v>
      </c>
      <c r="L1188" t="s">
        <v>419</v>
      </c>
      <c r="M1188" t="s">
        <v>7869</v>
      </c>
      <c r="N1188" t="s">
        <v>2343</v>
      </c>
      <c r="O1188" t="s">
        <v>422</v>
      </c>
      <c r="P1188" t="s">
        <v>2344</v>
      </c>
      <c r="R1188" s="7">
        <v>32543</v>
      </c>
      <c r="W1188" s="15">
        <v>6.5333332999999998</v>
      </c>
      <c r="X1188" s="15">
        <v>-75.5</v>
      </c>
      <c r="AF1188" t="s">
        <v>50</v>
      </c>
      <c r="AG1188" t="s">
        <v>402</v>
      </c>
      <c r="AH1188" t="s">
        <v>2345</v>
      </c>
      <c r="AI1188" t="s">
        <v>7870</v>
      </c>
      <c r="AJ1188">
        <v>1269</v>
      </c>
    </row>
    <row r="1189" spans="1:36">
      <c r="A1189" t="s">
        <v>7761</v>
      </c>
      <c r="B1189" t="s">
        <v>7762</v>
      </c>
      <c r="C1189" t="s">
        <v>7871</v>
      </c>
      <c r="D1189" t="s">
        <v>7872</v>
      </c>
      <c r="E1189" t="s">
        <v>7873</v>
      </c>
      <c r="F1189">
        <v>2200</v>
      </c>
      <c r="G1189">
        <v>2200</v>
      </c>
      <c r="H1189">
        <v>2200</v>
      </c>
      <c r="I1189" t="s">
        <v>7874</v>
      </c>
      <c r="J1189" t="s">
        <v>7875</v>
      </c>
      <c r="K1189" t="s">
        <v>7876</v>
      </c>
      <c r="L1189" t="s">
        <v>7877</v>
      </c>
      <c r="M1189" t="s">
        <v>7878</v>
      </c>
      <c r="N1189" t="s">
        <v>7879</v>
      </c>
      <c r="O1189" t="s">
        <v>7880</v>
      </c>
      <c r="P1189" t="s">
        <v>7881</v>
      </c>
      <c r="R1189" s="7">
        <v>32818</v>
      </c>
      <c r="W1189" s="15">
        <v>6.2022472000000004</v>
      </c>
      <c r="X1189" s="15">
        <v>-75.518116699999993</v>
      </c>
      <c r="AF1189" t="s">
        <v>50</v>
      </c>
      <c r="AG1189" t="s">
        <v>402</v>
      </c>
      <c r="AH1189" t="s">
        <v>7882</v>
      </c>
      <c r="AI1189" t="s">
        <v>7883</v>
      </c>
      <c r="AJ1189">
        <v>1271</v>
      </c>
    </row>
    <row r="1190" spans="1:36">
      <c r="A1190" t="s">
        <v>7761</v>
      </c>
      <c r="B1190" t="s">
        <v>7762</v>
      </c>
      <c r="C1190" t="s">
        <v>7884</v>
      </c>
      <c r="D1190" t="s">
        <v>7885</v>
      </c>
      <c r="E1190" t="s">
        <v>7886</v>
      </c>
      <c r="F1190">
        <v>2300</v>
      </c>
      <c r="G1190">
        <v>2300</v>
      </c>
      <c r="H1190">
        <v>2300</v>
      </c>
      <c r="I1190" t="s">
        <v>4492</v>
      </c>
      <c r="J1190" t="s">
        <v>4493</v>
      </c>
      <c r="K1190" t="s">
        <v>4494</v>
      </c>
      <c r="L1190" t="s">
        <v>4495</v>
      </c>
      <c r="M1190" t="s">
        <v>4496</v>
      </c>
      <c r="N1190" t="s">
        <v>4497</v>
      </c>
      <c r="O1190" t="s">
        <v>4498</v>
      </c>
      <c r="P1190" t="s">
        <v>4499</v>
      </c>
      <c r="R1190" s="7">
        <v>34887</v>
      </c>
      <c r="W1190" s="15">
        <v>6.2666667</v>
      </c>
      <c r="X1190" s="15">
        <v>-75.566666699999999</v>
      </c>
      <c r="AF1190" t="s">
        <v>50</v>
      </c>
      <c r="AG1190" t="s">
        <v>402</v>
      </c>
      <c r="AH1190" t="s">
        <v>855</v>
      </c>
      <c r="AI1190" t="s">
        <v>7887</v>
      </c>
      <c r="AJ1190">
        <v>1273</v>
      </c>
    </row>
    <row r="1191" spans="1:36">
      <c r="A1191" t="s">
        <v>7761</v>
      </c>
      <c r="B1191" t="s">
        <v>7762</v>
      </c>
      <c r="C1191" t="s">
        <v>7888</v>
      </c>
      <c r="D1191" t="s">
        <v>7889</v>
      </c>
      <c r="E1191" t="s">
        <v>7890</v>
      </c>
      <c r="F1191">
        <v>2800</v>
      </c>
      <c r="G1191">
        <v>2800</v>
      </c>
      <c r="H1191">
        <v>2800</v>
      </c>
      <c r="I1191" t="s">
        <v>7891</v>
      </c>
      <c r="J1191" t="s">
        <v>7892</v>
      </c>
      <c r="K1191" t="s">
        <v>4528</v>
      </c>
      <c r="L1191" t="s">
        <v>2445</v>
      </c>
      <c r="M1191" t="s">
        <v>7893</v>
      </c>
      <c r="N1191" t="s">
        <v>7894</v>
      </c>
      <c r="O1191" t="s">
        <v>2448</v>
      </c>
      <c r="P1191" t="s">
        <v>7895</v>
      </c>
      <c r="R1191" s="7">
        <v>35412</v>
      </c>
      <c r="W1191" s="15">
        <v>6.3219443999999996</v>
      </c>
      <c r="X1191" s="15">
        <v>-75.585833300000004</v>
      </c>
      <c r="Z1191">
        <v>2672</v>
      </c>
      <c r="AB1191" t="s">
        <v>7896</v>
      </c>
      <c r="AF1191" t="s">
        <v>50</v>
      </c>
      <c r="AG1191" t="s">
        <v>402</v>
      </c>
      <c r="AH1191" t="s">
        <v>2450</v>
      </c>
      <c r="AI1191" t="s">
        <v>7897</v>
      </c>
      <c r="AJ1191">
        <v>1274</v>
      </c>
    </row>
    <row r="1192" spans="1:36">
      <c r="A1192" t="s">
        <v>7761</v>
      </c>
      <c r="B1192" t="s">
        <v>7762</v>
      </c>
      <c r="C1192" t="s">
        <v>7898</v>
      </c>
      <c r="D1192" t="s">
        <v>7899</v>
      </c>
      <c r="E1192" t="s">
        <v>7900</v>
      </c>
      <c r="F1192">
        <v>2800</v>
      </c>
      <c r="G1192">
        <v>2800</v>
      </c>
      <c r="H1192">
        <v>2800</v>
      </c>
      <c r="I1192" t="s">
        <v>7901</v>
      </c>
      <c r="J1192" t="s">
        <v>7902</v>
      </c>
      <c r="K1192" t="s">
        <v>443</v>
      </c>
      <c r="L1192" t="s">
        <v>444</v>
      </c>
      <c r="M1192" t="s">
        <v>7903</v>
      </c>
      <c r="N1192" t="s">
        <v>446</v>
      </c>
      <c r="O1192" t="s">
        <v>447</v>
      </c>
      <c r="P1192" t="s">
        <v>448</v>
      </c>
      <c r="R1192" s="7">
        <v>36198</v>
      </c>
      <c r="T1192" t="s">
        <v>119</v>
      </c>
      <c r="W1192" s="15">
        <v>1.1758972000000001</v>
      </c>
      <c r="X1192" s="15">
        <v>-76.879355599999997</v>
      </c>
      <c r="AF1192" t="s">
        <v>50</v>
      </c>
      <c r="AG1192" t="s">
        <v>67</v>
      </c>
      <c r="AH1192" t="s">
        <v>449</v>
      </c>
      <c r="AI1192" t="s">
        <v>7904</v>
      </c>
      <c r="AJ1192">
        <v>1275</v>
      </c>
    </row>
    <row r="1193" spans="1:36">
      <c r="A1193" t="s">
        <v>7761</v>
      </c>
      <c r="B1193" t="s">
        <v>7762</v>
      </c>
      <c r="C1193" t="s">
        <v>7905</v>
      </c>
      <c r="D1193" t="s">
        <v>7906</v>
      </c>
      <c r="E1193" t="s">
        <v>7907</v>
      </c>
      <c r="F1193">
        <v>2400</v>
      </c>
      <c r="G1193">
        <v>2400</v>
      </c>
      <c r="H1193">
        <v>2400</v>
      </c>
      <c r="I1193" t="s">
        <v>7908</v>
      </c>
      <c r="J1193" t="s">
        <v>7909</v>
      </c>
      <c r="K1193" t="s">
        <v>1070</v>
      </c>
      <c r="L1193" t="s">
        <v>1071</v>
      </c>
      <c r="M1193" t="s">
        <v>7910</v>
      </c>
      <c r="N1193" t="s">
        <v>7911</v>
      </c>
      <c r="O1193" t="s">
        <v>1074</v>
      </c>
      <c r="P1193" t="s">
        <v>7912</v>
      </c>
      <c r="R1193" s="7">
        <v>36818</v>
      </c>
      <c r="T1193" t="s">
        <v>119</v>
      </c>
      <c r="W1193" s="15">
        <v>6.2621111000000003</v>
      </c>
      <c r="X1193" s="15">
        <v>-75.5084722</v>
      </c>
      <c r="AF1193" t="s">
        <v>50</v>
      </c>
      <c r="AG1193" t="s">
        <v>402</v>
      </c>
      <c r="AH1193" t="s">
        <v>855</v>
      </c>
      <c r="AI1193" t="s">
        <v>7913</v>
      </c>
      <c r="AJ1193">
        <v>1276</v>
      </c>
    </row>
    <row r="1194" spans="1:36">
      <c r="A1194" t="s">
        <v>7761</v>
      </c>
      <c r="B1194" t="s">
        <v>7762</v>
      </c>
      <c r="C1194" t="s">
        <v>7905</v>
      </c>
      <c r="D1194" t="s">
        <v>7914</v>
      </c>
      <c r="E1194" t="s">
        <v>7907</v>
      </c>
      <c r="F1194">
        <v>2400</v>
      </c>
      <c r="G1194">
        <v>2400</v>
      </c>
      <c r="H1194">
        <v>2400</v>
      </c>
      <c r="I1194" t="s">
        <v>7908</v>
      </c>
      <c r="J1194" t="s">
        <v>7909</v>
      </c>
      <c r="K1194" t="s">
        <v>1070</v>
      </c>
      <c r="L1194" t="s">
        <v>1071</v>
      </c>
      <c r="M1194" t="s">
        <v>7910</v>
      </c>
      <c r="N1194" t="s">
        <v>7911</v>
      </c>
      <c r="O1194" t="s">
        <v>1074</v>
      </c>
      <c r="P1194" t="s">
        <v>7912</v>
      </c>
      <c r="R1194" s="7">
        <v>36818</v>
      </c>
      <c r="W1194" s="15">
        <v>6.2621111000000003</v>
      </c>
      <c r="X1194" s="15">
        <v>-75.5084722</v>
      </c>
      <c r="AF1194" t="s">
        <v>50</v>
      </c>
      <c r="AG1194" t="s">
        <v>402</v>
      </c>
      <c r="AH1194" t="s">
        <v>855</v>
      </c>
      <c r="AI1194" t="s">
        <v>7913</v>
      </c>
      <c r="AJ1194">
        <v>1277</v>
      </c>
    </row>
    <row r="1195" spans="1:36">
      <c r="A1195" t="s">
        <v>7761</v>
      </c>
      <c r="B1195" t="s">
        <v>7762</v>
      </c>
      <c r="C1195" t="s">
        <v>7905</v>
      </c>
      <c r="D1195" t="s">
        <v>7915</v>
      </c>
      <c r="E1195" t="s">
        <v>7907</v>
      </c>
      <c r="F1195">
        <v>2400</v>
      </c>
      <c r="G1195">
        <v>2400</v>
      </c>
      <c r="H1195">
        <v>2400</v>
      </c>
      <c r="I1195" t="s">
        <v>7908</v>
      </c>
      <c r="J1195" t="s">
        <v>7909</v>
      </c>
      <c r="K1195" t="s">
        <v>1070</v>
      </c>
      <c r="L1195" t="s">
        <v>1071</v>
      </c>
      <c r="M1195" t="s">
        <v>7910</v>
      </c>
      <c r="N1195" t="s">
        <v>7911</v>
      </c>
      <c r="O1195" t="s">
        <v>1074</v>
      </c>
      <c r="P1195" t="s">
        <v>7912</v>
      </c>
      <c r="R1195" s="7">
        <v>36818</v>
      </c>
      <c r="W1195" s="15">
        <v>6.2621111000000003</v>
      </c>
      <c r="X1195" s="15">
        <v>-75.5084722</v>
      </c>
      <c r="AF1195" t="s">
        <v>50</v>
      </c>
      <c r="AG1195" t="s">
        <v>402</v>
      </c>
      <c r="AH1195" t="s">
        <v>855</v>
      </c>
      <c r="AI1195" t="s">
        <v>7913</v>
      </c>
      <c r="AJ1195">
        <v>1278</v>
      </c>
    </row>
    <row r="1196" spans="1:36">
      <c r="A1196" t="s">
        <v>7761</v>
      </c>
      <c r="B1196" t="s">
        <v>7762</v>
      </c>
      <c r="C1196" t="s">
        <v>7916</v>
      </c>
      <c r="D1196" t="s">
        <v>7917</v>
      </c>
      <c r="E1196" t="s">
        <v>7918</v>
      </c>
      <c r="F1196">
        <v>2600</v>
      </c>
      <c r="G1196">
        <v>2600</v>
      </c>
      <c r="H1196">
        <v>2600</v>
      </c>
      <c r="I1196" t="s">
        <v>3640</v>
      </c>
      <c r="J1196" t="s">
        <v>3641</v>
      </c>
      <c r="K1196" t="s">
        <v>3642</v>
      </c>
      <c r="L1196" t="s">
        <v>3643</v>
      </c>
      <c r="M1196" t="s">
        <v>3644</v>
      </c>
      <c r="N1196" t="s">
        <v>3645</v>
      </c>
      <c r="O1196" t="s">
        <v>3646</v>
      </c>
      <c r="P1196" t="s">
        <v>3647</v>
      </c>
      <c r="R1196" s="7">
        <v>36903</v>
      </c>
      <c r="W1196" s="15">
        <v>6.2035</v>
      </c>
      <c r="X1196" s="15">
        <v>-75.487250000000003</v>
      </c>
      <c r="AF1196" t="s">
        <v>50</v>
      </c>
      <c r="AG1196" t="s">
        <v>402</v>
      </c>
      <c r="AH1196" t="s">
        <v>855</v>
      </c>
      <c r="AI1196" t="s">
        <v>7919</v>
      </c>
      <c r="AJ1196">
        <v>1279</v>
      </c>
    </row>
    <row r="1197" spans="1:36">
      <c r="A1197" t="s">
        <v>7761</v>
      </c>
      <c r="B1197" t="s">
        <v>7762</v>
      </c>
      <c r="C1197" t="s">
        <v>7920</v>
      </c>
      <c r="D1197" t="s">
        <v>7921</v>
      </c>
      <c r="E1197" t="s">
        <v>7922</v>
      </c>
      <c r="F1197">
        <v>2465</v>
      </c>
      <c r="G1197">
        <v>2465</v>
      </c>
      <c r="H1197">
        <v>2465</v>
      </c>
      <c r="I1197" t="s">
        <v>7923</v>
      </c>
      <c r="J1197" t="s">
        <v>7924</v>
      </c>
      <c r="K1197" t="s">
        <v>7925</v>
      </c>
      <c r="L1197" t="s">
        <v>7926</v>
      </c>
      <c r="M1197" t="s">
        <v>7927</v>
      </c>
      <c r="N1197" t="s">
        <v>7928</v>
      </c>
      <c r="O1197" t="s">
        <v>7929</v>
      </c>
      <c r="P1197" t="s">
        <v>7930</v>
      </c>
      <c r="R1197" s="7">
        <v>37068</v>
      </c>
      <c r="W1197" s="15">
        <v>6.2497400000000001</v>
      </c>
      <c r="X1197" s="15">
        <v>-75.485399999999998</v>
      </c>
      <c r="Y1197">
        <v>1065.097</v>
      </c>
      <c r="Z1197">
        <v>2500</v>
      </c>
      <c r="AB1197" t="s">
        <v>7931</v>
      </c>
      <c r="AF1197" t="s">
        <v>50</v>
      </c>
      <c r="AG1197" t="s">
        <v>402</v>
      </c>
      <c r="AH1197" t="s">
        <v>855</v>
      </c>
      <c r="AI1197" t="s">
        <v>7932</v>
      </c>
      <c r="AJ1197">
        <v>1280</v>
      </c>
    </row>
    <row r="1198" spans="1:36">
      <c r="A1198" t="s">
        <v>7761</v>
      </c>
      <c r="B1198" t="s">
        <v>7762</v>
      </c>
      <c r="C1198" t="s">
        <v>7933</v>
      </c>
      <c r="D1198" t="s">
        <v>7934</v>
      </c>
      <c r="E1198" t="s">
        <v>7935</v>
      </c>
      <c r="F1198">
        <v>2600</v>
      </c>
      <c r="G1198">
        <v>2600</v>
      </c>
      <c r="H1198">
        <v>2600</v>
      </c>
      <c r="I1198" t="s">
        <v>7936</v>
      </c>
      <c r="J1198" t="s">
        <v>7937</v>
      </c>
      <c r="K1198" t="s">
        <v>7938</v>
      </c>
      <c r="L1198" t="s">
        <v>7939</v>
      </c>
      <c r="M1198" t="s">
        <v>7940</v>
      </c>
      <c r="N1198" t="s">
        <v>7941</v>
      </c>
      <c r="O1198" t="s">
        <v>7942</v>
      </c>
      <c r="P1198" t="s">
        <v>7943</v>
      </c>
      <c r="R1198" s="7">
        <v>37537</v>
      </c>
      <c r="W1198" s="15">
        <v>6.5870278000000004</v>
      </c>
      <c r="X1198" s="15">
        <v>-75.696888900000005</v>
      </c>
      <c r="AF1198" t="s">
        <v>50</v>
      </c>
      <c r="AG1198" t="s">
        <v>402</v>
      </c>
      <c r="AH1198" t="s">
        <v>1710</v>
      </c>
      <c r="AI1198" t="s">
        <v>7944</v>
      </c>
      <c r="AJ1198">
        <v>1281</v>
      </c>
    </row>
    <row r="1199" spans="1:36">
      <c r="A1199" t="s">
        <v>7761</v>
      </c>
      <c r="B1199" t="s">
        <v>7762</v>
      </c>
      <c r="C1199" t="s">
        <v>7933</v>
      </c>
      <c r="D1199" t="s">
        <v>7945</v>
      </c>
      <c r="E1199" t="s">
        <v>7935</v>
      </c>
      <c r="F1199">
        <v>2600</v>
      </c>
      <c r="G1199">
        <v>2600</v>
      </c>
      <c r="H1199">
        <v>2600</v>
      </c>
      <c r="I1199" t="s">
        <v>7936</v>
      </c>
      <c r="J1199" t="s">
        <v>7937</v>
      </c>
      <c r="K1199" t="s">
        <v>7938</v>
      </c>
      <c r="L1199" t="s">
        <v>7939</v>
      </c>
      <c r="M1199" t="s">
        <v>7940</v>
      </c>
      <c r="N1199" t="s">
        <v>7941</v>
      </c>
      <c r="O1199" t="s">
        <v>7942</v>
      </c>
      <c r="P1199" t="s">
        <v>7943</v>
      </c>
      <c r="R1199" s="7">
        <v>37537</v>
      </c>
      <c r="W1199" s="15">
        <v>6.5870278000000004</v>
      </c>
      <c r="X1199" s="15">
        <v>-75.696888900000005</v>
      </c>
      <c r="AF1199" t="s">
        <v>50</v>
      </c>
      <c r="AG1199" t="s">
        <v>402</v>
      </c>
      <c r="AH1199" t="s">
        <v>1710</v>
      </c>
      <c r="AI1199" t="s">
        <v>7944</v>
      </c>
      <c r="AJ1199">
        <v>1282</v>
      </c>
    </row>
    <row r="1200" spans="1:36">
      <c r="A1200" t="s">
        <v>7761</v>
      </c>
      <c r="B1200" t="s">
        <v>7762</v>
      </c>
      <c r="C1200" t="s">
        <v>7933</v>
      </c>
      <c r="D1200" t="s">
        <v>7946</v>
      </c>
      <c r="E1200" t="s">
        <v>7935</v>
      </c>
      <c r="F1200">
        <v>2600</v>
      </c>
      <c r="G1200">
        <v>2600</v>
      </c>
      <c r="H1200">
        <v>2600</v>
      </c>
      <c r="I1200" t="s">
        <v>7936</v>
      </c>
      <c r="J1200" t="s">
        <v>7937</v>
      </c>
      <c r="K1200" t="s">
        <v>7938</v>
      </c>
      <c r="L1200" t="s">
        <v>7939</v>
      </c>
      <c r="M1200" t="s">
        <v>7940</v>
      </c>
      <c r="N1200" t="s">
        <v>7941</v>
      </c>
      <c r="O1200" t="s">
        <v>7942</v>
      </c>
      <c r="P1200" t="s">
        <v>7943</v>
      </c>
      <c r="R1200" s="7">
        <v>37537</v>
      </c>
      <c r="T1200" t="s">
        <v>119</v>
      </c>
      <c r="W1200" s="15">
        <v>6.5870278000000004</v>
      </c>
      <c r="X1200" s="15">
        <v>-75.696888900000005</v>
      </c>
      <c r="AF1200" t="s">
        <v>50</v>
      </c>
      <c r="AG1200" t="s">
        <v>402</v>
      </c>
      <c r="AH1200" t="s">
        <v>1710</v>
      </c>
      <c r="AI1200" t="s">
        <v>7944</v>
      </c>
      <c r="AJ1200">
        <v>1283</v>
      </c>
    </row>
    <row r="1201" spans="1:36">
      <c r="A1201" t="s">
        <v>7761</v>
      </c>
      <c r="B1201" t="s">
        <v>7762</v>
      </c>
      <c r="C1201" t="s">
        <v>7947</v>
      </c>
      <c r="D1201" t="s">
        <v>7948</v>
      </c>
      <c r="E1201" t="s">
        <v>7949</v>
      </c>
      <c r="F1201">
        <v>2500</v>
      </c>
      <c r="G1201">
        <v>2500</v>
      </c>
      <c r="H1201">
        <v>2500</v>
      </c>
      <c r="I1201" t="s">
        <v>4595</v>
      </c>
      <c r="J1201" t="s">
        <v>974</v>
      </c>
      <c r="K1201" t="s">
        <v>4596</v>
      </c>
      <c r="L1201" t="s">
        <v>975</v>
      </c>
      <c r="M1201" t="s">
        <v>976</v>
      </c>
      <c r="N1201" t="s">
        <v>977</v>
      </c>
      <c r="O1201" t="s">
        <v>978</v>
      </c>
      <c r="P1201" t="s">
        <v>979</v>
      </c>
      <c r="R1201" s="7">
        <v>37667</v>
      </c>
      <c r="T1201" t="s">
        <v>119</v>
      </c>
      <c r="W1201" s="15">
        <v>6.2133333000000004</v>
      </c>
      <c r="X1201" s="15">
        <v>-75.492277799999997</v>
      </c>
      <c r="AF1201" t="s">
        <v>50</v>
      </c>
      <c r="AG1201" t="s">
        <v>402</v>
      </c>
      <c r="AH1201" t="s">
        <v>855</v>
      </c>
      <c r="AI1201" t="s">
        <v>7950</v>
      </c>
      <c r="AJ1201">
        <v>1284</v>
      </c>
    </row>
    <row r="1202" spans="1:36">
      <c r="A1202" t="s">
        <v>7761</v>
      </c>
      <c r="B1202" t="s">
        <v>7762</v>
      </c>
      <c r="C1202" t="s">
        <v>7951</v>
      </c>
      <c r="D1202" t="s">
        <v>7952</v>
      </c>
      <c r="E1202" t="s">
        <v>7953</v>
      </c>
      <c r="F1202">
        <v>2800</v>
      </c>
      <c r="G1202">
        <v>2800</v>
      </c>
      <c r="H1202">
        <v>2800</v>
      </c>
      <c r="P1202" t="s">
        <v>80</v>
      </c>
      <c r="R1202" s="7">
        <v>37878</v>
      </c>
      <c r="T1202" t="s">
        <v>111</v>
      </c>
      <c r="W1202" s="15">
        <v>4.9910800000000002</v>
      </c>
      <c r="X1202" s="15">
        <v>-74.138339999999999</v>
      </c>
      <c r="Y1202">
        <v>1133.2280000000001</v>
      </c>
      <c r="Z1202">
        <v>2699</v>
      </c>
      <c r="AB1202" t="s">
        <v>7954</v>
      </c>
      <c r="AF1202" t="s">
        <v>50</v>
      </c>
      <c r="AG1202" t="s">
        <v>98</v>
      </c>
      <c r="AH1202" t="s">
        <v>4947</v>
      </c>
      <c r="AI1202" t="s">
        <v>7955</v>
      </c>
      <c r="AJ1202">
        <v>1285</v>
      </c>
    </row>
    <row r="1203" spans="1:36">
      <c r="A1203" t="s">
        <v>7761</v>
      </c>
      <c r="B1203" t="s">
        <v>7762</v>
      </c>
      <c r="C1203" t="s">
        <v>7956</v>
      </c>
      <c r="D1203" t="s">
        <v>7957</v>
      </c>
      <c r="E1203" t="s">
        <v>7958</v>
      </c>
      <c r="F1203" t="s">
        <v>1025</v>
      </c>
      <c r="G1203">
        <v>2150</v>
      </c>
      <c r="H1203">
        <v>2250</v>
      </c>
      <c r="I1203" t="s">
        <v>4614</v>
      </c>
      <c r="J1203" t="s">
        <v>4615</v>
      </c>
      <c r="K1203" t="s">
        <v>4616</v>
      </c>
      <c r="L1203" t="s">
        <v>4617</v>
      </c>
      <c r="M1203" t="s">
        <v>4618</v>
      </c>
      <c r="N1203" t="s">
        <v>4619</v>
      </c>
      <c r="O1203" t="s">
        <v>2603</v>
      </c>
      <c r="P1203" t="s">
        <v>4620</v>
      </c>
      <c r="R1203" s="7">
        <v>38342</v>
      </c>
      <c r="W1203" s="15">
        <v>5.9886499999999998</v>
      </c>
      <c r="X1203" s="15">
        <v>-75.633629999999997</v>
      </c>
      <c r="Y1203">
        <v>1605.1479999999999</v>
      </c>
      <c r="Z1203">
        <v>1982</v>
      </c>
      <c r="AB1203" t="s">
        <v>7959</v>
      </c>
      <c r="AF1203" t="s">
        <v>50</v>
      </c>
      <c r="AG1203" t="s">
        <v>402</v>
      </c>
      <c r="AH1203" t="s">
        <v>7960</v>
      </c>
      <c r="AI1203" t="s">
        <v>7961</v>
      </c>
      <c r="AJ1203">
        <v>1286</v>
      </c>
    </row>
    <row r="1204" spans="1:36">
      <c r="A1204" t="s">
        <v>7761</v>
      </c>
      <c r="B1204" t="s">
        <v>7762</v>
      </c>
      <c r="C1204" t="s">
        <v>7962</v>
      </c>
      <c r="D1204" t="s">
        <v>7963</v>
      </c>
      <c r="E1204" t="s">
        <v>7964</v>
      </c>
      <c r="F1204">
        <v>2725</v>
      </c>
      <c r="G1204">
        <v>2725</v>
      </c>
      <c r="H1204">
        <v>2725</v>
      </c>
      <c r="I1204" t="s">
        <v>5811</v>
      </c>
      <c r="J1204" t="s">
        <v>5812</v>
      </c>
      <c r="K1204" t="s">
        <v>5813</v>
      </c>
      <c r="L1204" t="s">
        <v>5814</v>
      </c>
      <c r="M1204" t="s">
        <v>5815</v>
      </c>
      <c r="N1204" t="s">
        <v>5816</v>
      </c>
      <c r="O1204" t="s">
        <v>5817</v>
      </c>
      <c r="P1204" t="s">
        <v>5818</v>
      </c>
      <c r="R1204" s="7">
        <v>39016</v>
      </c>
      <c r="W1204" s="15">
        <v>6.2546472</v>
      </c>
      <c r="X1204" s="15">
        <v>-75.711386099999999</v>
      </c>
      <c r="AF1204" t="s">
        <v>50</v>
      </c>
      <c r="AG1204" t="s">
        <v>402</v>
      </c>
      <c r="AH1204" t="s">
        <v>855</v>
      </c>
      <c r="AI1204" t="s">
        <v>7965</v>
      </c>
      <c r="AJ1204">
        <v>1287</v>
      </c>
    </row>
    <row r="1205" spans="1:36">
      <c r="A1205" t="s">
        <v>7761</v>
      </c>
      <c r="B1205" t="s">
        <v>7762</v>
      </c>
      <c r="C1205" t="s">
        <v>7966</v>
      </c>
      <c r="D1205" t="s">
        <v>7967</v>
      </c>
      <c r="E1205" t="s">
        <v>7968</v>
      </c>
      <c r="F1205">
        <v>2725</v>
      </c>
      <c r="G1205">
        <v>2725</v>
      </c>
      <c r="H1205">
        <v>2725</v>
      </c>
      <c r="I1205" t="s">
        <v>7969</v>
      </c>
      <c r="J1205" t="s">
        <v>7970</v>
      </c>
      <c r="K1205" t="s">
        <v>7971</v>
      </c>
      <c r="L1205" t="s">
        <v>7972</v>
      </c>
      <c r="M1205" t="s">
        <v>7973</v>
      </c>
      <c r="N1205" t="s">
        <v>7974</v>
      </c>
      <c r="O1205" t="s">
        <v>7975</v>
      </c>
      <c r="P1205" t="s">
        <v>7976</v>
      </c>
      <c r="R1205" s="7">
        <v>39017</v>
      </c>
      <c r="W1205" s="15">
        <v>6.2509610999999996</v>
      </c>
      <c r="X1205" s="15">
        <v>-75.7125111</v>
      </c>
      <c r="AF1205" t="s">
        <v>50</v>
      </c>
      <c r="AG1205" t="s">
        <v>402</v>
      </c>
      <c r="AH1205" t="s">
        <v>855</v>
      </c>
      <c r="AI1205" t="s">
        <v>7977</v>
      </c>
      <c r="AJ1205">
        <v>1288</v>
      </c>
    </row>
    <row r="1206" spans="1:36">
      <c r="A1206" t="s">
        <v>7761</v>
      </c>
      <c r="B1206" t="s">
        <v>7762</v>
      </c>
      <c r="C1206" t="s">
        <v>7978</v>
      </c>
      <c r="D1206" t="s">
        <v>7979</v>
      </c>
      <c r="E1206" t="s">
        <v>7980</v>
      </c>
      <c r="F1206">
        <v>1950</v>
      </c>
      <c r="G1206">
        <v>1950</v>
      </c>
      <c r="H1206">
        <v>1950</v>
      </c>
      <c r="I1206" t="s">
        <v>7981</v>
      </c>
      <c r="J1206" t="s">
        <v>7982</v>
      </c>
      <c r="K1206" t="s">
        <v>7983</v>
      </c>
      <c r="L1206" t="s">
        <v>7984</v>
      </c>
      <c r="M1206" t="s">
        <v>7985</v>
      </c>
      <c r="N1206" t="s">
        <v>7986</v>
      </c>
      <c r="O1206" t="s">
        <v>7987</v>
      </c>
      <c r="P1206" t="s">
        <v>7988</v>
      </c>
      <c r="R1206" s="7">
        <v>39022</v>
      </c>
      <c r="W1206" s="15">
        <v>2.5450832999999999</v>
      </c>
      <c r="X1206" s="15">
        <v>-75.808374999999998</v>
      </c>
      <c r="AF1206" t="s">
        <v>50</v>
      </c>
      <c r="AG1206" t="s">
        <v>51</v>
      </c>
      <c r="AH1206" t="s">
        <v>2951</v>
      </c>
      <c r="AI1206" t="s">
        <v>7989</v>
      </c>
      <c r="AJ1206">
        <v>1289</v>
      </c>
    </row>
    <row r="1207" spans="1:36">
      <c r="A1207" t="s">
        <v>7761</v>
      </c>
      <c r="B1207" t="s">
        <v>7762</v>
      </c>
      <c r="C1207" t="s">
        <v>7990</v>
      </c>
      <c r="D1207" t="s">
        <v>7991</v>
      </c>
      <c r="E1207" t="s">
        <v>7992</v>
      </c>
      <c r="F1207">
        <v>2430</v>
      </c>
      <c r="G1207">
        <v>2430</v>
      </c>
      <c r="H1207">
        <v>2430</v>
      </c>
      <c r="I1207" t="s">
        <v>3600</v>
      </c>
      <c r="J1207" t="s">
        <v>3601</v>
      </c>
      <c r="K1207" t="s">
        <v>3602</v>
      </c>
      <c r="L1207" t="s">
        <v>3603</v>
      </c>
      <c r="M1207" t="s">
        <v>3604</v>
      </c>
      <c r="N1207" t="s">
        <v>2647</v>
      </c>
      <c r="O1207" t="s">
        <v>2648</v>
      </c>
      <c r="P1207" t="s">
        <v>2649</v>
      </c>
      <c r="R1207" s="7">
        <v>39029</v>
      </c>
      <c r="W1207" s="15">
        <v>6.2110278000000001</v>
      </c>
      <c r="X1207" s="15">
        <v>-75.655138899999997</v>
      </c>
      <c r="AF1207" t="s">
        <v>50</v>
      </c>
      <c r="AG1207" t="s">
        <v>402</v>
      </c>
      <c r="AH1207" t="s">
        <v>855</v>
      </c>
      <c r="AI1207" t="s">
        <v>7993</v>
      </c>
      <c r="AJ1207">
        <v>1290</v>
      </c>
    </row>
    <row r="1208" spans="1:36">
      <c r="A1208" t="s">
        <v>7761</v>
      </c>
      <c r="B1208" t="s">
        <v>7762</v>
      </c>
      <c r="C1208" t="s">
        <v>7994</v>
      </c>
      <c r="D1208" t="s">
        <v>1820</v>
      </c>
      <c r="E1208" t="s">
        <v>7995</v>
      </c>
      <c r="F1208">
        <v>2147</v>
      </c>
      <c r="G1208">
        <v>2147</v>
      </c>
      <c r="H1208">
        <v>2147</v>
      </c>
      <c r="I1208" t="s">
        <v>4066</v>
      </c>
      <c r="J1208" t="s">
        <v>4067</v>
      </c>
      <c r="K1208" t="s">
        <v>5001</v>
      </c>
      <c r="L1208" t="s">
        <v>5002</v>
      </c>
      <c r="M1208" t="s">
        <v>7996</v>
      </c>
      <c r="N1208" t="s">
        <v>7997</v>
      </c>
      <c r="O1208" t="s">
        <v>294</v>
      </c>
      <c r="P1208" t="s">
        <v>7998</v>
      </c>
      <c r="R1208" s="7">
        <v>39995</v>
      </c>
      <c r="T1208" t="s">
        <v>119</v>
      </c>
      <c r="W1208" s="15">
        <v>1.9998610999999999</v>
      </c>
      <c r="X1208" s="15">
        <v>-76.285502800000003</v>
      </c>
      <c r="AF1208" t="s">
        <v>50</v>
      </c>
      <c r="AG1208" t="s">
        <v>51</v>
      </c>
      <c r="AH1208" t="s">
        <v>52</v>
      </c>
      <c r="AI1208" t="s">
        <v>7999</v>
      </c>
      <c r="AJ1208">
        <v>1291</v>
      </c>
    </row>
    <row r="1209" spans="1:36">
      <c r="A1209" t="s">
        <v>7761</v>
      </c>
      <c r="B1209" t="s">
        <v>7762</v>
      </c>
      <c r="C1209" t="s">
        <v>8000</v>
      </c>
      <c r="D1209" t="s">
        <v>1820</v>
      </c>
      <c r="E1209" t="s">
        <v>8001</v>
      </c>
      <c r="F1209">
        <v>1925</v>
      </c>
      <c r="G1209">
        <v>1925</v>
      </c>
      <c r="H1209">
        <v>1925</v>
      </c>
      <c r="I1209" t="s">
        <v>5007</v>
      </c>
      <c r="J1209" t="s">
        <v>5008</v>
      </c>
      <c r="K1209" t="s">
        <v>5009</v>
      </c>
      <c r="L1209" t="s">
        <v>5010</v>
      </c>
      <c r="M1209" t="s">
        <v>5011</v>
      </c>
      <c r="N1209" t="s">
        <v>2958</v>
      </c>
      <c r="O1209" t="s">
        <v>329</v>
      </c>
      <c r="P1209" t="s">
        <v>2959</v>
      </c>
      <c r="R1209" s="7">
        <v>40022</v>
      </c>
      <c r="T1209" t="s">
        <v>119</v>
      </c>
      <c r="W1209" s="15">
        <v>1.7689805999999999</v>
      </c>
      <c r="X1209" s="15">
        <v>-76.018733299999994</v>
      </c>
      <c r="AF1209" t="s">
        <v>50</v>
      </c>
      <c r="AG1209" t="s">
        <v>51</v>
      </c>
      <c r="AH1209" t="s">
        <v>140</v>
      </c>
      <c r="AI1209" t="s">
        <v>8002</v>
      </c>
      <c r="AJ1209">
        <v>1292</v>
      </c>
    </row>
    <row r="1210" spans="1:36">
      <c r="A1210" t="s">
        <v>7761</v>
      </c>
      <c r="B1210" t="s">
        <v>7762</v>
      </c>
      <c r="C1210" t="s">
        <v>8003</v>
      </c>
      <c r="D1210" t="s">
        <v>8004</v>
      </c>
      <c r="E1210" t="s">
        <v>8005</v>
      </c>
      <c r="F1210">
        <v>1850</v>
      </c>
      <c r="G1210">
        <v>1850</v>
      </c>
      <c r="H1210">
        <v>1850</v>
      </c>
      <c r="I1210" t="s">
        <v>8006</v>
      </c>
      <c r="J1210" t="s">
        <v>529</v>
      </c>
      <c r="K1210" t="s">
        <v>6237</v>
      </c>
      <c r="L1210" t="s">
        <v>3682</v>
      </c>
      <c r="M1210" t="s">
        <v>8007</v>
      </c>
      <c r="N1210" t="s">
        <v>532</v>
      </c>
      <c r="O1210" t="s">
        <v>2365</v>
      </c>
      <c r="P1210" t="s">
        <v>2366</v>
      </c>
      <c r="R1210" s="7">
        <v>33172</v>
      </c>
      <c r="T1210" t="s">
        <v>119</v>
      </c>
      <c r="W1210" s="15">
        <v>6.3112199999999996</v>
      </c>
      <c r="X1210" s="15">
        <v>-75.146090000000001</v>
      </c>
      <c r="Y1210">
        <v>2681.63</v>
      </c>
      <c r="Z1210">
        <v>1854</v>
      </c>
      <c r="AB1210" t="s">
        <v>2229</v>
      </c>
      <c r="AF1210" t="s">
        <v>50</v>
      </c>
      <c r="AG1210" t="s">
        <v>402</v>
      </c>
      <c r="AH1210" t="s">
        <v>2230</v>
      </c>
      <c r="AI1210" t="s">
        <v>8008</v>
      </c>
      <c r="AJ1210">
        <v>1293</v>
      </c>
    </row>
    <row r="1211" spans="1:36">
      <c r="A1211" t="s">
        <v>7761</v>
      </c>
      <c r="B1211" t="s">
        <v>7762</v>
      </c>
      <c r="C1211" t="s">
        <v>8009</v>
      </c>
      <c r="D1211" t="s">
        <v>8010</v>
      </c>
      <c r="E1211" t="s">
        <v>8011</v>
      </c>
      <c r="F1211" t="s">
        <v>8012</v>
      </c>
      <c r="G1211">
        <v>2300</v>
      </c>
      <c r="H1211">
        <v>2000</v>
      </c>
      <c r="P1211" t="s">
        <v>80</v>
      </c>
      <c r="R1211" s="7">
        <v>25914</v>
      </c>
      <c r="T1211" t="s">
        <v>119</v>
      </c>
      <c r="W1211" s="15">
        <v>5.6283099999999999</v>
      </c>
      <c r="X1211" s="15">
        <v>-73.902479999999997</v>
      </c>
      <c r="Y1211">
        <v>2202.0929999999998</v>
      </c>
      <c r="Z1211">
        <v>2286</v>
      </c>
      <c r="AB1211" t="s">
        <v>112</v>
      </c>
      <c r="AF1211" t="s">
        <v>50</v>
      </c>
      <c r="AG1211" t="s">
        <v>90</v>
      </c>
      <c r="AH1211" t="s">
        <v>8013</v>
      </c>
      <c r="AI1211" t="s">
        <v>8014</v>
      </c>
      <c r="AJ1211">
        <v>1294</v>
      </c>
    </row>
    <row r="1212" spans="1:36">
      <c r="A1212" t="s">
        <v>1434</v>
      </c>
      <c r="B1212" t="s">
        <v>1435</v>
      </c>
      <c r="C1212" t="s">
        <v>8015</v>
      </c>
      <c r="D1212" t="s">
        <v>8016</v>
      </c>
      <c r="E1212" t="s">
        <v>8017</v>
      </c>
      <c r="F1212" t="s">
        <v>1445</v>
      </c>
      <c r="G1212">
        <v>2700</v>
      </c>
      <c r="H1212">
        <v>2800</v>
      </c>
      <c r="J1212" s="9"/>
      <c r="R1212" s="7">
        <v>42420</v>
      </c>
      <c r="W1212" s="15">
        <v>1.8788889</v>
      </c>
      <c r="X1212" s="15">
        <v>-75.682777799999997</v>
      </c>
    </row>
    <row r="1213" spans="1:36">
      <c r="A1213" t="s">
        <v>1434</v>
      </c>
      <c r="B1213" t="s">
        <v>1435</v>
      </c>
      <c r="C1213" t="s">
        <v>8018</v>
      </c>
      <c r="D1213" t="s">
        <v>6017</v>
      </c>
      <c r="E1213" t="s">
        <v>8019</v>
      </c>
      <c r="F1213">
        <v>2190</v>
      </c>
      <c r="R1213" s="7">
        <v>42461</v>
      </c>
      <c r="W1213" s="15">
        <v>1.7697221999999999</v>
      </c>
      <c r="X1213" s="15">
        <v>-75.777088899999995</v>
      </c>
    </row>
    <row r="1214" spans="1:36">
      <c r="A1214" t="s">
        <v>1170</v>
      </c>
      <c r="B1214" t="s">
        <v>1171</v>
      </c>
      <c r="C1214" t="s">
        <v>8020</v>
      </c>
      <c r="D1214" t="s">
        <v>6008</v>
      </c>
      <c r="E1214" t="s">
        <v>8021</v>
      </c>
      <c r="F1214">
        <v>1570</v>
      </c>
      <c r="I1214" s="5" t="s">
        <v>8022</v>
      </c>
      <c r="J1214" s="5" t="s">
        <v>8023</v>
      </c>
      <c r="R1214" s="7">
        <v>33890</v>
      </c>
      <c r="W1214" s="15">
        <v>5.5282099999999996</v>
      </c>
      <c r="X1214" s="15">
        <v>-75.030659999999997</v>
      </c>
      <c r="Y1214" t="s">
        <v>8024</v>
      </c>
      <c r="Z1214">
        <v>1416</v>
      </c>
    </row>
    <row r="1215" spans="1:36">
      <c r="A1215" t="s">
        <v>1389</v>
      </c>
      <c r="B1215" t="s">
        <v>1390</v>
      </c>
      <c r="C1215" t="s">
        <v>8025</v>
      </c>
      <c r="D1215" t="s">
        <v>6017</v>
      </c>
      <c r="E1215" t="s">
        <v>8026</v>
      </c>
      <c r="F1215">
        <v>700</v>
      </c>
      <c r="R1215" s="7">
        <v>16316</v>
      </c>
      <c r="W1215" s="15"/>
      <c r="X1215" s="15"/>
    </row>
    <row r="1216" spans="1:36" ht="10.5" customHeight="1">
      <c r="A1216" t="s">
        <v>1389</v>
      </c>
      <c r="B1216" t="s">
        <v>1390</v>
      </c>
      <c r="C1216" t="s">
        <v>8027</v>
      </c>
      <c r="D1216" t="s">
        <v>8028</v>
      </c>
      <c r="E1216" t="s">
        <v>8029</v>
      </c>
      <c r="R1216" s="7">
        <v>367</v>
      </c>
      <c r="W1216" s="15"/>
      <c r="X1216" s="15"/>
    </row>
    <row r="1217" spans="1:28">
      <c r="A1217" t="s">
        <v>1389</v>
      </c>
      <c r="B1217" t="s">
        <v>1390</v>
      </c>
      <c r="C1217" t="s">
        <v>8030</v>
      </c>
      <c r="D1217" t="s">
        <v>8031</v>
      </c>
      <c r="E1217" t="s">
        <v>8032</v>
      </c>
      <c r="F1217">
        <v>360</v>
      </c>
      <c r="R1217" s="7">
        <v>42663</v>
      </c>
      <c r="W1217" s="15">
        <v>2.3623110999999999</v>
      </c>
      <c r="X1217" s="16">
        <v>-72.826008299999998</v>
      </c>
    </row>
    <row r="1218" spans="1:28">
      <c r="A1218" t="s">
        <v>1389</v>
      </c>
      <c r="B1218" t="s">
        <v>1390</v>
      </c>
      <c r="C1218" t="s">
        <v>8033</v>
      </c>
      <c r="D1218" t="s">
        <v>8034</v>
      </c>
      <c r="E1218" t="s">
        <v>8035</v>
      </c>
      <c r="F1218">
        <v>360</v>
      </c>
      <c r="P1218" t="s">
        <v>8036</v>
      </c>
      <c r="R1218" s="7">
        <v>38281</v>
      </c>
      <c r="W1218" s="15">
        <v>2.2248600000000001</v>
      </c>
      <c r="X1218" s="15">
        <v>-73.804609999999997</v>
      </c>
      <c r="Y1218" t="s">
        <v>8037</v>
      </c>
      <c r="Z1218">
        <v>352</v>
      </c>
      <c r="AB1218" t="s">
        <v>8034</v>
      </c>
    </row>
    <row r="1219" spans="1:28">
      <c r="A1219" t="s">
        <v>1389</v>
      </c>
      <c r="B1219" t="s">
        <v>1390</v>
      </c>
      <c r="C1219" t="s">
        <v>8038</v>
      </c>
      <c r="D1219" t="s">
        <v>8039</v>
      </c>
      <c r="E1219" t="s">
        <v>8040</v>
      </c>
      <c r="F1219">
        <v>310</v>
      </c>
      <c r="R1219" s="7">
        <v>42938</v>
      </c>
      <c r="W1219" s="15">
        <v>2.5308332999999998</v>
      </c>
      <c r="X1219" s="15">
        <v>-72.810833299999999</v>
      </c>
    </row>
    <row r="1220" spans="1:28">
      <c r="A1220" t="s">
        <v>1389</v>
      </c>
      <c r="B1220" t="s">
        <v>1390</v>
      </c>
      <c r="C1220" t="s">
        <v>8041</v>
      </c>
      <c r="D1220" t="s">
        <v>8042</v>
      </c>
      <c r="E1220" t="s">
        <v>8043</v>
      </c>
      <c r="F1220">
        <v>201</v>
      </c>
      <c r="W1220" s="15">
        <v>3.9011550000000002</v>
      </c>
      <c r="X1220" s="15">
        <v>-73.073369</v>
      </c>
    </row>
    <row r="1221" spans="1:28" ht="11.55" customHeight="1">
      <c r="A1221" t="s">
        <v>1283</v>
      </c>
      <c r="B1221" t="s">
        <v>1284</v>
      </c>
      <c r="C1221" t="s">
        <v>8044</v>
      </c>
      <c r="D1221" t="s">
        <v>6017</v>
      </c>
      <c r="E1221" s="10" t="s">
        <v>8045</v>
      </c>
      <c r="F1221">
        <v>1285</v>
      </c>
      <c r="R1221" s="7">
        <v>42293</v>
      </c>
      <c r="W1221" s="15">
        <v>1.7472221999999999</v>
      </c>
      <c r="X1221" s="15">
        <v>-75.678333300000006</v>
      </c>
    </row>
    <row r="1222" spans="1:28">
      <c r="A1222" t="s">
        <v>5576</v>
      </c>
      <c r="B1222" t="s">
        <v>5577</v>
      </c>
      <c r="C1222" t="s">
        <v>8046</v>
      </c>
      <c r="D1222" t="s">
        <v>8047</v>
      </c>
      <c r="E1222" t="s">
        <v>8048</v>
      </c>
      <c r="F1222" t="s">
        <v>685</v>
      </c>
      <c r="G1222">
        <v>1800</v>
      </c>
      <c r="H1222">
        <v>1850</v>
      </c>
      <c r="R1222" s="7">
        <v>33006</v>
      </c>
      <c r="W1222" s="15">
        <v>1.1000000000000001</v>
      </c>
      <c r="X1222" s="17">
        <v>-77.883333300000004</v>
      </c>
    </row>
    <row r="1223" spans="1:28">
      <c r="A1223" t="s">
        <v>7690</v>
      </c>
      <c r="B1223" t="s">
        <v>7691</v>
      </c>
      <c r="C1223" t="s">
        <v>8049</v>
      </c>
      <c r="D1223" t="s">
        <v>8050</v>
      </c>
      <c r="E1223" t="s">
        <v>8051</v>
      </c>
      <c r="G1223">
        <v>250</v>
      </c>
      <c r="H1223">
        <v>300</v>
      </c>
      <c r="R1223" s="7">
        <v>27959</v>
      </c>
      <c r="W1223" s="15">
        <v>8.1199999999999992</v>
      </c>
      <c r="X1223" s="15">
        <v>-77.133611099999996</v>
      </c>
    </row>
    <row r="1224" spans="1:28">
      <c r="A1224" t="s">
        <v>7690</v>
      </c>
      <c r="B1224" t="s">
        <v>7691</v>
      </c>
      <c r="C1224" t="s">
        <v>8052</v>
      </c>
      <c r="D1224" t="s">
        <v>8050</v>
      </c>
      <c r="E1224" t="s">
        <v>8053</v>
      </c>
      <c r="F1224">
        <v>500</v>
      </c>
      <c r="R1224" s="7">
        <v>32733</v>
      </c>
      <c r="W1224" s="15">
        <v>7.1177777999999998</v>
      </c>
      <c r="X1224" s="15">
        <v>-74.268333299999995</v>
      </c>
    </row>
  </sheetData>
  <autoFilter ref="A1:AK1224" xr:uid="{00000000-0001-0000-0000-000000000000}"/>
  <conditionalFormatting sqref="E1217:E1220 E1222 D1045:D1224 D1226:D1048576 D1:D1043 E921">
    <cfRule type="duplicateValues" dxfId="444" priority="481"/>
  </conditionalFormatting>
  <conditionalFormatting sqref="AB4">
    <cfRule type="duplicateValues" dxfId="443" priority="137"/>
  </conditionalFormatting>
  <conditionalFormatting sqref="AB8">
    <cfRule type="duplicateValues" dxfId="442" priority="135"/>
  </conditionalFormatting>
  <conditionalFormatting sqref="AB12">
    <cfRule type="duplicateValues" dxfId="441" priority="133"/>
  </conditionalFormatting>
  <conditionalFormatting sqref="AB13">
    <cfRule type="duplicateValues" dxfId="440" priority="132"/>
  </conditionalFormatting>
  <conditionalFormatting sqref="AB14:AB15">
    <cfRule type="duplicateValues" dxfId="439" priority="131"/>
  </conditionalFormatting>
  <conditionalFormatting sqref="AB16">
    <cfRule type="duplicateValues" dxfId="438" priority="130"/>
  </conditionalFormatting>
  <conditionalFormatting sqref="AB17">
    <cfRule type="duplicateValues" dxfId="437" priority="129"/>
  </conditionalFormatting>
  <conditionalFormatting sqref="AB18">
    <cfRule type="duplicateValues" dxfId="436" priority="127"/>
  </conditionalFormatting>
  <conditionalFormatting sqref="AB19">
    <cfRule type="duplicateValues" dxfId="435" priority="128"/>
  </conditionalFormatting>
  <conditionalFormatting sqref="AB26">
    <cfRule type="duplicateValues" dxfId="434" priority="126"/>
  </conditionalFormatting>
  <conditionalFormatting sqref="AB30:AB31">
    <cfRule type="duplicateValues" dxfId="433" priority="125"/>
  </conditionalFormatting>
  <conditionalFormatting sqref="AB77">
    <cfRule type="duplicateValues" dxfId="432" priority="124"/>
  </conditionalFormatting>
  <conditionalFormatting sqref="AB78:AB79">
    <cfRule type="duplicateValues" dxfId="431" priority="123"/>
  </conditionalFormatting>
  <conditionalFormatting sqref="AB93">
    <cfRule type="duplicateValues" dxfId="430" priority="122"/>
  </conditionalFormatting>
  <conditionalFormatting sqref="AB100">
    <cfRule type="duplicateValues" dxfId="429" priority="121"/>
  </conditionalFormatting>
  <conditionalFormatting sqref="AB101">
    <cfRule type="duplicateValues" dxfId="428" priority="120"/>
  </conditionalFormatting>
  <conditionalFormatting sqref="AB103">
    <cfRule type="duplicateValues" dxfId="427" priority="119"/>
  </conditionalFormatting>
  <conditionalFormatting sqref="AB119:AB121">
    <cfRule type="duplicateValues" dxfId="426" priority="118"/>
  </conditionalFormatting>
  <conditionalFormatting sqref="AB123">
    <cfRule type="duplicateValues" dxfId="425" priority="117"/>
  </conditionalFormatting>
  <conditionalFormatting sqref="AB132">
    <cfRule type="duplicateValues" dxfId="424" priority="480"/>
  </conditionalFormatting>
  <conditionalFormatting sqref="AB146">
    <cfRule type="duplicateValues" dxfId="423" priority="116"/>
  </conditionalFormatting>
  <conditionalFormatting sqref="AB172">
    <cfRule type="duplicateValues" dxfId="422" priority="115"/>
  </conditionalFormatting>
  <conditionalFormatting sqref="AB174">
    <cfRule type="duplicateValues" dxfId="421" priority="114"/>
  </conditionalFormatting>
  <conditionalFormatting sqref="AB177">
    <cfRule type="duplicateValues" dxfId="420" priority="113"/>
  </conditionalFormatting>
  <conditionalFormatting sqref="AB178">
    <cfRule type="duplicateValues" dxfId="419" priority="112"/>
  </conditionalFormatting>
  <conditionalFormatting sqref="AB183">
    <cfRule type="duplicateValues" dxfId="418" priority="479"/>
  </conditionalFormatting>
  <conditionalFormatting sqref="AB184">
    <cfRule type="duplicateValues" dxfId="417" priority="111"/>
  </conditionalFormatting>
  <conditionalFormatting sqref="AB194">
    <cfRule type="duplicateValues" dxfId="416" priority="478"/>
  </conditionalFormatting>
  <conditionalFormatting sqref="AB201">
    <cfRule type="duplicateValues" dxfId="415" priority="477"/>
  </conditionalFormatting>
  <conditionalFormatting sqref="AB202:AB209">
    <cfRule type="duplicateValues" dxfId="414" priority="494"/>
  </conditionalFormatting>
  <conditionalFormatting sqref="AB210">
    <cfRule type="duplicateValues" dxfId="413" priority="476"/>
  </conditionalFormatting>
  <conditionalFormatting sqref="AB212">
    <cfRule type="duplicateValues" dxfId="412" priority="107"/>
  </conditionalFormatting>
  <conditionalFormatting sqref="AB213 AB211">
    <cfRule type="duplicateValues" dxfId="411" priority="475"/>
  </conditionalFormatting>
  <conditionalFormatting sqref="AB214">
    <cfRule type="duplicateValues" dxfId="410" priority="474"/>
  </conditionalFormatting>
  <conditionalFormatting sqref="AB215:AB217">
    <cfRule type="duplicateValues" dxfId="409" priority="106"/>
  </conditionalFormatting>
  <conditionalFormatting sqref="AB218:AB224">
    <cfRule type="duplicateValues" dxfId="408" priority="489"/>
  </conditionalFormatting>
  <conditionalFormatting sqref="AB225:AB227">
    <cfRule type="duplicateValues" dxfId="407" priority="485"/>
  </conditionalFormatting>
  <conditionalFormatting sqref="AB230:AB233">
    <cfRule type="duplicateValues" dxfId="406" priority="103"/>
  </conditionalFormatting>
  <conditionalFormatting sqref="AB234">
    <cfRule type="duplicateValues" dxfId="405" priority="101"/>
  </conditionalFormatting>
  <conditionalFormatting sqref="AB235">
    <cfRule type="duplicateValues" dxfId="404" priority="102"/>
  </conditionalFormatting>
  <conditionalFormatting sqref="AB252">
    <cfRule type="duplicateValues" dxfId="403" priority="100"/>
  </conditionalFormatting>
  <conditionalFormatting sqref="AB253">
    <cfRule type="duplicateValues" dxfId="402" priority="472"/>
  </conditionalFormatting>
  <conditionalFormatting sqref="AB254:AB255">
    <cfRule type="duplicateValues" dxfId="401" priority="99"/>
  </conditionalFormatting>
  <conditionalFormatting sqref="AB265">
    <cfRule type="duplicateValues" dxfId="400" priority="98"/>
  </conditionalFormatting>
  <conditionalFormatting sqref="AB271">
    <cfRule type="duplicateValues" dxfId="399" priority="471"/>
  </conditionalFormatting>
  <conditionalFormatting sqref="AB283">
    <cfRule type="duplicateValues" dxfId="398" priority="97"/>
  </conditionalFormatting>
  <conditionalFormatting sqref="AB285">
    <cfRule type="duplicateValues" dxfId="397" priority="96"/>
  </conditionalFormatting>
  <conditionalFormatting sqref="AB305">
    <cfRule type="duplicateValues" dxfId="396" priority="95"/>
  </conditionalFormatting>
  <conditionalFormatting sqref="AB306">
    <cfRule type="duplicateValues" dxfId="395" priority="94"/>
  </conditionalFormatting>
  <conditionalFormatting sqref="AB307">
    <cfRule type="duplicateValues" dxfId="394" priority="93"/>
  </conditionalFormatting>
  <conditionalFormatting sqref="AB315">
    <cfRule type="duplicateValues" dxfId="393" priority="469"/>
  </conditionalFormatting>
  <conditionalFormatting sqref="AB316">
    <cfRule type="duplicateValues" dxfId="392" priority="5"/>
  </conditionalFormatting>
  <conditionalFormatting sqref="AB319">
    <cfRule type="duplicateValues" dxfId="391" priority="92"/>
  </conditionalFormatting>
  <conditionalFormatting sqref="AB320">
    <cfRule type="duplicateValues" dxfId="390" priority="91"/>
  </conditionalFormatting>
  <conditionalFormatting sqref="AB323">
    <cfRule type="duplicateValues" dxfId="389" priority="468"/>
  </conditionalFormatting>
  <conditionalFormatting sqref="AB328">
    <cfRule type="duplicateValues" dxfId="388" priority="90"/>
  </conditionalFormatting>
  <conditionalFormatting sqref="AB329">
    <cfRule type="duplicateValues" dxfId="387" priority="89"/>
  </conditionalFormatting>
  <conditionalFormatting sqref="AB333:AB334 AB330">
    <cfRule type="duplicateValues" dxfId="386" priority="88"/>
  </conditionalFormatting>
  <conditionalFormatting sqref="AB335">
    <cfRule type="duplicateValues" dxfId="385" priority="498"/>
  </conditionalFormatting>
  <conditionalFormatting sqref="AB340">
    <cfRule type="duplicateValues" dxfId="384" priority="86"/>
  </conditionalFormatting>
  <conditionalFormatting sqref="AB343">
    <cfRule type="duplicateValues" dxfId="383" priority="85"/>
  </conditionalFormatting>
  <conditionalFormatting sqref="AB344:AB345">
    <cfRule type="duplicateValues" dxfId="382" priority="84"/>
  </conditionalFormatting>
  <conditionalFormatting sqref="AB351">
    <cfRule type="duplicateValues" dxfId="381" priority="83"/>
  </conditionalFormatting>
  <conditionalFormatting sqref="AB360">
    <cfRule type="duplicateValues" dxfId="380" priority="82"/>
  </conditionalFormatting>
  <conditionalFormatting sqref="AB361">
    <cfRule type="duplicateValues" dxfId="379" priority="81"/>
  </conditionalFormatting>
  <conditionalFormatting sqref="AB362">
    <cfRule type="duplicateValues" dxfId="378" priority="80"/>
  </conditionalFormatting>
  <conditionalFormatting sqref="AB363">
    <cfRule type="duplicateValues" dxfId="377" priority="467"/>
  </conditionalFormatting>
  <conditionalFormatting sqref="AB365">
    <cfRule type="duplicateValues" dxfId="376" priority="79"/>
  </conditionalFormatting>
  <conditionalFormatting sqref="AB375">
    <cfRule type="duplicateValues" dxfId="375" priority="77"/>
  </conditionalFormatting>
  <conditionalFormatting sqref="AB376:AB378">
    <cfRule type="duplicateValues" dxfId="374" priority="75"/>
  </conditionalFormatting>
  <conditionalFormatting sqref="AB379">
    <cfRule type="duplicateValues" dxfId="373" priority="76"/>
  </conditionalFormatting>
  <conditionalFormatting sqref="AB380">
    <cfRule type="duplicateValues" dxfId="372" priority="466"/>
  </conditionalFormatting>
  <conditionalFormatting sqref="AB387:AB388">
    <cfRule type="duplicateValues" dxfId="371" priority="465"/>
  </conditionalFormatting>
  <conditionalFormatting sqref="AB389">
    <cfRule type="duplicateValues" dxfId="370" priority="74"/>
  </conditionalFormatting>
  <conditionalFormatting sqref="AB390">
    <cfRule type="duplicateValues" dxfId="369" priority="464"/>
  </conditionalFormatting>
  <conditionalFormatting sqref="AB391">
    <cfRule type="duplicateValues" dxfId="368" priority="73"/>
  </conditionalFormatting>
  <conditionalFormatting sqref="AB392">
    <cfRule type="duplicateValues" dxfId="367" priority="463"/>
  </conditionalFormatting>
  <conditionalFormatting sqref="AB393">
    <cfRule type="duplicateValues" dxfId="366" priority="462"/>
  </conditionalFormatting>
  <conditionalFormatting sqref="AB403">
    <cfRule type="duplicateValues" dxfId="365" priority="72"/>
  </conditionalFormatting>
  <conditionalFormatting sqref="AB408">
    <cfRule type="duplicateValues" dxfId="364" priority="461"/>
  </conditionalFormatting>
  <conditionalFormatting sqref="AB420">
    <cfRule type="duplicateValues" dxfId="363" priority="460"/>
  </conditionalFormatting>
  <conditionalFormatting sqref="AB421">
    <cfRule type="duplicateValues" dxfId="362" priority="459"/>
  </conditionalFormatting>
  <conditionalFormatting sqref="AB422">
    <cfRule type="duplicateValues" dxfId="361" priority="458"/>
  </conditionalFormatting>
  <conditionalFormatting sqref="AB423">
    <cfRule type="duplicateValues" dxfId="360" priority="142"/>
  </conditionalFormatting>
  <conditionalFormatting sqref="AB424">
    <cfRule type="duplicateValues" dxfId="359" priority="457"/>
  </conditionalFormatting>
  <conditionalFormatting sqref="AB425:AB426">
    <cfRule type="duplicateValues" dxfId="358" priority="456"/>
  </conditionalFormatting>
  <conditionalFormatting sqref="AB427">
    <cfRule type="duplicateValues" dxfId="357" priority="455"/>
  </conditionalFormatting>
  <conditionalFormatting sqref="AB428">
    <cfRule type="duplicateValues" dxfId="356" priority="454"/>
  </conditionalFormatting>
  <conditionalFormatting sqref="AB429">
    <cfRule type="duplicateValues" dxfId="355" priority="453"/>
  </conditionalFormatting>
  <conditionalFormatting sqref="AB430">
    <cfRule type="duplicateValues" dxfId="354" priority="452"/>
  </conditionalFormatting>
  <conditionalFormatting sqref="AB433">
    <cfRule type="duplicateValues" dxfId="353" priority="451"/>
  </conditionalFormatting>
  <conditionalFormatting sqref="AB434">
    <cfRule type="duplicateValues" dxfId="352" priority="450"/>
  </conditionalFormatting>
  <conditionalFormatting sqref="AB435">
    <cfRule type="duplicateValues" dxfId="351" priority="449"/>
  </conditionalFormatting>
  <conditionalFormatting sqref="AB436">
    <cfRule type="duplicateValues" dxfId="350" priority="448"/>
  </conditionalFormatting>
  <conditionalFormatting sqref="AB437">
    <cfRule type="duplicateValues" dxfId="349" priority="447"/>
  </conditionalFormatting>
  <conditionalFormatting sqref="AB439">
    <cfRule type="duplicateValues" dxfId="348" priority="446"/>
  </conditionalFormatting>
  <conditionalFormatting sqref="AB440">
    <cfRule type="duplicateValues" dxfId="347" priority="445"/>
  </conditionalFormatting>
  <conditionalFormatting sqref="AB441">
    <cfRule type="duplicateValues" dxfId="346" priority="138"/>
  </conditionalFormatting>
  <conditionalFormatting sqref="AB442">
    <cfRule type="duplicateValues" dxfId="345" priority="444"/>
  </conditionalFormatting>
  <conditionalFormatting sqref="AB443">
    <cfRule type="duplicateValues" dxfId="344" priority="141"/>
  </conditionalFormatting>
  <conditionalFormatting sqref="AB444">
    <cfRule type="duplicateValues" dxfId="343" priority="443"/>
  </conditionalFormatting>
  <conditionalFormatting sqref="AB446">
    <cfRule type="duplicateValues" dxfId="342" priority="442"/>
  </conditionalFormatting>
  <conditionalFormatting sqref="AB447">
    <cfRule type="duplicateValues" dxfId="341" priority="441"/>
  </conditionalFormatting>
  <conditionalFormatting sqref="AB448">
    <cfRule type="duplicateValues" dxfId="340" priority="140"/>
  </conditionalFormatting>
  <conditionalFormatting sqref="AB449">
    <cfRule type="duplicateValues" dxfId="339" priority="139"/>
  </conditionalFormatting>
  <conditionalFormatting sqref="AB450">
    <cfRule type="duplicateValues" dxfId="338" priority="439"/>
  </conditionalFormatting>
  <conditionalFormatting sqref="AB451">
    <cfRule type="duplicateValues" dxfId="337" priority="438"/>
  </conditionalFormatting>
  <conditionalFormatting sqref="AB475">
    <cfRule type="duplicateValues" dxfId="336" priority="436"/>
  </conditionalFormatting>
  <conditionalFormatting sqref="AB496">
    <cfRule type="duplicateValues" dxfId="335" priority="435"/>
  </conditionalFormatting>
  <conditionalFormatting sqref="AB505">
    <cfRule type="duplicateValues" dxfId="334" priority="434"/>
  </conditionalFormatting>
  <conditionalFormatting sqref="AB527">
    <cfRule type="duplicateValues" dxfId="333" priority="71"/>
  </conditionalFormatting>
  <conditionalFormatting sqref="AB528">
    <cfRule type="duplicateValues" dxfId="332" priority="70"/>
  </conditionalFormatting>
  <conditionalFormatting sqref="AB530">
    <cfRule type="duplicateValues" dxfId="331" priority="69"/>
  </conditionalFormatting>
  <conditionalFormatting sqref="AB532">
    <cfRule type="duplicateValues" dxfId="330" priority="68"/>
  </conditionalFormatting>
  <conditionalFormatting sqref="AB534">
    <cfRule type="duplicateValues" dxfId="329" priority="433"/>
  </conditionalFormatting>
  <conditionalFormatting sqref="AB537">
    <cfRule type="duplicateValues" dxfId="328" priority="432"/>
  </conditionalFormatting>
  <conditionalFormatting sqref="AB540">
    <cfRule type="duplicateValues" dxfId="327" priority="431"/>
  </conditionalFormatting>
  <conditionalFormatting sqref="AB548">
    <cfRule type="duplicateValues" dxfId="326" priority="143"/>
  </conditionalFormatting>
  <conditionalFormatting sqref="AB549">
    <cfRule type="duplicateValues" dxfId="325" priority="145"/>
  </conditionalFormatting>
  <conditionalFormatting sqref="AB560">
    <cfRule type="duplicateValues" dxfId="324" priority="430"/>
  </conditionalFormatting>
  <conditionalFormatting sqref="AB561">
    <cfRule type="duplicateValues" dxfId="323" priority="429"/>
  </conditionalFormatting>
  <conditionalFormatting sqref="AB565">
    <cfRule type="duplicateValues" dxfId="322" priority="428"/>
  </conditionalFormatting>
  <conditionalFormatting sqref="AB576">
    <cfRule type="duplicateValues" dxfId="321" priority="425"/>
  </conditionalFormatting>
  <conditionalFormatting sqref="AB577">
    <cfRule type="duplicateValues" dxfId="320" priority="424"/>
  </conditionalFormatting>
  <conditionalFormatting sqref="AB578:AB583">
    <cfRule type="duplicateValues" dxfId="319" priority="66"/>
  </conditionalFormatting>
  <conditionalFormatting sqref="AB584">
    <cfRule type="duplicateValues" dxfId="318" priority="422"/>
  </conditionalFormatting>
  <conditionalFormatting sqref="AB586">
    <cfRule type="duplicateValues" dxfId="317" priority="421"/>
  </conditionalFormatting>
  <conditionalFormatting sqref="AB587">
    <cfRule type="duplicateValues" dxfId="316" priority="420"/>
  </conditionalFormatting>
  <conditionalFormatting sqref="AB588">
    <cfRule type="duplicateValues" dxfId="315" priority="419"/>
  </conditionalFormatting>
  <conditionalFormatting sqref="AB589">
    <cfRule type="duplicateValues" dxfId="314" priority="418"/>
  </conditionalFormatting>
  <conditionalFormatting sqref="AB590">
    <cfRule type="duplicateValues" dxfId="313" priority="417"/>
  </conditionalFormatting>
  <conditionalFormatting sqref="AB591">
    <cfRule type="duplicateValues" dxfId="312" priority="65"/>
  </conditionalFormatting>
  <conditionalFormatting sqref="AB594">
    <cfRule type="duplicateValues" dxfId="311" priority="416"/>
  </conditionalFormatting>
  <conditionalFormatting sqref="AB634">
    <cfRule type="duplicateValues" dxfId="310" priority="414"/>
  </conditionalFormatting>
  <conditionalFormatting sqref="AB640">
    <cfRule type="duplicateValues" dxfId="309" priority="62"/>
  </conditionalFormatting>
  <conditionalFormatting sqref="AB641">
    <cfRule type="duplicateValues" dxfId="308" priority="413"/>
  </conditionalFormatting>
  <conditionalFormatting sqref="AB642:AB643">
    <cfRule type="duplicateValues" dxfId="307" priority="412"/>
  </conditionalFormatting>
  <conditionalFormatting sqref="AB644">
    <cfRule type="duplicateValues" dxfId="306" priority="411"/>
  </conditionalFormatting>
  <conditionalFormatting sqref="AB646">
    <cfRule type="duplicateValues" dxfId="305" priority="61"/>
  </conditionalFormatting>
  <conditionalFormatting sqref="AB649">
    <cfRule type="duplicateValues" dxfId="304" priority="60"/>
  </conditionalFormatting>
  <conditionalFormatting sqref="AB651">
    <cfRule type="duplicateValues" dxfId="303" priority="410"/>
  </conditionalFormatting>
  <conditionalFormatting sqref="AB654">
    <cfRule type="duplicateValues" dxfId="302" priority="409"/>
  </conditionalFormatting>
  <conditionalFormatting sqref="AB655">
    <cfRule type="duplicateValues" dxfId="301" priority="408"/>
  </conditionalFormatting>
  <conditionalFormatting sqref="AB656">
    <cfRule type="duplicateValues" dxfId="300" priority="407"/>
  </conditionalFormatting>
  <conditionalFormatting sqref="AB657">
    <cfRule type="duplicateValues" dxfId="299" priority="406"/>
  </conditionalFormatting>
  <conditionalFormatting sqref="AB659">
    <cfRule type="duplicateValues" dxfId="298" priority="59"/>
  </conditionalFormatting>
  <conditionalFormatting sqref="AB660">
    <cfRule type="duplicateValues" dxfId="297" priority="57"/>
  </conditionalFormatting>
  <conditionalFormatting sqref="AB662">
    <cfRule type="duplicateValues" dxfId="296" priority="58"/>
  </conditionalFormatting>
  <conditionalFormatting sqref="AB664">
    <cfRule type="duplicateValues" dxfId="295" priority="405"/>
  </conditionalFormatting>
  <conditionalFormatting sqref="AB665">
    <cfRule type="duplicateValues" dxfId="294" priority="404"/>
  </conditionalFormatting>
  <conditionalFormatting sqref="AB666">
    <cfRule type="duplicateValues" dxfId="293" priority="403"/>
  </conditionalFormatting>
  <conditionalFormatting sqref="AB667">
    <cfRule type="duplicateValues" dxfId="292" priority="402"/>
  </conditionalFormatting>
  <conditionalFormatting sqref="AB669">
    <cfRule type="duplicateValues" dxfId="291" priority="401"/>
  </conditionalFormatting>
  <conditionalFormatting sqref="AB670">
    <cfRule type="duplicateValues" dxfId="290" priority="400"/>
  </conditionalFormatting>
  <conditionalFormatting sqref="AB671">
    <cfRule type="duplicateValues" dxfId="289" priority="399"/>
  </conditionalFormatting>
  <conditionalFormatting sqref="AB672">
    <cfRule type="duplicateValues" dxfId="288" priority="398"/>
  </conditionalFormatting>
  <conditionalFormatting sqref="AB673">
    <cfRule type="duplicateValues" dxfId="287" priority="397"/>
  </conditionalFormatting>
  <conditionalFormatting sqref="AB674">
    <cfRule type="duplicateValues" dxfId="286" priority="396"/>
  </conditionalFormatting>
  <conditionalFormatting sqref="AB682">
    <cfRule type="duplicateValues" dxfId="285" priority="395"/>
  </conditionalFormatting>
  <conditionalFormatting sqref="AB683">
    <cfRule type="duplicateValues" dxfId="284" priority="394"/>
  </conditionalFormatting>
  <conditionalFormatting sqref="AB684">
    <cfRule type="duplicateValues" dxfId="283" priority="393"/>
  </conditionalFormatting>
  <conditionalFormatting sqref="AB685">
    <cfRule type="duplicateValues" dxfId="282" priority="392"/>
  </conditionalFormatting>
  <conditionalFormatting sqref="AB686">
    <cfRule type="duplicateValues" dxfId="281" priority="391"/>
  </conditionalFormatting>
  <conditionalFormatting sqref="AB687">
    <cfRule type="duplicateValues" dxfId="280" priority="390"/>
  </conditionalFormatting>
  <conditionalFormatting sqref="AB691">
    <cfRule type="duplicateValues" dxfId="279" priority="389"/>
  </conditionalFormatting>
  <conditionalFormatting sqref="AB692">
    <cfRule type="duplicateValues" dxfId="278" priority="4"/>
  </conditionalFormatting>
  <conditionalFormatting sqref="AB693">
    <cfRule type="duplicateValues" dxfId="277" priority="388"/>
  </conditionalFormatting>
  <conditionalFormatting sqref="AB694">
    <cfRule type="duplicateValues" dxfId="276" priority="387"/>
  </conditionalFormatting>
  <conditionalFormatting sqref="AB695">
    <cfRule type="duplicateValues" dxfId="275" priority="146"/>
  </conditionalFormatting>
  <conditionalFormatting sqref="AB696">
    <cfRule type="duplicateValues" dxfId="274" priority="56"/>
  </conditionalFormatting>
  <conditionalFormatting sqref="AB698">
    <cfRule type="duplicateValues" dxfId="273" priority="386"/>
  </conditionalFormatting>
  <conditionalFormatting sqref="AB699">
    <cfRule type="duplicateValues" dxfId="272" priority="385"/>
  </conditionalFormatting>
  <conditionalFormatting sqref="AB700">
    <cfRule type="duplicateValues" dxfId="271" priority="384"/>
  </conditionalFormatting>
  <conditionalFormatting sqref="AB701">
    <cfRule type="duplicateValues" dxfId="270" priority="383"/>
  </conditionalFormatting>
  <conditionalFormatting sqref="AB702:AB704">
    <cfRule type="duplicateValues" dxfId="269" priority="382"/>
  </conditionalFormatting>
  <conditionalFormatting sqref="AB706">
    <cfRule type="duplicateValues" dxfId="268" priority="381"/>
  </conditionalFormatting>
  <conditionalFormatting sqref="AB707:AB709">
    <cfRule type="duplicateValues" dxfId="267" priority="380"/>
  </conditionalFormatting>
  <conditionalFormatting sqref="AB710">
    <cfRule type="duplicateValues" dxfId="266" priority="379"/>
  </conditionalFormatting>
  <conditionalFormatting sqref="AB711">
    <cfRule type="duplicateValues" dxfId="265" priority="378"/>
  </conditionalFormatting>
  <conditionalFormatting sqref="AB712">
    <cfRule type="duplicateValues" dxfId="264" priority="377"/>
  </conditionalFormatting>
  <conditionalFormatting sqref="AB713">
    <cfRule type="duplicateValues" dxfId="263" priority="376"/>
  </conditionalFormatting>
  <conditionalFormatting sqref="AB714">
    <cfRule type="duplicateValues" dxfId="262" priority="375"/>
  </conditionalFormatting>
  <conditionalFormatting sqref="AB715">
    <cfRule type="duplicateValues" dxfId="261" priority="374"/>
  </conditionalFormatting>
  <conditionalFormatting sqref="AB716">
    <cfRule type="duplicateValues" dxfId="260" priority="373"/>
  </conditionalFormatting>
  <conditionalFormatting sqref="AB717">
    <cfRule type="duplicateValues" dxfId="259" priority="372"/>
  </conditionalFormatting>
  <conditionalFormatting sqref="AB719">
    <cfRule type="duplicateValues" dxfId="258" priority="371"/>
  </conditionalFormatting>
  <conditionalFormatting sqref="AB720">
    <cfRule type="duplicateValues" dxfId="257" priority="370"/>
  </conditionalFormatting>
  <conditionalFormatting sqref="AB721">
    <cfRule type="duplicateValues" dxfId="256" priority="369"/>
  </conditionalFormatting>
  <conditionalFormatting sqref="AB722">
    <cfRule type="duplicateValues" dxfId="255" priority="368"/>
  </conditionalFormatting>
  <conditionalFormatting sqref="AB723">
    <cfRule type="duplicateValues" dxfId="254" priority="367"/>
  </conditionalFormatting>
  <conditionalFormatting sqref="AB724">
    <cfRule type="duplicateValues" dxfId="253" priority="366"/>
  </conditionalFormatting>
  <conditionalFormatting sqref="AB725">
    <cfRule type="duplicateValues" dxfId="252" priority="365"/>
  </conditionalFormatting>
  <conditionalFormatting sqref="AB726:AB727">
    <cfRule type="duplicateValues" dxfId="251" priority="364"/>
  </conditionalFormatting>
  <conditionalFormatting sqref="AB728">
    <cfRule type="duplicateValues" dxfId="250" priority="363"/>
  </conditionalFormatting>
  <conditionalFormatting sqref="AB729">
    <cfRule type="duplicateValues" dxfId="249" priority="362"/>
  </conditionalFormatting>
  <conditionalFormatting sqref="AB730">
    <cfRule type="duplicateValues" dxfId="248" priority="361"/>
  </conditionalFormatting>
  <conditionalFormatting sqref="AB731">
    <cfRule type="duplicateValues" dxfId="247" priority="360"/>
  </conditionalFormatting>
  <conditionalFormatting sqref="AB732">
    <cfRule type="duplicateValues" dxfId="246" priority="359"/>
  </conditionalFormatting>
  <conditionalFormatting sqref="AB733">
    <cfRule type="duplicateValues" dxfId="245" priority="358"/>
  </conditionalFormatting>
  <conditionalFormatting sqref="AB734">
    <cfRule type="duplicateValues" dxfId="244" priority="357"/>
  </conditionalFormatting>
  <conditionalFormatting sqref="AB735">
    <cfRule type="duplicateValues" dxfId="243" priority="356"/>
  </conditionalFormatting>
  <conditionalFormatting sqref="AB736">
    <cfRule type="duplicateValues" dxfId="242" priority="355"/>
  </conditionalFormatting>
  <conditionalFormatting sqref="AB738">
    <cfRule type="duplicateValues" dxfId="241" priority="354"/>
  </conditionalFormatting>
  <conditionalFormatting sqref="AB739">
    <cfRule type="duplicateValues" dxfId="240" priority="353"/>
  </conditionalFormatting>
  <conditionalFormatting sqref="AB740">
    <cfRule type="duplicateValues" dxfId="239" priority="352"/>
  </conditionalFormatting>
  <conditionalFormatting sqref="AB741">
    <cfRule type="duplicateValues" dxfId="238" priority="351"/>
  </conditionalFormatting>
  <conditionalFormatting sqref="AB742">
    <cfRule type="duplicateValues" dxfId="237" priority="350"/>
  </conditionalFormatting>
  <conditionalFormatting sqref="AB743">
    <cfRule type="duplicateValues" dxfId="236" priority="349"/>
  </conditionalFormatting>
  <conditionalFormatting sqref="AB744">
    <cfRule type="duplicateValues" dxfId="235" priority="348"/>
  </conditionalFormatting>
  <conditionalFormatting sqref="AB745">
    <cfRule type="duplicateValues" dxfId="234" priority="347"/>
  </conditionalFormatting>
  <conditionalFormatting sqref="AB746">
    <cfRule type="duplicateValues" dxfId="233" priority="346"/>
  </conditionalFormatting>
  <conditionalFormatting sqref="AB747">
    <cfRule type="duplicateValues" dxfId="232" priority="345"/>
  </conditionalFormatting>
  <conditionalFormatting sqref="AB748">
    <cfRule type="duplicateValues" dxfId="231" priority="344"/>
  </conditionalFormatting>
  <conditionalFormatting sqref="AB749">
    <cfRule type="duplicateValues" dxfId="230" priority="343"/>
  </conditionalFormatting>
  <conditionalFormatting sqref="AB750">
    <cfRule type="duplicateValues" dxfId="229" priority="342"/>
  </conditionalFormatting>
  <conditionalFormatting sqref="AB751">
    <cfRule type="duplicateValues" dxfId="228" priority="341"/>
  </conditionalFormatting>
  <conditionalFormatting sqref="AB752:AB753">
    <cfRule type="duplicateValues" dxfId="227" priority="340"/>
  </conditionalFormatting>
  <conditionalFormatting sqref="AB754">
    <cfRule type="duplicateValues" dxfId="226" priority="339"/>
  </conditionalFormatting>
  <conditionalFormatting sqref="AB756">
    <cfRule type="duplicateValues" dxfId="225" priority="55"/>
  </conditionalFormatting>
  <conditionalFormatting sqref="AB758">
    <cfRule type="duplicateValues" dxfId="224" priority="338"/>
  </conditionalFormatting>
  <conditionalFormatting sqref="AB759">
    <cfRule type="duplicateValues" dxfId="223" priority="337"/>
  </conditionalFormatting>
  <conditionalFormatting sqref="AB760">
    <cfRule type="duplicateValues" dxfId="222" priority="336"/>
  </conditionalFormatting>
  <conditionalFormatting sqref="AB761">
    <cfRule type="duplicateValues" dxfId="221" priority="335"/>
  </conditionalFormatting>
  <conditionalFormatting sqref="AB764">
    <cfRule type="duplicateValues" dxfId="220" priority="334"/>
  </conditionalFormatting>
  <conditionalFormatting sqref="AB765">
    <cfRule type="duplicateValues" dxfId="219" priority="333"/>
  </conditionalFormatting>
  <conditionalFormatting sqref="AB766">
    <cfRule type="duplicateValues" dxfId="218" priority="332"/>
  </conditionalFormatting>
  <conditionalFormatting sqref="AB767">
    <cfRule type="duplicateValues" dxfId="217" priority="3"/>
  </conditionalFormatting>
  <conditionalFormatting sqref="AB768">
    <cfRule type="duplicateValues" dxfId="216" priority="331"/>
  </conditionalFormatting>
  <conditionalFormatting sqref="AB769">
    <cfRule type="duplicateValues" dxfId="215" priority="330"/>
  </conditionalFormatting>
  <conditionalFormatting sqref="AB770">
    <cfRule type="duplicateValues" dxfId="214" priority="328"/>
  </conditionalFormatting>
  <conditionalFormatting sqref="AB771">
    <cfRule type="duplicateValues" dxfId="213" priority="327"/>
  </conditionalFormatting>
  <conditionalFormatting sqref="AB772">
    <cfRule type="duplicateValues" dxfId="212" priority="326"/>
  </conditionalFormatting>
  <conditionalFormatting sqref="AB773">
    <cfRule type="duplicateValues" dxfId="211" priority="325"/>
  </conditionalFormatting>
  <conditionalFormatting sqref="AB774">
    <cfRule type="duplicateValues" dxfId="210" priority="324"/>
  </conditionalFormatting>
  <conditionalFormatting sqref="AB775">
    <cfRule type="duplicateValues" dxfId="209" priority="323"/>
  </conditionalFormatting>
  <conditionalFormatting sqref="AB776">
    <cfRule type="duplicateValues" dxfId="208" priority="322"/>
  </conditionalFormatting>
  <conditionalFormatting sqref="AB777">
    <cfRule type="duplicateValues" dxfId="207" priority="321"/>
  </conditionalFormatting>
  <conditionalFormatting sqref="AB778">
    <cfRule type="duplicateValues" dxfId="206" priority="54"/>
  </conditionalFormatting>
  <conditionalFormatting sqref="AB779">
    <cfRule type="duplicateValues" dxfId="205" priority="320"/>
  </conditionalFormatting>
  <conditionalFormatting sqref="AB780">
    <cfRule type="duplicateValues" dxfId="204" priority="319"/>
  </conditionalFormatting>
  <conditionalFormatting sqref="AB781">
    <cfRule type="duplicateValues" dxfId="203" priority="318"/>
  </conditionalFormatting>
  <conditionalFormatting sqref="AB783">
    <cfRule type="duplicateValues" dxfId="202" priority="317"/>
  </conditionalFormatting>
  <conditionalFormatting sqref="AB785">
    <cfRule type="duplicateValues" dxfId="201" priority="315"/>
  </conditionalFormatting>
  <conditionalFormatting sqref="AB786">
    <cfRule type="duplicateValues" dxfId="200" priority="314"/>
  </conditionalFormatting>
  <conditionalFormatting sqref="AB787">
    <cfRule type="duplicateValues" dxfId="199" priority="313"/>
  </conditionalFormatting>
  <conditionalFormatting sqref="AB789">
    <cfRule type="duplicateValues" dxfId="198" priority="312"/>
  </conditionalFormatting>
  <conditionalFormatting sqref="AB790">
    <cfRule type="duplicateValues" dxfId="197" priority="311"/>
  </conditionalFormatting>
  <conditionalFormatting sqref="AB791">
    <cfRule type="duplicateValues" dxfId="196" priority="310"/>
  </conditionalFormatting>
  <conditionalFormatting sqref="AB794">
    <cfRule type="duplicateValues" dxfId="195" priority="309"/>
  </conditionalFormatting>
  <conditionalFormatting sqref="AB796">
    <cfRule type="duplicateValues" dxfId="194" priority="307"/>
  </conditionalFormatting>
  <conditionalFormatting sqref="AB801">
    <cfRule type="duplicateValues" dxfId="193" priority="305"/>
  </conditionalFormatting>
  <conditionalFormatting sqref="AB802:AB806">
    <cfRule type="duplicateValues" dxfId="192" priority="304"/>
  </conditionalFormatting>
  <conditionalFormatting sqref="AB807">
    <cfRule type="duplicateValues" dxfId="191" priority="303"/>
  </conditionalFormatting>
  <conditionalFormatting sqref="AB808">
    <cfRule type="duplicateValues" dxfId="190" priority="302"/>
  </conditionalFormatting>
  <conditionalFormatting sqref="AB813">
    <cfRule type="duplicateValues" dxfId="189" priority="300"/>
  </conditionalFormatting>
  <conditionalFormatting sqref="AB816">
    <cfRule type="duplicateValues" dxfId="188" priority="299"/>
  </conditionalFormatting>
  <conditionalFormatting sqref="AB822">
    <cfRule type="duplicateValues" dxfId="187" priority="298"/>
  </conditionalFormatting>
  <conditionalFormatting sqref="AB838">
    <cfRule type="duplicateValues" dxfId="186" priority="297"/>
  </conditionalFormatting>
  <conditionalFormatting sqref="AB847">
    <cfRule type="duplicateValues" dxfId="185" priority="296"/>
  </conditionalFormatting>
  <conditionalFormatting sqref="AB848">
    <cfRule type="duplicateValues" dxfId="184" priority="295"/>
  </conditionalFormatting>
  <conditionalFormatting sqref="AB850">
    <cfRule type="duplicateValues" dxfId="183" priority="294"/>
  </conditionalFormatting>
  <conditionalFormatting sqref="AB852">
    <cfRule type="duplicateValues" dxfId="182" priority="293"/>
  </conditionalFormatting>
  <conditionalFormatting sqref="AB853">
    <cfRule type="duplicateValues" dxfId="181" priority="292"/>
  </conditionalFormatting>
  <conditionalFormatting sqref="AB854">
    <cfRule type="duplicateValues" dxfId="180" priority="291"/>
  </conditionalFormatting>
  <conditionalFormatting sqref="AB858:AB860 AB862:AB865">
    <cfRule type="duplicateValues" dxfId="179" priority="289"/>
  </conditionalFormatting>
  <conditionalFormatting sqref="AB866">
    <cfRule type="duplicateValues" dxfId="178" priority="290"/>
  </conditionalFormatting>
  <conditionalFormatting sqref="AB867">
    <cfRule type="duplicateValues" dxfId="177" priority="285"/>
  </conditionalFormatting>
  <conditionalFormatting sqref="AB868">
    <cfRule type="duplicateValues" dxfId="176" priority="284"/>
  </conditionalFormatting>
  <conditionalFormatting sqref="AB872">
    <cfRule type="duplicateValues" dxfId="175" priority="282"/>
  </conditionalFormatting>
  <conditionalFormatting sqref="AB873">
    <cfRule type="duplicateValues" dxfId="174" priority="281"/>
  </conditionalFormatting>
  <conditionalFormatting sqref="AB875">
    <cfRule type="duplicateValues" dxfId="173" priority="280"/>
  </conditionalFormatting>
  <conditionalFormatting sqref="AB877">
    <cfRule type="duplicateValues" dxfId="172" priority="279"/>
  </conditionalFormatting>
  <conditionalFormatting sqref="AB878">
    <cfRule type="duplicateValues" dxfId="171" priority="277"/>
  </conditionalFormatting>
  <conditionalFormatting sqref="AB879">
    <cfRule type="duplicateValues" dxfId="170" priority="278"/>
  </conditionalFormatting>
  <conditionalFormatting sqref="AB880">
    <cfRule type="duplicateValues" dxfId="169" priority="276"/>
  </conditionalFormatting>
  <conditionalFormatting sqref="AB881">
    <cfRule type="duplicateValues" dxfId="168" priority="275"/>
  </conditionalFormatting>
  <conditionalFormatting sqref="AB882">
    <cfRule type="duplicateValues" dxfId="167" priority="274"/>
  </conditionalFormatting>
  <conditionalFormatting sqref="AB883">
    <cfRule type="duplicateValues" dxfId="166" priority="273"/>
  </conditionalFormatting>
  <conditionalFormatting sqref="AB884">
    <cfRule type="duplicateValues" dxfId="165" priority="272"/>
  </conditionalFormatting>
  <conditionalFormatting sqref="AB885">
    <cfRule type="duplicateValues" dxfId="164" priority="271"/>
  </conditionalFormatting>
  <conditionalFormatting sqref="AB886">
    <cfRule type="duplicateValues" dxfId="163" priority="270"/>
  </conditionalFormatting>
  <conditionalFormatting sqref="AB887">
    <cfRule type="duplicateValues" dxfId="162" priority="269"/>
  </conditionalFormatting>
  <conditionalFormatting sqref="AB888">
    <cfRule type="duplicateValues" dxfId="161" priority="267"/>
  </conditionalFormatting>
  <conditionalFormatting sqref="AB889">
    <cfRule type="duplicateValues" dxfId="160" priority="268"/>
  </conditionalFormatting>
  <conditionalFormatting sqref="AB890">
    <cfRule type="duplicateValues" dxfId="159" priority="266"/>
  </conditionalFormatting>
  <conditionalFormatting sqref="AB891">
    <cfRule type="duplicateValues" dxfId="158" priority="265"/>
  </conditionalFormatting>
  <conditionalFormatting sqref="AB892">
    <cfRule type="duplicateValues" dxfId="157" priority="264"/>
  </conditionalFormatting>
  <conditionalFormatting sqref="AB893">
    <cfRule type="duplicateValues" dxfId="156" priority="263"/>
  </conditionalFormatting>
  <conditionalFormatting sqref="AB894">
    <cfRule type="duplicateValues" dxfId="155" priority="262"/>
  </conditionalFormatting>
  <conditionalFormatting sqref="AB895">
    <cfRule type="duplicateValues" dxfId="154" priority="261"/>
  </conditionalFormatting>
  <conditionalFormatting sqref="AB896">
    <cfRule type="duplicateValues" dxfId="153" priority="260"/>
  </conditionalFormatting>
  <conditionalFormatting sqref="AB897">
    <cfRule type="duplicateValues" dxfId="152" priority="259"/>
  </conditionalFormatting>
  <conditionalFormatting sqref="AB898">
    <cfRule type="duplicateValues" dxfId="151" priority="258"/>
  </conditionalFormatting>
  <conditionalFormatting sqref="AB900">
    <cfRule type="duplicateValues" dxfId="150" priority="257"/>
  </conditionalFormatting>
  <conditionalFormatting sqref="AB901">
    <cfRule type="duplicateValues" dxfId="149" priority="256"/>
  </conditionalFormatting>
  <conditionalFormatting sqref="AB902">
    <cfRule type="duplicateValues" dxfId="148" priority="255"/>
  </conditionalFormatting>
  <conditionalFormatting sqref="AB903">
    <cfRule type="duplicateValues" dxfId="147" priority="50"/>
  </conditionalFormatting>
  <conditionalFormatting sqref="AB904">
    <cfRule type="duplicateValues" dxfId="146" priority="49"/>
  </conditionalFormatting>
  <conditionalFormatting sqref="AB905">
    <cfRule type="duplicateValues" dxfId="145" priority="254"/>
  </conditionalFormatting>
  <conditionalFormatting sqref="AB909">
    <cfRule type="duplicateValues" dxfId="144" priority="253"/>
  </conditionalFormatting>
  <conditionalFormatting sqref="AB915">
    <cfRule type="duplicateValues" dxfId="143" priority="53"/>
  </conditionalFormatting>
  <conditionalFormatting sqref="AB919 AB921">
    <cfRule type="duplicateValues" dxfId="142" priority="251"/>
  </conditionalFormatting>
  <conditionalFormatting sqref="AB922">
    <cfRule type="duplicateValues" dxfId="141" priority="51"/>
  </conditionalFormatting>
  <conditionalFormatting sqref="AB932:AB936">
    <cfRule type="duplicateValues" dxfId="140" priority="508"/>
  </conditionalFormatting>
  <conditionalFormatting sqref="AB937">
    <cfRule type="duplicateValues" dxfId="139" priority="46"/>
  </conditionalFormatting>
  <conditionalFormatting sqref="AB938">
    <cfRule type="duplicateValues" dxfId="138" priority="45"/>
  </conditionalFormatting>
  <conditionalFormatting sqref="AB939">
    <cfRule type="duplicateValues" dxfId="137" priority="250"/>
  </conditionalFormatting>
  <conditionalFormatting sqref="AB942">
    <cfRule type="duplicateValues" dxfId="136" priority="249"/>
  </conditionalFormatting>
  <conditionalFormatting sqref="AB945">
    <cfRule type="duplicateValues" dxfId="135" priority="44"/>
  </conditionalFormatting>
  <conditionalFormatting sqref="AB946">
    <cfRule type="duplicateValues" dxfId="134" priority="245"/>
  </conditionalFormatting>
  <conditionalFormatting sqref="AB947">
    <cfRule type="duplicateValues" dxfId="133" priority="244"/>
  </conditionalFormatting>
  <conditionalFormatting sqref="AB948">
    <cfRule type="duplicateValues" dxfId="132" priority="243"/>
  </conditionalFormatting>
  <conditionalFormatting sqref="AB949">
    <cfRule type="duplicateValues" dxfId="131" priority="43"/>
  </conditionalFormatting>
  <conditionalFormatting sqref="AB951">
    <cfRule type="duplicateValues" dxfId="130" priority="242"/>
  </conditionalFormatting>
  <conditionalFormatting sqref="AB952">
    <cfRule type="duplicateValues" dxfId="129" priority="241"/>
  </conditionalFormatting>
  <conditionalFormatting sqref="AB953">
    <cfRule type="duplicateValues" dxfId="128" priority="248"/>
  </conditionalFormatting>
  <conditionalFormatting sqref="AB954:AB955">
    <cfRule type="duplicateValues" dxfId="127" priority="41"/>
  </conditionalFormatting>
  <conditionalFormatting sqref="AB956">
    <cfRule type="duplicateValues" dxfId="126" priority="42"/>
  </conditionalFormatting>
  <conditionalFormatting sqref="AB961">
    <cfRule type="duplicateValues" dxfId="125" priority="247"/>
  </conditionalFormatting>
  <conditionalFormatting sqref="AB963">
    <cfRule type="duplicateValues" dxfId="124" priority="240"/>
  </conditionalFormatting>
  <conditionalFormatting sqref="AB964">
    <cfRule type="duplicateValues" dxfId="123" priority="246"/>
  </conditionalFormatting>
  <conditionalFormatting sqref="AB967">
    <cfRule type="duplicateValues" dxfId="122" priority="40"/>
  </conditionalFormatting>
  <conditionalFormatting sqref="AB968">
    <cfRule type="duplicateValues" dxfId="121" priority="39"/>
  </conditionalFormatting>
  <conditionalFormatting sqref="AB972">
    <cfRule type="duplicateValues" dxfId="120" priority="239"/>
  </conditionalFormatting>
  <conditionalFormatting sqref="AB973">
    <cfRule type="duplicateValues" dxfId="119" priority="238"/>
  </conditionalFormatting>
  <conditionalFormatting sqref="AB974">
    <cfRule type="duplicateValues" dxfId="118" priority="235"/>
  </conditionalFormatting>
  <conditionalFormatting sqref="AB975">
    <cfRule type="duplicateValues" dxfId="117" priority="234"/>
  </conditionalFormatting>
  <conditionalFormatting sqref="AB976">
    <cfRule type="duplicateValues" dxfId="116" priority="233"/>
  </conditionalFormatting>
  <conditionalFormatting sqref="AB977">
    <cfRule type="duplicateValues" dxfId="115" priority="232"/>
  </conditionalFormatting>
  <conditionalFormatting sqref="AB978">
    <cfRule type="duplicateValues" dxfId="114" priority="231"/>
  </conditionalFormatting>
  <conditionalFormatting sqref="AB979">
    <cfRule type="duplicateValues" dxfId="113" priority="230"/>
  </conditionalFormatting>
  <conditionalFormatting sqref="AB981">
    <cfRule type="duplicateValues" dxfId="112" priority="229"/>
  </conditionalFormatting>
  <conditionalFormatting sqref="AB982">
    <cfRule type="duplicateValues" dxfId="111" priority="227"/>
  </conditionalFormatting>
  <conditionalFormatting sqref="AB986">
    <cfRule type="duplicateValues" dxfId="110" priority="226"/>
  </conditionalFormatting>
  <conditionalFormatting sqref="AB987">
    <cfRule type="duplicateValues" dxfId="109" priority="38"/>
  </conditionalFormatting>
  <conditionalFormatting sqref="AB988">
    <cfRule type="duplicateValues" dxfId="108" priority="225"/>
  </conditionalFormatting>
  <conditionalFormatting sqref="AB989">
    <cfRule type="duplicateValues" dxfId="107" priority="37"/>
  </conditionalFormatting>
  <conditionalFormatting sqref="AB990:AB991">
    <cfRule type="duplicateValues" dxfId="106" priority="36"/>
  </conditionalFormatting>
  <conditionalFormatting sqref="AB993">
    <cfRule type="duplicateValues" dxfId="105" priority="224"/>
  </conditionalFormatting>
  <conditionalFormatting sqref="AB996">
    <cfRule type="duplicateValues" dxfId="104" priority="35"/>
  </conditionalFormatting>
  <conditionalFormatting sqref="AB997">
    <cfRule type="duplicateValues" dxfId="103" priority="34"/>
  </conditionalFormatting>
  <conditionalFormatting sqref="AB998">
    <cfRule type="duplicateValues" dxfId="102" priority="223"/>
  </conditionalFormatting>
  <conditionalFormatting sqref="AB999">
    <cfRule type="duplicateValues" dxfId="101" priority="222"/>
  </conditionalFormatting>
  <conditionalFormatting sqref="AB1000">
    <cfRule type="duplicateValues" dxfId="100" priority="221"/>
  </conditionalFormatting>
  <conditionalFormatting sqref="AB1001">
    <cfRule type="duplicateValues" dxfId="99" priority="220"/>
  </conditionalFormatting>
  <conditionalFormatting sqref="AB1002">
    <cfRule type="duplicateValues" dxfId="98" priority="219"/>
  </conditionalFormatting>
  <conditionalFormatting sqref="AB1008">
    <cfRule type="duplicateValues" dxfId="97" priority="218"/>
  </conditionalFormatting>
  <conditionalFormatting sqref="AB1011">
    <cfRule type="duplicateValues" dxfId="96" priority="217"/>
  </conditionalFormatting>
  <conditionalFormatting sqref="AB1012">
    <cfRule type="duplicateValues" dxfId="95" priority="216"/>
  </conditionalFormatting>
  <conditionalFormatting sqref="AB1014">
    <cfRule type="duplicateValues" dxfId="94" priority="33"/>
  </conditionalFormatting>
  <conditionalFormatting sqref="AB1015">
    <cfRule type="duplicateValues" dxfId="93" priority="32"/>
  </conditionalFormatting>
  <conditionalFormatting sqref="AB1016">
    <cfRule type="duplicateValues" dxfId="92" priority="31"/>
  </conditionalFormatting>
  <conditionalFormatting sqref="AB1022">
    <cfRule type="duplicateValues" dxfId="91" priority="215"/>
  </conditionalFormatting>
  <conditionalFormatting sqref="AB1023">
    <cfRule type="duplicateValues" dxfId="90" priority="214"/>
  </conditionalFormatting>
  <conditionalFormatting sqref="AB1024:AB1025">
    <cfRule type="duplicateValues" dxfId="89" priority="30"/>
  </conditionalFormatting>
  <conditionalFormatting sqref="AB1027">
    <cfRule type="duplicateValues" dxfId="88" priority="29"/>
  </conditionalFormatting>
  <conditionalFormatting sqref="AB1028">
    <cfRule type="duplicateValues" dxfId="87" priority="213"/>
  </conditionalFormatting>
  <conditionalFormatting sqref="AB1029">
    <cfRule type="duplicateValues" dxfId="86" priority="212"/>
  </conditionalFormatting>
  <conditionalFormatting sqref="AB1030">
    <cfRule type="duplicateValues" dxfId="85" priority="28"/>
  </conditionalFormatting>
  <conditionalFormatting sqref="AB1031">
    <cfRule type="duplicateValues" dxfId="84" priority="27"/>
  </conditionalFormatting>
  <conditionalFormatting sqref="AB1032:AB1033">
    <cfRule type="duplicateValues" dxfId="83" priority="26"/>
  </conditionalFormatting>
  <conditionalFormatting sqref="AB1036">
    <cfRule type="duplicateValues" dxfId="82" priority="211"/>
  </conditionalFormatting>
  <conditionalFormatting sqref="AB1037">
    <cfRule type="duplicateValues" dxfId="81" priority="25"/>
  </conditionalFormatting>
  <conditionalFormatting sqref="AB1046">
    <cfRule type="duplicateValues" dxfId="80" priority="210"/>
  </conditionalFormatting>
  <conditionalFormatting sqref="AB1063">
    <cfRule type="duplicateValues" dxfId="79" priority="208"/>
  </conditionalFormatting>
  <conditionalFormatting sqref="AB1064">
    <cfRule type="duplicateValues" dxfId="78" priority="24"/>
  </conditionalFormatting>
  <conditionalFormatting sqref="AB1068">
    <cfRule type="duplicateValues" dxfId="77" priority="23"/>
  </conditionalFormatting>
  <conditionalFormatting sqref="AB1074">
    <cfRule type="duplicateValues" dxfId="76" priority="207"/>
  </conditionalFormatting>
  <conditionalFormatting sqref="AB1075">
    <cfRule type="duplicateValues" dxfId="75" priority="206"/>
  </conditionalFormatting>
  <conditionalFormatting sqref="AB1078">
    <cfRule type="duplicateValues" dxfId="74" priority="22"/>
  </conditionalFormatting>
  <conditionalFormatting sqref="AB1079">
    <cfRule type="duplicateValues" dxfId="73" priority="20"/>
  </conditionalFormatting>
  <conditionalFormatting sqref="AB1080">
    <cfRule type="duplicateValues" dxfId="72" priority="14"/>
  </conditionalFormatting>
  <conditionalFormatting sqref="AB1081">
    <cfRule type="duplicateValues" dxfId="71" priority="19"/>
  </conditionalFormatting>
  <conditionalFormatting sqref="AB1082">
    <cfRule type="duplicateValues" dxfId="70" priority="13"/>
  </conditionalFormatting>
  <conditionalFormatting sqref="AB1083:AB1084">
    <cfRule type="duplicateValues" dxfId="69" priority="18"/>
  </conditionalFormatting>
  <conditionalFormatting sqref="AB1085">
    <cfRule type="duplicateValues" dxfId="68" priority="205"/>
  </conditionalFormatting>
  <conditionalFormatting sqref="AB1086">
    <cfRule type="duplicateValues" dxfId="67" priority="17"/>
  </conditionalFormatting>
  <conditionalFormatting sqref="AB1087">
    <cfRule type="duplicateValues" dxfId="66" priority="21"/>
  </conditionalFormatting>
  <conditionalFormatting sqref="AB1088:AB1089">
    <cfRule type="duplicateValues" dxfId="65" priority="16"/>
  </conditionalFormatting>
  <conditionalFormatting sqref="AB1090">
    <cfRule type="duplicateValues" dxfId="64" priority="202"/>
  </conditionalFormatting>
  <conditionalFormatting sqref="AB1091">
    <cfRule type="duplicateValues" dxfId="63" priority="12"/>
  </conditionalFormatting>
  <conditionalFormatting sqref="AB1092:AB1095">
    <cfRule type="duplicateValues" dxfId="62" priority="503"/>
  </conditionalFormatting>
  <conditionalFormatting sqref="AB1097">
    <cfRule type="duplicateValues" dxfId="61" priority="11"/>
  </conditionalFormatting>
  <conditionalFormatting sqref="AB1104">
    <cfRule type="duplicateValues" dxfId="60" priority="201"/>
  </conditionalFormatting>
  <conditionalFormatting sqref="AB1105">
    <cfRule type="duplicateValues" dxfId="59" priority="200"/>
  </conditionalFormatting>
  <conditionalFormatting sqref="AB1106">
    <cfRule type="duplicateValues" dxfId="58" priority="199"/>
  </conditionalFormatting>
  <conditionalFormatting sqref="AB1110">
    <cfRule type="duplicateValues" dxfId="57" priority="198"/>
  </conditionalFormatting>
  <conditionalFormatting sqref="AB1112">
    <cfRule type="duplicateValues" dxfId="56" priority="197"/>
  </conditionalFormatting>
  <conditionalFormatting sqref="AB1117">
    <cfRule type="duplicateValues" dxfId="55" priority="196"/>
  </conditionalFormatting>
  <conditionalFormatting sqref="AB1120">
    <cfRule type="duplicateValues" dxfId="54" priority="195"/>
  </conditionalFormatting>
  <conditionalFormatting sqref="AB1123">
    <cfRule type="duplicateValues" dxfId="53" priority="194"/>
  </conditionalFormatting>
  <conditionalFormatting sqref="AB1125">
    <cfRule type="duplicateValues" dxfId="52" priority="193"/>
  </conditionalFormatting>
  <conditionalFormatting sqref="AB1126">
    <cfRule type="duplicateValues" dxfId="51" priority="192"/>
  </conditionalFormatting>
  <conditionalFormatting sqref="AB1127">
    <cfRule type="duplicateValues" dxfId="50" priority="191"/>
  </conditionalFormatting>
  <conditionalFormatting sqref="AB1128">
    <cfRule type="duplicateValues" dxfId="49" priority="190"/>
  </conditionalFormatting>
  <conditionalFormatting sqref="AB1129">
    <cfRule type="duplicateValues" dxfId="48" priority="189"/>
  </conditionalFormatting>
  <conditionalFormatting sqref="AB1130">
    <cfRule type="duplicateValues" dxfId="47" priority="188"/>
  </conditionalFormatting>
  <conditionalFormatting sqref="AB1131">
    <cfRule type="duplicateValues" dxfId="46" priority="187"/>
  </conditionalFormatting>
  <conditionalFormatting sqref="AB1132">
    <cfRule type="duplicateValues" dxfId="45" priority="186"/>
  </conditionalFormatting>
  <conditionalFormatting sqref="AB1133">
    <cfRule type="duplicateValues" dxfId="44" priority="185"/>
  </conditionalFormatting>
  <conditionalFormatting sqref="AB1134">
    <cfRule type="duplicateValues" dxfId="43" priority="184"/>
  </conditionalFormatting>
  <conditionalFormatting sqref="AB1135">
    <cfRule type="duplicateValues" dxfId="42" priority="183"/>
  </conditionalFormatting>
  <conditionalFormatting sqref="AB1155">
    <cfRule type="duplicateValues" dxfId="41" priority="10"/>
  </conditionalFormatting>
  <conditionalFormatting sqref="AB1156">
    <cfRule type="duplicateValues" dxfId="40" priority="9"/>
  </conditionalFormatting>
  <conditionalFormatting sqref="AB1159">
    <cfRule type="duplicateValues" dxfId="39" priority="182"/>
  </conditionalFormatting>
  <conditionalFormatting sqref="AB1160">
    <cfRule type="duplicateValues" dxfId="38" priority="181"/>
  </conditionalFormatting>
  <conditionalFormatting sqref="AB1163">
    <cfRule type="duplicateValues" dxfId="37" priority="180"/>
  </conditionalFormatting>
  <conditionalFormatting sqref="AB1164">
    <cfRule type="duplicateValues" dxfId="36" priority="179"/>
  </conditionalFormatting>
  <conditionalFormatting sqref="AB1165">
    <cfRule type="duplicateValues" dxfId="35" priority="147"/>
  </conditionalFormatting>
  <conditionalFormatting sqref="AB1167">
    <cfRule type="duplicateValues" dxfId="34" priority="178"/>
  </conditionalFormatting>
  <conditionalFormatting sqref="AB1170">
    <cfRule type="duplicateValues" dxfId="33" priority="176"/>
  </conditionalFormatting>
  <conditionalFormatting sqref="AB1171">
    <cfRule type="duplicateValues" dxfId="32" priority="175"/>
  </conditionalFormatting>
  <conditionalFormatting sqref="AB1172">
    <cfRule type="duplicateValues" dxfId="31" priority="173"/>
  </conditionalFormatting>
  <conditionalFormatting sqref="AB1173">
    <cfRule type="duplicateValues" dxfId="30" priority="172"/>
  </conditionalFormatting>
  <conditionalFormatting sqref="AB1174">
    <cfRule type="duplicateValues" dxfId="29" priority="6"/>
  </conditionalFormatting>
  <conditionalFormatting sqref="AB1175">
    <cfRule type="duplicateValues" dxfId="28" priority="171"/>
  </conditionalFormatting>
  <conditionalFormatting sqref="AB1176">
    <cfRule type="duplicateValues" dxfId="27" priority="170"/>
  </conditionalFormatting>
  <conditionalFormatting sqref="AB1177">
    <cfRule type="duplicateValues" dxfId="26" priority="169"/>
  </conditionalFormatting>
  <conditionalFormatting sqref="AB1178">
    <cfRule type="duplicateValues" dxfId="25" priority="168"/>
  </conditionalFormatting>
  <conditionalFormatting sqref="AB1179">
    <cfRule type="duplicateValues" dxfId="24" priority="166"/>
  </conditionalFormatting>
  <conditionalFormatting sqref="AB1180">
    <cfRule type="duplicateValues" dxfId="23" priority="8"/>
  </conditionalFormatting>
  <conditionalFormatting sqref="AB1183">
    <cfRule type="duplicateValues" dxfId="22" priority="165"/>
  </conditionalFormatting>
  <conditionalFormatting sqref="AB1184">
    <cfRule type="duplicateValues" dxfId="21" priority="164"/>
  </conditionalFormatting>
  <conditionalFormatting sqref="AB1185">
    <cfRule type="duplicateValues" dxfId="20" priority="163"/>
  </conditionalFormatting>
  <conditionalFormatting sqref="AB1193">
    <cfRule type="duplicateValues" dxfId="19" priority="162"/>
  </conditionalFormatting>
  <conditionalFormatting sqref="AB1194">
    <cfRule type="duplicateValues" dxfId="18" priority="161"/>
  </conditionalFormatting>
  <conditionalFormatting sqref="AB1195">
    <cfRule type="duplicateValues" dxfId="17" priority="160"/>
  </conditionalFormatting>
  <conditionalFormatting sqref="AB1196">
    <cfRule type="duplicateValues" dxfId="16" priority="7"/>
  </conditionalFormatting>
  <conditionalFormatting sqref="AB1197">
    <cfRule type="duplicateValues" dxfId="15" priority="159"/>
  </conditionalFormatting>
  <conditionalFormatting sqref="AB1198">
    <cfRule type="duplicateValues" dxfId="14" priority="158"/>
  </conditionalFormatting>
  <conditionalFormatting sqref="AB1199">
    <cfRule type="duplicateValues" dxfId="13" priority="157"/>
  </conditionalFormatting>
  <conditionalFormatting sqref="AB1200">
    <cfRule type="duplicateValues" dxfId="12" priority="156"/>
  </conditionalFormatting>
  <conditionalFormatting sqref="AB1201">
    <cfRule type="duplicateValues" dxfId="11" priority="155"/>
  </conditionalFormatting>
  <conditionalFormatting sqref="AB1202">
    <cfRule type="duplicateValues" dxfId="10" priority="154"/>
  </conditionalFormatting>
  <conditionalFormatting sqref="AB1203">
    <cfRule type="duplicateValues" dxfId="9" priority="153"/>
  </conditionalFormatting>
  <conditionalFormatting sqref="AB1204">
    <cfRule type="duplicateValues" dxfId="8" priority="152"/>
  </conditionalFormatting>
  <conditionalFormatting sqref="AB1205">
    <cfRule type="duplicateValues" dxfId="7" priority="151"/>
  </conditionalFormatting>
  <conditionalFormatting sqref="AB1207">
    <cfRule type="duplicateValues" dxfId="6" priority="150"/>
  </conditionalFormatting>
  <conditionalFormatting sqref="AB1208">
    <cfRule type="duplicateValues" dxfId="5" priority="149"/>
  </conditionalFormatting>
  <conditionalFormatting sqref="AB1211">
    <cfRule type="duplicateValues" dxfId="4" priority="148"/>
  </conditionalFormatting>
  <conditionalFormatting sqref="D1044">
    <cfRule type="duplicateValues" dxfId="3" priority="2"/>
  </conditionalFormatting>
  <conditionalFormatting sqref="AB861">
    <cfRule type="duplicateValues" dxfId="2" priority="1"/>
  </conditionalFormatting>
  <dataValidations count="2">
    <dataValidation type="decimal" sqref="W2:W1224" xr:uid="{00000000-0002-0000-0000-000000000000}">
      <formula1>-90</formula1>
      <formula2>90</formula2>
    </dataValidation>
    <dataValidation type="decimal" sqref="X2:X1224" xr:uid="{00000000-0002-0000-0000-000001000000}">
      <formula1>-180</formula1>
      <formula2>180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workbookViewId="0"/>
  </sheetViews>
  <sheetFormatPr defaultRowHeight="14.4"/>
  <cols>
    <col min="1" max="1" width="43" customWidth="1"/>
    <col min="2" max="2" width="22" customWidth="1"/>
    <col min="3" max="6" width="14" customWidth="1"/>
  </cols>
  <sheetData>
    <row r="1" spans="1:6" ht="28.05" customHeight="1">
      <c r="A1" s="43" t="s">
        <v>8054</v>
      </c>
      <c r="B1" s="43"/>
      <c r="C1" s="43"/>
      <c r="D1" s="43"/>
      <c r="E1" s="43"/>
      <c r="F1" s="43"/>
    </row>
    <row r="2" spans="1:6">
      <c r="A2" s="18"/>
      <c r="B2" s="18"/>
      <c r="C2" s="18"/>
      <c r="D2" s="18"/>
      <c r="E2" s="18"/>
      <c r="F2" s="18"/>
    </row>
    <row r="3" spans="1:6">
      <c r="A3" s="19" t="s">
        <v>8055</v>
      </c>
      <c r="B3" s="19" t="s">
        <v>8056</v>
      </c>
      <c r="C3" s="18"/>
      <c r="D3" s="18"/>
      <c r="E3" s="18"/>
      <c r="F3" s="18"/>
    </row>
    <row r="4" spans="1:6">
      <c r="A4" s="20" t="s">
        <v>8057</v>
      </c>
      <c r="B4" s="21">
        <f>ROWS(Sheet1!W2:W1224)</f>
        <v>1223</v>
      </c>
      <c r="C4" s="18"/>
      <c r="D4" s="18"/>
      <c r="E4" s="18"/>
      <c r="F4" s="18"/>
    </row>
    <row r="5" spans="1:6">
      <c r="A5" s="22" t="s">
        <v>8058</v>
      </c>
      <c r="B5" s="23">
        <f>COUNT(Sheet1!W2:W1224)</f>
        <v>1220</v>
      </c>
      <c r="C5" s="18"/>
      <c r="D5" s="18"/>
      <c r="E5" s="18"/>
      <c r="F5" s="18"/>
    </row>
    <row r="6" spans="1:6">
      <c r="A6" s="22" t="s">
        <v>8059</v>
      </c>
      <c r="B6" s="23">
        <f>COUNT(Sheet1!X2:X1224)</f>
        <v>1220</v>
      </c>
      <c r="C6" s="18"/>
      <c r="D6" s="18"/>
      <c r="E6" s="18"/>
      <c r="F6" s="18"/>
    </row>
    <row r="7" spans="1:6">
      <c r="A7" s="22" t="s">
        <v>8060</v>
      </c>
      <c r="B7" s="23">
        <f>COUNTIFS(Sheet1!W2:W1224,"&lt;&gt;",Sheet1!X2:X1224,"&lt;&gt;",Sheet1!W2:W1224,"&gt;=-90",Sheet1!W2:W1224,"&lt;=90",Sheet1!X2:X1224,"&gt;=-180",Sheet1!X2:X1224,"&lt;=180")</f>
        <v>1220</v>
      </c>
      <c r="C7" s="18"/>
      <c r="D7" s="18"/>
      <c r="E7" s="18"/>
      <c r="F7" s="18"/>
    </row>
    <row r="8" spans="1:6">
      <c r="A8" s="22" t="s">
        <v>8061</v>
      </c>
      <c r="B8" s="23">
        <f>COUNTIF(QC_Coordenadas!I2:I1224,"Latitud y longitud vacías")</f>
        <v>6</v>
      </c>
      <c r="C8" s="18"/>
      <c r="D8" s="18"/>
      <c r="E8" s="18"/>
      <c r="F8" s="18"/>
    </row>
    <row r="9" spans="1:6">
      <c r="A9" s="22" t="s">
        <v>8062</v>
      </c>
      <c r="B9" s="23">
        <f>COUNTIF(QC_Coordenadas!I2:I1224,"Falta latitud")+COUNTIF(QC_Coordenadas!I2:I1224,"Falta longitud")</f>
        <v>0</v>
      </c>
      <c r="C9" s="18"/>
      <c r="D9" s="18"/>
      <c r="E9" s="18"/>
      <c r="F9" s="18"/>
    </row>
    <row r="10" spans="1:6">
      <c r="A10" s="22" t="s">
        <v>8063</v>
      </c>
      <c r="B10" s="23">
        <f>COUNTIF(QC_Coordenadas!H2:H1224,"ERROR_COORDENADA")</f>
        <v>0</v>
      </c>
      <c r="C10" s="18"/>
      <c r="D10" s="18"/>
      <c r="E10" s="18"/>
      <c r="F10" s="18"/>
    </row>
    <row r="11" spans="1:6">
      <c r="A11" s="22" t="s">
        <v>8064</v>
      </c>
      <c r="B11" s="23">
        <f>COUNTA(QC_Coordenadas!J2:J1224)</f>
        <v>646</v>
      </c>
      <c r="C11" s="18"/>
      <c r="D11" s="18"/>
      <c r="E11" s="18"/>
      <c r="F11" s="18"/>
    </row>
    <row r="12" spans="1:6">
      <c r="A12" s="22" t="s">
        <v>8065</v>
      </c>
      <c r="B12" s="23">
        <f>SUM(QC_Coordenadas!K2:K1224)</f>
        <v>571</v>
      </c>
      <c r="C12" s="18"/>
      <c r="D12" s="18"/>
      <c r="E12" s="18"/>
      <c r="F12" s="18"/>
    </row>
    <row r="13" spans="1:6">
      <c r="A13" s="24" t="s">
        <v>8066</v>
      </c>
      <c r="B13" s="25" t="s">
        <v>8067</v>
      </c>
      <c r="C13" s="18"/>
      <c r="D13" s="18"/>
      <c r="E13" s="18"/>
      <c r="F13" s="18"/>
    </row>
    <row r="14" spans="1:6">
      <c r="A14" s="18"/>
      <c r="B14" s="18"/>
      <c r="C14" s="18"/>
      <c r="D14" s="18"/>
      <c r="E14" s="18"/>
      <c r="F14" s="18"/>
    </row>
    <row r="15" spans="1:6">
      <c r="A15" s="44" t="s">
        <v>8068</v>
      </c>
      <c r="B15" s="44"/>
      <c r="C15" s="44"/>
      <c r="D15" s="44"/>
      <c r="E15" s="44"/>
      <c r="F15" s="44"/>
    </row>
    <row r="16" spans="1:6">
      <c r="A16" s="41" t="s">
        <v>8069</v>
      </c>
      <c r="B16" s="41"/>
      <c r="C16" s="41"/>
      <c r="D16" s="41"/>
      <c r="E16" s="41"/>
      <c r="F16" s="41"/>
    </row>
    <row r="17" spans="1:6">
      <c r="A17" s="41" t="s">
        <v>8070</v>
      </c>
      <c r="B17" s="41"/>
      <c r="C17" s="41"/>
      <c r="D17" s="41"/>
      <c r="E17" s="41"/>
      <c r="F17" s="41"/>
    </row>
    <row r="18" spans="1:6">
      <c r="A18" s="41" t="s">
        <v>8071</v>
      </c>
      <c r="B18" s="41"/>
      <c r="C18" s="41"/>
      <c r="D18" s="41"/>
      <c r="E18" s="41"/>
      <c r="F18" s="41"/>
    </row>
    <row r="19" spans="1:6">
      <c r="A19" s="41" t="s">
        <v>8072</v>
      </c>
      <c r="B19" s="41"/>
      <c r="C19" s="41"/>
      <c r="D19" s="41"/>
      <c r="E19" s="41"/>
      <c r="F19" s="41"/>
    </row>
    <row r="20" spans="1:6">
      <c r="A20" s="41" t="s">
        <v>8073</v>
      </c>
      <c r="B20" s="41"/>
      <c r="C20" s="41"/>
      <c r="D20" s="41"/>
      <c r="E20" s="41"/>
      <c r="F20" s="41"/>
    </row>
    <row r="21" spans="1:6">
      <c r="A21" s="41" t="s">
        <v>8074</v>
      </c>
      <c r="B21" s="41"/>
      <c r="C21" s="41"/>
      <c r="D21" s="41"/>
      <c r="E21" s="41"/>
      <c r="F21" s="41"/>
    </row>
    <row r="22" spans="1:6">
      <c r="A22" s="26"/>
      <c r="B22" s="26"/>
      <c r="C22" s="26"/>
      <c r="D22" s="26"/>
      <c r="E22" s="26"/>
      <c r="F22" s="26"/>
    </row>
    <row r="23" spans="1:6">
      <c r="A23" s="42" t="s">
        <v>8075</v>
      </c>
      <c r="B23" s="42"/>
      <c r="C23" s="42"/>
      <c r="D23" s="42"/>
      <c r="E23" s="42"/>
      <c r="F23" s="42"/>
    </row>
    <row r="24" spans="1:6" ht="34.049999999999997" customHeight="1">
      <c r="A24" s="40" t="s">
        <v>8076</v>
      </c>
      <c r="B24" s="40"/>
      <c r="C24" s="40"/>
      <c r="D24" s="40"/>
      <c r="E24" s="40"/>
      <c r="F24" s="40"/>
    </row>
    <row r="25" spans="1:6" ht="34.049999999999997" customHeight="1">
      <c r="A25" s="40" t="s">
        <v>8077</v>
      </c>
      <c r="B25" s="40"/>
      <c r="C25" s="40"/>
      <c r="D25" s="40"/>
      <c r="E25" s="40"/>
      <c r="F25" s="40"/>
    </row>
    <row r="26" spans="1:6" ht="34.049999999999997" customHeight="1">
      <c r="A26" s="40" t="s">
        <v>8078</v>
      </c>
      <c r="B26" s="40"/>
      <c r="C26" s="40"/>
      <c r="D26" s="40"/>
      <c r="E26" s="40"/>
      <c r="F26" s="40"/>
    </row>
  </sheetData>
  <mergeCells count="12">
    <mergeCell ref="A1:F1"/>
    <mergeCell ref="A15:F15"/>
    <mergeCell ref="A16:F16"/>
    <mergeCell ref="A17:F17"/>
    <mergeCell ref="A18:F18"/>
    <mergeCell ref="A25:F25"/>
    <mergeCell ref="A26:F26"/>
    <mergeCell ref="A19:F19"/>
    <mergeCell ref="A20:F20"/>
    <mergeCell ref="A21:F21"/>
    <mergeCell ref="A23:F23"/>
    <mergeCell ref="A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24"/>
  <sheetViews>
    <sheetView showGridLines="0" workbookViewId="0"/>
  </sheetViews>
  <sheetFormatPr defaultRowHeight="14.4"/>
  <cols>
    <col min="1" max="1" width="11" customWidth="1"/>
    <col min="2" max="3" width="19" customWidth="1"/>
    <col min="4" max="5" width="16" customWidth="1"/>
    <col min="6" max="7" width="28" customWidth="1"/>
    <col min="8" max="8" width="20" customWidth="1"/>
    <col min="9" max="9" width="34" customWidth="1"/>
    <col min="10" max="10" width="25" customWidth="1"/>
    <col min="11" max="11" width="20" customWidth="1"/>
  </cols>
  <sheetData>
    <row r="1" spans="1:11" ht="28.8">
      <c r="A1" s="27" t="s">
        <v>8079</v>
      </c>
      <c r="B1" s="28" t="s">
        <v>8080</v>
      </c>
      <c r="C1" s="28" t="s">
        <v>8081</v>
      </c>
      <c r="D1" s="28" t="s">
        <v>8082</v>
      </c>
      <c r="E1" s="28" t="s">
        <v>8083</v>
      </c>
      <c r="F1" s="28" t="s">
        <v>8084</v>
      </c>
      <c r="G1" s="28" t="s">
        <v>8085</v>
      </c>
      <c r="H1" s="28" t="s">
        <v>8086</v>
      </c>
      <c r="I1" s="28" t="s">
        <v>8087</v>
      </c>
      <c r="J1" s="28" t="s">
        <v>8088</v>
      </c>
      <c r="K1" s="28" t="s">
        <v>8089</v>
      </c>
    </row>
    <row r="2" spans="1:11">
      <c r="A2" s="31">
        <v>2</v>
      </c>
      <c r="B2" s="29" t="s">
        <v>46</v>
      </c>
      <c r="C2" s="29" t="s">
        <v>47</v>
      </c>
      <c r="D2" s="33">
        <v>1.8767332999999999</v>
      </c>
      <c r="E2" s="33">
        <v>-76.268186099999994</v>
      </c>
      <c r="F2" s="29" t="s">
        <v>8090</v>
      </c>
      <c r="G2" s="29" t="s">
        <v>8090</v>
      </c>
      <c r="H2" s="35" t="s">
        <v>8091</v>
      </c>
      <c r="I2" s="29"/>
      <c r="J2" s="29" t="s">
        <v>8092</v>
      </c>
      <c r="K2" s="37">
        <v>0</v>
      </c>
    </row>
    <row r="3" spans="1:11">
      <c r="A3" s="31">
        <v>3</v>
      </c>
      <c r="B3" s="29" t="s">
        <v>8093</v>
      </c>
      <c r="C3" s="29" t="s">
        <v>8094</v>
      </c>
      <c r="D3" s="33">
        <v>1.0825899999999999</v>
      </c>
      <c r="E3" s="33">
        <v>-76.664119999999997</v>
      </c>
      <c r="F3" s="29" t="s">
        <v>8090</v>
      </c>
      <c r="G3" s="29" t="s">
        <v>8090</v>
      </c>
      <c r="H3" s="35" t="s">
        <v>8091</v>
      </c>
      <c r="I3" s="29"/>
      <c r="J3" s="29" t="s">
        <v>8095</v>
      </c>
      <c r="K3" s="37">
        <v>0</v>
      </c>
    </row>
    <row r="4" spans="1:11">
      <c r="A4" s="31">
        <v>4</v>
      </c>
      <c r="B4" s="29" t="s">
        <v>8093</v>
      </c>
      <c r="C4" s="29" t="s">
        <v>8094</v>
      </c>
      <c r="D4" s="33">
        <v>1.0825899999999999</v>
      </c>
      <c r="E4" s="33">
        <v>-76.664119999999997</v>
      </c>
      <c r="F4" s="29" t="s">
        <v>8090</v>
      </c>
      <c r="G4" s="29" t="s">
        <v>8090</v>
      </c>
      <c r="H4" s="35" t="s">
        <v>8091</v>
      </c>
      <c r="I4" s="29"/>
      <c r="J4" s="29"/>
      <c r="K4" s="37">
        <v>1</v>
      </c>
    </row>
    <row r="5" spans="1:11">
      <c r="A5" s="31">
        <v>5</v>
      </c>
      <c r="B5" s="29" t="s">
        <v>8096</v>
      </c>
      <c r="C5" s="29" t="s">
        <v>8097</v>
      </c>
      <c r="D5" s="33">
        <v>3.44733</v>
      </c>
      <c r="E5" s="33">
        <v>-76.541979999999995</v>
      </c>
      <c r="F5" s="29" t="s">
        <v>8090</v>
      </c>
      <c r="G5" s="29" t="s">
        <v>8090</v>
      </c>
      <c r="H5" s="35" t="s">
        <v>8091</v>
      </c>
      <c r="I5" s="29"/>
      <c r="J5" s="29" t="s">
        <v>8098</v>
      </c>
      <c r="K5" s="37">
        <v>0</v>
      </c>
    </row>
    <row r="6" spans="1:11">
      <c r="A6" s="31">
        <v>6</v>
      </c>
      <c r="B6" s="29" t="s">
        <v>8099</v>
      </c>
      <c r="C6" s="29" t="s">
        <v>8100</v>
      </c>
      <c r="D6" s="33">
        <v>6.7830199999999996</v>
      </c>
      <c r="E6" s="33">
        <v>-72.082899999999995</v>
      </c>
      <c r="F6" s="29" t="s">
        <v>8090</v>
      </c>
      <c r="G6" s="29" t="s">
        <v>8090</v>
      </c>
      <c r="H6" s="35" t="s">
        <v>8091</v>
      </c>
      <c r="I6" s="29"/>
      <c r="J6" s="29" t="s">
        <v>8101</v>
      </c>
      <c r="K6" s="37">
        <v>0</v>
      </c>
    </row>
    <row r="7" spans="1:11">
      <c r="A7" s="31">
        <v>7</v>
      </c>
      <c r="B7" s="29" t="s">
        <v>8102</v>
      </c>
      <c r="C7" s="29" t="s">
        <v>8103</v>
      </c>
      <c r="D7" s="33">
        <v>4.9794</v>
      </c>
      <c r="E7" s="33">
        <v>-74.310079999999999</v>
      </c>
      <c r="F7" s="29" t="s">
        <v>8090</v>
      </c>
      <c r="G7" s="29" t="s">
        <v>8090</v>
      </c>
      <c r="H7" s="35" t="s">
        <v>8091</v>
      </c>
      <c r="I7" s="29"/>
      <c r="J7" s="29" t="s">
        <v>8104</v>
      </c>
      <c r="K7" s="37">
        <v>0</v>
      </c>
    </row>
    <row r="8" spans="1:11">
      <c r="A8" s="31">
        <v>8</v>
      </c>
      <c r="B8" s="29" t="s">
        <v>8105</v>
      </c>
      <c r="C8" s="29" t="s">
        <v>8106</v>
      </c>
      <c r="D8" s="33">
        <v>4.41479</v>
      </c>
      <c r="E8" s="33">
        <v>-74.329689999999999</v>
      </c>
      <c r="F8" s="29" t="s">
        <v>8090</v>
      </c>
      <c r="G8" s="29" t="s">
        <v>8090</v>
      </c>
      <c r="H8" s="35" t="s">
        <v>8091</v>
      </c>
      <c r="I8" s="29"/>
      <c r="J8" s="29" t="s">
        <v>8107</v>
      </c>
      <c r="K8" s="37">
        <v>0</v>
      </c>
    </row>
    <row r="9" spans="1:11">
      <c r="A9" s="31">
        <v>9</v>
      </c>
      <c r="B9" s="29" t="s">
        <v>8108</v>
      </c>
      <c r="C9" s="29" t="s">
        <v>8109</v>
      </c>
      <c r="D9" s="33">
        <v>5.6283099999999999</v>
      </c>
      <c r="E9" s="33">
        <v>-73.902479999999997</v>
      </c>
      <c r="F9" s="29" t="s">
        <v>8090</v>
      </c>
      <c r="G9" s="29" t="s">
        <v>8090</v>
      </c>
      <c r="H9" s="35" t="s">
        <v>8091</v>
      </c>
      <c r="I9" s="29"/>
      <c r="J9" s="29" t="s">
        <v>8110</v>
      </c>
      <c r="K9" s="37">
        <v>0</v>
      </c>
    </row>
    <row r="10" spans="1:11">
      <c r="A10" s="31">
        <v>10</v>
      </c>
      <c r="B10" s="29" t="s">
        <v>8111</v>
      </c>
      <c r="C10" s="29" t="s">
        <v>8112</v>
      </c>
      <c r="D10" s="33">
        <v>4.7552000000000003</v>
      </c>
      <c r="E10" s="33">
        <v>-76.28734</v>
      </c>
      <c r="F10" s="29" t="s">
        <v>8090</v>
      </c>
      <c r="G10" s="29" t="s">
        <v>8090</v>
      </c>
      <c r="H10" s="35" t="s">
        <v>8091</v>
      </c>
      <c r="I10" s="29"/>
      <c r="J10" s="29" t="s">
        <v>8113</v>
      </c>
      <c r="K10" s="37">
        <v>0</v>
      </c>
    </row>
    <row r="11" spans="1:11">
      <c r="A11" s="31">
        <v>11</v>
      </c>
      <c r="B11" s="29" t="s">
        <v>8114</v>
      </c>
      <c r="C11" s="29" t="s">
        <v>8115</v>
      </c>
      <c r="D11" s="33">
        <v>1.53403</v>
      </c>
      <c r="E11" s="33">
        <v>-78.067689999999999</v>
      </c>
      <c r="F11" s="29" t="s">
        <v>8090</v>
      </c>
      <c r="G11" s="29" t="s">
        <v>8090</v>
      </c>
      <c r="H11" s="35" t="s">
        <v>8091</v>
      </c>
      <c r="I11" s="29"/>
      <c r="J11" s="29" t="s">
        <v>8116</v>
      </c>
      <c r="K11" s="37">
        <v>0</v>
      </c>
    </row>
    <row r="12" spans="1:11">
      <c r="A12" s="31">
        <v>12</v>
      </c>
      <c r="B12" s="29" t="s">
        <v>8117</v>
      </c>
      <c r="C12" s="29" t="s">
        <v>8118</v>
      </c>
      <c r="D12" s="33">
        <v>4.7179799999999998</v>
      </c>
      <c r="E12" s="33">
        <v>-75.07741</v>
      </c>
      <c r="F12" s="29" t="s">
        <v>8090</v>
      </c>
      <c r="G12" s="29" t="s">
        <v>8090</v>
      </c>
      <c r="H12" s="35" t="s">
        <v>8091</v>
      </c>
      <c r="I12" s="29"/>
      <c r="J12" s="29" t="s">
        <v>8119</v>
      </c>
      <c r="K12" s="37">
        <v>0</v>
      </c>
    </row>
    <row r="13" spans="1:11">
      <c r="A13" s="31">
        <v>13</v>
      </c>
      <c r="B13" s="29" t="s">
        <v>8120</v>
      </c>
      <c r="C13" s="29" t="s">
        <v>8121</v>
      </c>
      <c r="D13" s="33">
        <v>1.96004</v>
      </c>
      <c r="E13" s="33">
        <v>-76.081140000000005</v>
      </c>
      <c r="F13" s="29" t="s">
        <v>8090</v>
      </c>
      <c r="G13" s="29" t="s">
        <v>8090</v>
      </c>
      <c r="H13" s="35" t="s">
        <v>8091</v>
      </c>
      <c r="I13" s="29"/>
      <c r="J13" s="29" t="s">
        <v>8122</v>
      </c>
      <c r="K13" s="37">
        <v>0</v>
      </c>
    </row>
    <row r="14" spans="1:11">
      <c r="A14" s="31">
        <v>14</v>
      </c>
      <c r="B14" s="29" t="s">
        <v>8123</v>
      </c>
      <c r="C14" s="29" t="s">
        <v>8124</v>
      </c>
      <c r="D14" s="33">
        <v>4.7414100000000001</v>
      </c>
      <c r="E14" s="33">
        <v>-76.11797</v>
      </c>
      <c r="F14" s="29" t="s">
        <v>8090</v>
      </c>
      <c r="G14" s="29" t="s">
        <v>8090</v>
      </c>
      <c r="H14" s="35" t="s">
        <v>8091</v>
      </c>
      <c r="I14" s="29"/>
      <c r="J14" s="29" t="s">
        <v>8125</v>
      </c>
      <c r="K14" s="37">
        <v>0</v>
      </c>
    </row>
    <row r="15" spans="1:11">
      <c r="A15" s="31">
        <v>15</v>
      </c>
      <c r="B15" s="29" t="s">
        <v>8123</v>
      </c>
      <c r="C15" s="29" t="s">
        <v>8124</v>
      </c>
      <c r="D15" s="33">
        <v>4.7414100000000001</v>
      </c>
      <c r="E15" s="33">
        <v>-76.11797</v>
      </c>
      <c r="F15" s="29" t="s">
        <v>8090</v>
      </c>
      <c r="G15" s="29" t="s">
        <v>8090</v>
      </c>
      <c r="H15" s="35" t="s">
        <v>8091</v>
      </c>
      <c r="I15" s="29"/>
      <c r="J15" s="29"/>
      <c r="K15" s="37">
        <v>1</v>
      </c>
    </row>
    <row r="16" spans="1:11">
      <c r="A16" s="31">
        <v>16</v>
      </c>
      <c r="B16" s="29" t="s">
        <v>8126</v>
      </c>
      <c r="C16" s="29" t="s">
        <v>8127</v>
      </c>
      <c r="D16" s="33">
        <v>3.9691800000000002</v>
      </c>
      <c r="E16" s="33">
        <v>-76.080100000000002</v>
      </c>
      <c r="F16" s="29" t="s">
        <v>8090</v>
      </c>
      <c r="G16" s="29" t="s">
        <v>8090</v>
      </c>
      <c r="H16" s="35" t="s">
        <v>8091</v>
      </c>
      <c r="I16" s="29"/>
      <c r="J16" s="29" t="s">
        <v>8128</v>
      </c>
      <c r="K16" s="37">
        <v>0</v>
      </c>
    </row>
    <row r="17" spans="1:11">
      <c r="A17" s="31">
        <v>17</v>
      </c>
      <c r="B17" s="29" t="s">
        <v>163</v>
      </c>
      <c r="C17" s="29" t="s">
        <v>164</v>
      </c>
      <c r="D17" s="33">
        <v>5.0577778000000002</v>
      </c>
      <c r="E17" s="33">
        <v>-75.499444400000002</v>
      </c>
      <c r="F17" s="29" t="s">
        <v>8090</v>
      </c>
      <c r="G17" s="29" t="s">
        <v>8090</v>
      </c>
      <c r="H17" s="35" t="s">
        <v>8091</v>
      </c>
      <c r="I17" s="29"/>
      <c r="J17" s="29" t="s">
        <v>8129</v>
      </c>
      <c r="K17" s="37">
        <v>0</v>
      </c>
    </row>
    <row r="18" spans="1:11">
      <c r="A18" s="31">
        <v>18</v>
      </c>
      <c r="B18" s="29" t="s">
        <v>8130</v>
      </c>
      <c r="C18" s="29" t="s">
        <v>8131</v>
      </c>
      <c r="D18" s="33">
        <v>4.4012500000000001</v>
      </c>
      <c r="E18" s="33">
        <v>-75.600149999999999</v>
      </c>
      <c r="F18" s="29" t="s">
        <v>8090</v>
      </c>
      <c r="G18" s="29" t="s">
        <v>8090</v>
      </c>
      <c r="H18" s="35" t="s">
        <v>8091</v>
      </c>
      <c r="I18" s="29"/>
      <c r="J18" s="29" t="s">
        <v>8132</v>
      </c>
      <c r="K18" s="37">
        <v>0</v>
      </c>
    </row>
    <row r="19" spans="1:11">
      <c r="A19" s="31">
        <v>19</v>
      </c>
      <c r="B19" s="29" t="s">
        <v>193</v>
      </c>
      <c r="C19" s="29" t="s">
        <v>194</v>
      </c>
      <c r="D19" s="33">
        <v>2.8136111000000001</v>
      </c>
      <c r="E19" s="33">
        <v>-74.838611099999994</v>
      </c>
      <c r="F19" s="29" t="s">
        <v>8090</v>
      </c>
      <c r="G19" s="29" t="s">
        <v>8090</v>
      </c>
      <c r="H19" s="35" t="s">
        <v>8091</v>
      </c>
      <c r="I19" s="29"/>
      <c r="J19" s="29" t="s">
        <v>8133</v>
      </c>
      <c r="K19" s="37">
        <v>0</v>
      </c>
    </row>
    <row r="20" spans="1:11">
      <c r="A20" s="31">
        <v>20</v>
      </c>
      <c r="B20" s="29" t="s">
        <v>206</v>
      </c>
      <c r="C20" s="29" t="s">
        <v>207</v>
      </c>
      <c r="D20" s="33">
        <v>2.8152778000000001</v>
      </c>
      <c r="E20" s="33">
        <v>-74.841944400000003</v>
      </c>
      <c r="F20" s="29" t="s">
        <v>8090</v>
      </c>
      <c r="G20" s="29" t="s">
        <v>8090</v>
      </c>
      <c r="H20" s="35" t="s">
        <v>8091</v>
      </c>
      <c r="I20" s="29"/>
      <c r="J20" s="29" t="s">
        <v>8134</v>
      </c>
      <c r="K20" s="37">
        <v>0</v>
      </c>
    </row>
    <row r="21" spans="1:11">
      <c r="A21" s="31">
        <v>21</v>
      </c>
      <c r="B21" s="29" t="s">
        <v>206</v>
      </c>
      <c r="C21" s="29" t="s">
        <v>207</v>
      </c>
      <c r="D21" s="33">
        <v>2.8152778000000001</v>
      </c>
      <c r="E21" s="33">
        <v>-74.841944400000003</v>
      </c>
      <c r="F21" s="29" t="s">
        <v>8090</v>
      </c>
      <c r="G21" s="29" t="s">
        <v>8090</v>
      </c>
      <c r="H21" s="35" t="s">
        <v>8091</v>
      </c>
      <c r="I21" s="29"/>
      <c r="J21" s="29"/>
      <c r="K21" s="37">
        <v>1</v>
      </c>
    </row>
    <row r="22" spans="1:11">
      <c r="A22" s="31">
        <v>22</v>
      </c>
      <c r="B22" s="29" t="s">
        <v>8135</v>
      </c>
      <c r="C22" s="29" t="s">
        <v>8136</v>
      </c>
      <c r="D22" s="33">
        <v>4.8996399999999998</v>
      </c>
      <c r="E22" s="33">
        <v>-74.424379999999999</v>
      </c>
      <c r="F22" s="29" t="s">
        <v>8090</v>
      </c>
      <c r="G22" s="29" t="s">
        <v>8090</v>
      </c>
      <c r="H22" s="35" t="s">
        <v>8091</v>
      </c>
      <c r="I22" s="29"/>
      <c r="J22" s="29" t="s">
        <v>8137</v>
      </c>
      <c r="K22" s="37">
        <v>0</v>
      </c>
    </row>
    <row r="23" spans="1:11">
      <c r="A23" s="31">
        <v>23</v>
      </c>
      <c r="B23" s="29" t="s">
        <v>8135</v>
      </c>
      <c r="C23" s="29" t="s">
        <v>8136</v>
      </c>
      <c r="D23" s="33">
        <v>4.8996399999999998</v>
      </c>
      <c r="E23" s="33">
        <v>-74.424379999999999</v>
      </c>
      <c r="F23" s="29" t="s">
        <v>8090</v>
      </c>
      <c r="G23" s="29" t="s">
        <v>8090</v>
      </c>
      <c r="H23" s="35" t="s">
        <v>8091</v>
      </c>
      <c r="I23" s="29"/>
      <c r="J23" s="29"/>
      <c r="K23" s="37">
        <v>1</v>
      </c>
    </row>
    <row r="24" spans="1:11">
      <c r="A24" s="31">
        <v>24</v>
      </c>
      <c r="B24" s="29" t="s">
        <v>8135</v>
      </c>
      <c r="C24" s="29" t="s">
        <v>8136</v>
      </c>
      <c r="D24" s="33">
        <v>4.8996399999999998</v>
      </c>
      <c r="E24" s="33">
        <v>-74.424379999999999</v>
      </c>
      <c r="F24" s="29" t="s">
        <v>8090</v>
      </c>
      <c r="G24" s="29" t="s">
        <v>8090</v>
      </c>
      <c r="H24" s="35" t="s">
        <v>8091</v>
      </c>
      <c r="I24" s="29"/>
      <c r="J24" s="29"/>
      <c r="K24" s="37">
        <v>1</v>
      </c>
    </row>
    <row r="25" spans="1:11">
      <c r="A25" s="31">
        <v>25</v>
      </c>
      <c r="B25" s="29" t="s">
        <v>8138</v>
      </c>
      <c r="C25" s="29" t="s">
        <v>8139</v>
      </c>
      <c r="D25" s="33">
        <v>7.1418900000000001</v>
      </c>
      <c r="E25" s="33">
        <v>-73.024690000000007</v>
      </c>
      <c r="F25" s="29" t="s">
        <v>8090</v>
      </c>
      <c r="G25" s="29" t="s">
        <v>8090</v>
      </c>
      <c r="H25" s="35" t="s">
        <v>8091</v>
      </c>
      <c r="I25" s="29"/>
      <c r="J25" s="29" t="s">
        <v>8140</v>
      </c>
      <c r="K25" s="37">
        <v>0</v>
      </c>
    </row>
    <row r="26" spans="1:11">
      <c r="A26" s="31">
        <v>26</v>
      </c>
      <c r="B26" s="29" t="s">
        <v>233</v>
      </c>
      <c r="C26" s="29" t="s">
        <v>8141</v>
      </c>
      <c r="D26" s="33">
        <v>5.1624999999999996</v>
      </c>
      <c r="E26" s="33">
        <v>-75.495279999999994</v>
      </c>
      <c r="F26" s="29" t="s">
        <v>8090</v>
      </c>
      <c r="G26" s="29" t="s">
        <v>8090</v>
      </c>
      <c r="H26" s="35" t="s">
        <v>8091</v>
      </c>
      <c r="I26" s="29"/>
      <c r="J26" s="29" t="s">
        <v>8142</v>
      </c>
      <c r="K26" s="37">
        <v>0</v>
      </c>
    </row>
    <row r="27" spans="1:11">
      <c r="A27" s="31">
        <v>27</v>
      </c>
      <c r="B27" s="29" t="s">
        <v>248</v>
      </c>
      <c r="C27" s="29" t="s">
        <v>249</v>
      </c>
      <c r="D27" s="33">
        <v>1.8089999999999999</v>
      </c>
      <c r="E27" s="33">
        <v>-76.016499999999994</v>
      </c>
      <c r="F27" s="29" t="s">
        <v>8090</v>
      </c>
      <c r="G27" s="29" t="s">
        <v>8090</v>
      </c>
      <c r="H27" s="35" t="s">
        <v>8091</v>
      </c>
      <c r="I27" s="29"/>
      <c r="J27" s="29" t="s">
        <v>8143</v>
      </c>
      <c r="K27" s="37">
        <v>0</v>
      </c>
    </row>
    <row r="28" spans="1:11">
      <c r="A28" s="31">
        <v>28</v>
      </c>
      <c r="B28" s="29" t="s">
        <v>260</v>
      </c>
      <c r="C28" s="29" t="s">
        <v>261</v>
      </c>
      <c r="D28" s="33">
        <v>2.2122221999999998</v>
      </c>
      <c r="E28" s="33">
        <v>-75.939722200000006</v>
      </c>
      <c r="F28" s="29" t="s">
        <v>8090</v>
      </c>
      <c r="G28" s="29" t="s">
        <v>8090</v>
      </c>
      <c r="H28" s="35" t="s">
        <v>8091</v>
      </c>
      <c r="I28" s="29"/>
      <c r="J28" s="29" t="s">
        <v>8144</v>
      </c>
      <c r="K28" s="37">
        <v>0</v>
      </c>
    </row>
    <row r="29" spans="1:11">
      <c r="A29" s="31">
        <v>29</v>
      </c>
      <c r="B29" s="29" t="s">
        <v>273</v>
      </c>
      <c r="C29" s="29" t="s">
        <v>274</v>
      </c>
      <c r="D29" s="33">
        <v>2.2130556000000001</v>
      </c>
      <c r="E29" s="33">
        <v>-75.947222199999999</v>
      </c>
      <c r="F29" s="29" t="s">
        <v>8090</v>
      </c>
      <c r="G29" s="29" t="s">
        <v>8090</v>
      </c>
      <c r="H29" s="35" t="s">
        <v>8091</v>
      </c>
      <c r="I29" s="29"/>
      <c r="J29" s="29" t="s">
        <v>8145</v>
      </c>
      <c r="K29" s="37">
        <v>0</v>
      </c>
    </row>
    <row r="30" spans="1:11">
      <c r="A30" s="31">
        <v>30</v>
      </c>
      <c r="B30" s="29" t="s">
        <v>273</v>
      </c>
      <c r="C30" s="29" t="s">
        <v>274</v>
      </c>
      <c r="D30" s="33">
        <v>2.2130556000000001</v>
      </c>
      <c r="E30" s="33">
        <v>-75.947222199999999</v>
      </c>
      <c r="F30" s="29" t="s">
        <v>8090</v>
      </c>
      <c r="G30" s="29" t="s">
        <v>8090</v>
      </c>
      <c r="H30" s="35" t="s">
        <v>8091</v>
      </c>
      <c r="I30" s="29"/>
      <c r="J30" s="29"/>
      <c r="K30" s="37">
        <v>1</v>
      </c>
    </row>
    <row r="31" spans="1:11">
      <c r="A31" s="31">
        <v>31</v>
      </c>
      <c r="B31" s="29" t="s">
        <v>273</v>
      </c>
      <c r="C31" s="29" t="s">
        <v>274</v>
      </c>
      <c r="D31" s="33">
        <v>2.2130556000000001</v>
      </c>
      <c r="E31" s="33">
        <v>-75.947222199999999</v>
      </c>
      <c r="F31" s="29" t="s">
        <v>8090</v>
      </c>
      <c r="G31" s="29" t="s">
        <v>8090</v>
      </c>
      <c r="H31" s="35" t="s">
        <v>8091</v>
      </c>
      <c r="I31" s="29"/>
      <c r="J31" s="29"/>
      <c r="K31" s="37">
        <v>1</v>
      </c>
    </row>
    <row r="32" spans="1:11">
      <c r="A32" s="31">
        <v>32</v>
      </c>
      <c r="B32" s="29" t="s">
        <v>8146</v>
      </c>
      <c r="C32" s="29" t="s">
        <v>8147</v>
      </c>
      <c r="D32" s="33">
        <v>2.51058</v>
      </c>
      <c r="E32" s="33">
        <v>-76.984210000000004</v>
      </c>
      <c r="F32" s="29" t="s">
        <v>8090</v>
      </c>
      <c r="G32" s="29" t="s">
        <v>8090</v>
      </c>
      <c r="H32" s="35" t="s">
        <v>8091</v>
      </c>
      <c r="I32" s="29"/>
      <c r="J32" s="29" t="s">
        <v>8148</v>
      </c>
      <c r="K32" s="37">
        <v>0</v>
      </c>
    </row>
    <row r="33" spans="1:11">
      <c r="A33" s="31">
        <v>33</v>
      </c>
      <c r="B33" s="29" t="s">
        <v>293</v>
      </c>
      <c r="C33" s="29" t="s">
        <v>294</v>
      </c>
      <c r="D33" s="33">
        <v>1.9849861</v>
      </c>
      <c r="E33" s="33">
        <v>-76.285502800000003</v>
      </c>
      <c r="F33" s="29" t="s">
        <v>8090</v>
      </c>
      <c r="G33" s="29" t="s">
        <v>8090</v>
      </c>
      <c r="H33" s="35" t="s">
        <v>8091</v>
      </c>
      <c r="I33" s="29"/>
      <c r="J33" s="29" t="s">
        <v>8149</v>
      </c>
      <c r="K33" s="37">
        <v>0</v>
      </c>
    </row>
    <row r="34" spans="1:11">
      <c r="A34" s="31">
        <v>34</v>
      </c>
      <c r="B34" s="29" t="s">
        <v>8150</v>
      </c>
      <c r="C34" s="29" t="s">
        <v>8151</v>
      </c>
      <c r="D34" s="33">
        <v>4.9848800000000004</v>
      </c>
      <c r="E34" s="33">
        <v>-75.451160000000002</v>
      </c>
      <c r="F34" s="29" t="s">
        <v>8090</v>
      </c>
      <c r="G34" s="29" t="s">
        <v>8090</v>
      </c>
      <c r="H34" s="35" t="s">
        <v>8091</v>
      </c>
      <c r="I34" s="29"/>
      <c r="J34" s="29" t="s">
        <v>8152</v>
      </c>
      <c r="K34" s="37">
        <v>0</v>
      </c>
    </row>
    <row r="35" spans="1:11">
      <c r="A35" s="31">
        <v>35</v>
      </c>
      <c r="B35" s="29" t="s">
        <v>8153</v>
      </c>
      <c r="C35" s="29" t="s">
        <v>8154</v>
      </c>
      <c r="D35" s="33">
        <v>4.6806700000000001</v>
      </c>
      <c r="E35" s="33">
        <v>-75.634519999999995</v>
      </c>
      <c r="F35" s="29" t="s">
        <v>8090</v>
      </c>
      <c r="G35" s="29" t="s">
        <v>8090</v>
      </c>
      <c r="H35" s="35" t="s">
        <v>8091</v>
      </c>
      <c r="I35" s="29"/>
      <c r="J35" s="29" t="s">
        <v>8155</v>
      </c>
      <c r="K35" s="37">
        <v>0</v>
      </c>
    </row>
    <row r="36" spans="1:11">
      <c r="A36" s="31">
        <v>36</v>
      </c>
      <c r="B36" s="29" t="s">
        <v>328</v>
      </c>
      <c r="C36" s="29" t="s">
        <v>329</v>
      </c>
      <c r="D36" s="33">
        <v>1.76895</v>
      </c>
      <c r="E36" s="33">
        <v>-76.018733299999994</v>
      </c>
      <c r="F36" s="29" t="s">
        <v>8090</v>
      </c>
      <c r="G36" s="29" t="s">
        <v>8090</v>
      </c>
      <c r="H36" s="35" t="s">
        <v>8091</v>
      </c>
      <c r="I36" s="29"/>
      <c r="J36" s="29" t="s">
        <v>8156</v>
      </c>
      <c r="K36" s="37">
        <v>0</v>
      </c>
    </row>
    <row r="37" spans="1:11">
      <c r="A37" s="31">
        <v>37</v>
      </c>
      <c r="B37" s="29" t="s">
        <v>8157</v>
      </c>
      <c r="C37" s="29" t="s">
        <v>8158</v>
      </c>
      <c r="D37" s="33">
        <v>1.9033</v>
      </c>
      <c r="E37" s="33">
        <v>-76.265709999999999</v>
      </c>
      <c r="F37" s="29" t="s">
        <v>8090</v>
      </c>
      <c r="G37" s="29" t="s">
        <v>8090</v>
      </c>
      <c r="H37" s="35" t="s">
        <v>8091</v>
      </c>
      <c r="I37" s="29"/>
      <c r="J37" s="29" t="s">
        <v>8159</v>
      </c>
      <c r="K37" s="37">
        <v>0</v>
      </c>
    </row>
    <row r="38" spans="1:11">
      <c r="A38" s="31">
        <v>38</v>
      </c>
      <c r="B38" s="29" t="s">
        <v>8157</v>
      </c>
      <c r="C38" s="29" t="s">
        <v>8158</v>
      </c>
      <c r="D38" s="33">
        <v>1.9033</v>
      </c>
      <c r="E38" s="33">
        <v>-76.265709999999999</v>
      </c>
      <c r="F38" s="29" t="s">
        <v>8090</v>
      </c>
      <c r="G38" s="29" t="s">
        <v>8090</v>
      </c>
      <c r="H38" s="35" t="s">
        <v>8091</v>
      </c>
      <c r="I38" s="29"/>
      <c r="J38" s="29"/>
      <c r="K38" s="37">
        <v>1</v>
      </c>
    </row>
    <row r="39" spans="1:11">
      <c r="A39" s="31">
        <v>39</v>
      </c>
      <c r="B39" s="29" t="s">
        <v>8160</v>
      </c>
      <c r="C39" s="29" t="s">
        <v>8161</v>
      </c>
      <c r="D39" s="33">
        <v>4.5583499999999999</v>
      </c>
      <c r="E39" s="33">
        <v>-75.320210000000003</v>
      </c>
      <c r="F39" s="29" t="s">
        <v>8090</v>
      </c>
      <c r="G39" s="29" t="s">
        <v>8090</v>
      </c>
      <c r="H39" s="35" t="s">
        <v>8091</v>
      </c>
      <c r="I39" s="29"/>
      <c r="J39" s="29" t="s">
        <v>8162</v>
      </c>
      <c r="K39" s="37">
        <v>0</v>
      </c>
    </row>
    <row r="40" spans="1:11">
      <c r="A40" s="31">
        <v>40</v>
      </c>
      <c r="B40" s="29" t="s">
        <v>8163</v>
      </c>
      <c r="C40" s="29" t="s">
        <v>8164</v>
      </c>
      <c r="D40" s="33">
        <v>4.72879</v>
      </c>
      <c r="E40" s="33">
        <v>-75.5779</v>
      </c>
      <c r="F40" s="29" t="s">
        <v>8090</v>
      </c>
      <c r="G40" s="29" t="s">
        <v>8090</v>
      </c>
      <c r="H40" s="35" t="s">
        <v>8091</v>
      </c>
      <c r="I40" s="29"/>
      <c r="J40" s="29" t="s">
        <v>8165</v>
      </c>
      <c r="K40" s="37">
        <v>0</v>
      </c>
    </row>
    <row r="41" spans="1:11">
      <c r="A41" s="31">
        <v>41</v>
      </c>
      <c r="B41" s="29" t="s">
        <v>8166</v>
      </c>
      <c r="C41" s="29" t="s">
        <v>8167</v>
      </c>
      <c r="D41" s="33">
        <v>5.1216900000000001</v>
      </c>
      <c r="E41" s="33">
        <v>-76.008989999999997</v>
      </c>
      <c r="F41" s="29" t="s">
        <v>8090</v>
      </c>
      <c r="G41" s="29" t="s">
        <v>8090</v>
      </c>
      <c r="H41" s="35" t="s">
        <v>8091</v>
      </c>
      <c r="I41" s="29"/>
      <c r="J41" s="29" t="s">
        <v>8168</v>
      </c>
      <c r="K41" s="37">
        <v>0</v>
      </c>
    </row>
    <row r="42" spans="1:11">
      <c r="A42" s="31">
        <v>42</v>
      </c>
      <c r="B42" s="29" t="s">
        <v>8169</v>
      </c>
      <c r="C42" s="29" t="s">
        <v>8170</v>
      </c>
      <c r="D42" s="33">
        <v>4.7657400000000001</v>
      </c>
      <c r="E42" s="33">
        <v>-76.483069999999998</v>
      </c>
      <c r="F42" s="29" t="s">
        <v>8090</v>
      </c>
      <c r="G42" s="29" t="s">
        <v>8090</v>
      </c>
      <c r="H42" s="35" t="s">
        <v>8091</v>
      </c>
      <c r="I42" s="29"/>
      <c r="J42" s="29" t="s">
        <v>8171</v>
      </c>
      <c r="K42" s="37">
        <v>0</v>
      </c>
    </row>
    <row r="43" spans="1:11">
      <c r="A43" s="31">
        <v>43</v>
      </c>
      <c r="B43" s="29" t="s">
        <v>8172</v>
      </c>
      <c r="C43" s="29" t="s">
        <v>8173</v>
      </c>
      <c r="D43" s="33">
        <v>4.6831199999999997</v>
      </c>
      <c r="E43" s="33">
        <v>-74.389629999999997</v>
      </c>
      <c r="F43" s="29" t="s">
        <v>8090</v>
      </c>
      <c r="G43" s="29" t="s">
        <v>8090</v>
      </c>
      <c r="H43" s="35" t="s">
        <v>8091</v>
      </c>
      <c r="I43" s="29"/>
      <c r="J43" s="29" t="s">
        <v>8174</v>
      </c>
      <c r="K43" s="37">
        <v>0</v>
      </c>
    </row>
    <row r="44" spans="1:11">
      <c r="A44" s="31">
        <v>44</v>
      </c>
      <c r="B44" s="29" t="s">
        <v>8123</v>
      </c>
      <c r="C44" s="29" t="s">
        <v>8124</v>
      </c>
      <c r="D44" s="33">
        <v>4.7414100000000001</v>
      </c>
      <c r="E44" s="33">
        <v>-76.11797</v>
      </c>
      <c r="F44" s="29" t="s">
        <v>8090</v>
      </c>
      <c r="G44" s="29" t="s">
        <v>8090</v>
      </c>
      <c r="H44" s="35" t="s">
        <v>8091</v>
      </c>
      <c r="I44" s="29"/>
      <c r="J44" s="29"/>
      <c r="K44" s="37">
        <v>1</v>
      </c>
    </row>
    <row r="45" spans="1:11">
      <c r="A45" s="31">
        <v>45</v>
      </c>
      <c r="B45" s="29" t="s">
        <v>8175</v>
      </c>
      <c r="C45" s="29" t="s">
        <v>8176</v>
      </c>
      <c r="D45" s="33">
        <v>6.0147899999999996</v>
      </c>
      <c r="E45" s="33">
        <v>-75.392189999999999</v>
      </c>
      <c r="F45" s="29" t="s">
        <v>8090</v>
      </c>
      <c r="G45" s="29" t="s">
        <v>8090</v>
      </c>
      <c r="H45" s="35" t="s">
        <v>8091</v>
      </c>
      <c r="I45" s="29"/>
      <c r="J45" s="29" t="s">
        <v>8177</v>
      </c>
      <c r="K45" s="37">
        <v>0</v>
      </c>
    </row>
    <row r="46" spans="1:11">
      <c r="A46" s="31">
        <v>46</v>
      </c>
      <c r="B46" s="29" t="s">
        <v>8178</v>
      </c>
      <c r="C46" s="29" t="s">
        <v>8179</v>
      </c>
      <c r="D46" s="33">
        <v>1.80071</v>
      </c>
      <c r="E46" s="33">
        <v>-75.742609999999999</v>
      </c>
      <c r="F46" s="29" t="s">
        <v>8090</v>
      </c>
      <c r="G46" s="29" t="s">
        <v>8090</v>
      </c>
      <c r="H46" s="35" t="s">
        <v>8091</v>
      </c>
      <c r="I46" s="29"/>
      <c r="J46" s="29" t="s">
        <v>8180</v>
      </c>
      <c r="K46" s="37">
        <v>0</v>
      </c>
    </row>
    <row r="47" spans="1:11">
      <c r="A47" s="31">
        <v>47</v>
      </c>
      <c r="B47" s="29" t="s">
        <v>421</v>
      </c>
      <c r="C47" s="29" t="s">
        <v>422</v>
      </c>
      <c r="D47" s="33">
        <v>6.2166667000000002</v>
      </c>
      <c r="E47" s="33">
        <v>-75.5</v>
      </c>
      <c r="F47" s="29" t="s">
        <v>8181</v>
      </c>
      <c r="G47" s="29" t="s">
        <v>8181</v>
      </c>
      <c r="H47" s="35" t="s">
        <v>8091</v>
      </c>
      <c r="I47" s="29"/>
      <c r="J47" s="29" t="s">
        <v>8182</v>
      </c>
      <c r="K47" s="37">
        <v>0</v>
      </c>
    </row>
    <row r="48" spans="1:11">
      <c r="A48" s="31">
        <v>48</v>
      </c>
      <c r="B48" s="29" t="s">
        <v>421</v>
      </c>
      <c r="C48" s="29" t="s">
        <v>422</v>
      </c>
      <c r="D48" s="33">
        <v>6.2166667000000002</v>
      </c>
      <c r="E48" s="33">
        <v>-75.5</v>
      </c>
      <c r="F48" s="29" t="s">
        <v>8181</v>
      </c>
      <c r="G48" s="29" t="s">
        <v>8181</v>
      </c>
      <c r="H48" s="35" t="s">
        <v>8091</v>
      </c>
      <c r="I48" s="29"/>
      <c r="J48" s="29"/>
      <c r="K48" s="37">
        <v>1</v>
      </c>
    </row>
    <row r="49" spans="1:11">
      <c r="A49" s="31">
        <v>49</v>
      </c>
      <c r="B49" s="29" t="s">
        <v>8183</v>
      </c>
      <c r="C49" s="29" t="s">
        <v>422</v>
      </c>
      <c r="D49" s="33">
        <v>6.2166699999999997</v>
      </c>
      <c r="E49" s="33">
        <v>-75.5</v>
      </c>
      <c r="F49" s="29" t="s">
        <v>8090</v>
      </c>
      <c r="G49" s="29" t="s">
        <v>8090</v>
      </c>
      <c r="H49" s="35" t="s">
        <v>8091</v>
      </c>
      <c r="I49" s="29"/>
      <c r="J49" s="29" t="s">
        <v>8184</v>
      </c>
      <c r="K49" s="37">
        <v>0</v>
      </c>
    </row>
    <row r="50" spans="1:11">
      <c r="A50" s="31">
        <v>50</v>
      </c>
      <c r="B50" s="29" t="s">
        <v>446</v>
      </c>
      <c r="C50" s="29" t="s">
        <v>447</v>
      </c>
      <c r="D50" s="33">
        <v>1.1758972000000001</v>
      </c>
      <c r="E50" s="33">
        <v>-76.879355599999997</v>
      </c>
      <c r="F50" s="29" t="s">
        <v>8090</v>
      </c>
      <c r="G50" s="29" t="s">
        <v>8090</v>
      </c>
      <c r="H50" s="35" t="s">
        <v>8091</v>
      </c>
      <c r="I50" s="29"/>
      <c r="J50" s="29" t="s">
        <v>8185</v>
      </c>
      <c r="K50" s="37">
        <v>0</v>
      </c>
    </row>
    <row r="51" spans="1:11">
      <c r="A51" s="31">
        <v>51</v>
      </c>
      <c r="B51" s="29" t="s">
        <v>459</v>
      </c>
      <c r="C51" s="29" t="s">
        <v>460</v>
      </c>
      <c r="D51" s="33">
        <v>2.5291667000000002</v>
      </c>
      <c r="E51" s="33">
        <v>-76.468611100000004</v>
      </c>
      <c r="F51" s="29" t="s">
        <v>8090</v>
      </c>
      <c r="G51" s="29" t="s">
        <v>8090</v>
      </c>
      <c r="H51" s="35" t="s">
        <v>8091</v>
      </c>
      <c r="I51" s="29"/>
      <c r="J51" s="29" t="s">
        <v>8186</v>
      </c>
      <c r="K51" s="37">
        <v>0</v>
      </c>
    </row>
    <row r="52" spans="1:11">
      <c r="A52" s="31">
        <v>52</v>
      </c>
      <c r="B52" s="29" t="s">
        <v>459</v>
      </c>
      <c r="C52" s="29" t="s">
        <v>460</v>
      </c>
      <c r="D52" s="33">
        <v>2.5291667000000002</v>
      </c>
      <c r="E52" s="33">
        <v>-76.468611100000004</v>
      </c>
      <c r="F52" s="29" t="s">
        <v>8090</v>
      </c>
      <c r="G52" s="29" t="s">
        <v>8090</v>
      </c>
      <c r="H52" s="35" t="s">
        <v>8091</v>
      </c>
      <c r="I52" s="29"/>
      <c r="J52" s="29"/>
      <c r="K52" s="37">
        <v>1</v>
      </c>
    </row>
    <row r="53" spans="1:11">
      <c r="A53" s="31">
        <v>53</v>
      </c>
      <c r="B53" s="29" t="s">
        <v>8187</v>
      </c>
      <c r="C53" s="29" t="s">
        <v>8188</v>
      </c>
      <c r="D53" s="33">
        <v>6.17624</v>
      </c>
      <c r="E53" s="33">
        <v>-75.457849999999993</v>
      </c>
      <c r="F53" s="29" t="s">
        <v>8090</v>
      </c>
      <c r="G53" s="29" t="s">
        <v>8090</v>
      </c>
      <c r="H53" s="35" t="s">
        <v>8091</v>
      </c>
      <c r="I53" s="29"/>
      <c r="J53" s="29" t="s">
        <v>8189</v>
      </c>
      <c r="K53" s="37">
        <v>0</v>
      </c>
    </row>
    <row r="54" spans="1:11">
      <c r="A54" s="31">
        <v>54</v>
      </c>
      <c r="B54" s="29" t="s">
        <v>8187</v>
      </c>
      <c r="C54" s="29" t="s">
        <v>8188</v>
      </c>
      <c r="D54" s="33">
        <v>6.17624</v>
      </c>
      <c r="E54" s="33">
        <v>-75.457849999999993</v>
      </c>
      <c r="F54" s="29" t="s">
        <v>8090</v>
      </c>
      <c r="G54" s="29" t="s">
        <v>8090</v>
      </c>
      <c r="H54" s="35" t="s">
        <v>8091</v>
      </c>
      <c r="I54" s="29"/>
      <c r="J54" s="29"/>
      <c r="K54" s="37">
        <v>1</v>
      </c>
    </row>
    <row r="55" spans="1:11">
      <c r="A55" s="31">
        <v>55</v>
      </c>
      <c r="B55" s="29" t="s">
        <v>8187</v>
      </c>
      <c r="C55" s="29" t="s">
        <v>8188</v>
      </c>
      <c r="D55" s="33">
        <v>6.17624</v>
      </c>
      <c r="E55" s="33">
        <v>-75.457849999999993</v>
      </c>
      <c r="F55" s="29" t="s">
        <v>8090</v>
      </c>
      <c r="G55" s="29" t="s">
        <v>8090</v>
      </c>
      <c r="H55" s="35" t="s">
        <v>8091</v>
      </c>
      <c r="I55" s="29"/>
      <c r="J55" s="29"/>
      <c r="K55" s="37">
        <v>1</v>
      </c>
    </row>
    <row r="56" spans="1:11">
      <c r="A56" s="31">
        <v>56</v>
      </c>
      <c r="B56" s="29" t="s">
        <v>8187</v>
      </c>
      <c r="C56" s="29" t="s">
        <v>8188</v>
      </c>
      <c r="D56" s="33">
        <v>6.17624</v>
      </c>
      <c r="E56" s="33">
        <v>-75.457849999999993</v>
      </c>
      <c r="F56" s="29" t="s">
        <v>8090</v>
      </c>
      <c r="G56" s="29" t="s">
        <v>8090</v>
      </c>
      <c r="H56" s="35" t="s">
        <v>8091</v>
      </c>
      <c r="I56" s="29"/>
      <c r="J56" s="29"/>
      <c r="K56" s="37">
        <v>1</v>
      </c>
    </row>
    <row r="57" spans="1:11">
      <c r="A57" s="31">
        <v>57</v>
      </c>
      <c r="B57" s="29" t="s">
        <v>501</v>
      </c>
      <c r="C57" s="29" t="s">
        <v>502</v>
      </c>
      <c r="D57" s="33">
        <v>5.5259388999999999</v>
      </c>
      <c r="E57" s="33">
        <v>-75.459233299999994</v>
      </c>
      <c r="F57" s="29" t="s">
        <v>8090</v>
      </c>
      <c r="G57" s="29" t="s">
        <v>8090</v>
      </c>
      <c r="H57" s="35" t="s">
        <v>8091</v>
      </c>
      <c r="I57" s="29"/>
      <c r="J57" s="29" t="s">
        <v>8190</v>
      </c>
      <c r="K57" s="37">
        <v>0</v>
      </c>
    </row>
    <row r="58" spans="1:11">
      <c r="A58" s="31">
        <v>58</v>
      </c>
      <c r="B58" s="29" t="s">
        <v>8191</v>
      </c>
      <c r="C58" s="29" t="s">
        <v>8192</v>
      </c>
      <c r="D58" s="33">
        <v>5.5280199999999997</v>
      </c>
      <c r="E58" s="33">
        <v>-75.442319999999995</v>
      </c>
      <c r="F58" s="29" t="s">
        <v>8090</v>
      </c>
      <c r="G58" s="29" t="s">
        <v>8090</v>
      </c>
      <c r="H58" s="35" t="s">
        <v>8091</v>
      </c>
      <c r="I58" s="29"/>
      <c r="J58" s="29" t="s">
        <v>8193</v>
      </c>
      <c r="K58" s="37">
        <v>0</v>
      </c>
    </row>
    <row r="59" spans="1:11">
      <c r="A59" s="31">
        <v>59</v>
      </c>
      <c r="B59" s="29" t="s">
        <v>8166</v>
      </c>
      <c r="C59" s="29" t="s">
        <v>8167</v>
      </c>
      <c r="D59" s="33">
        <v>5.1216900000000001</v>
      </c>
      <c r="E59" s="33">
        <v>-76.008989999999997</v>
      </c>
      <c r="F59" s="29" t="s">
        <v>8090</v>
      </c>
      <c r="G59" s="29" t="s">
        <v>8090</v>
      </c>
      <c r="H59" s="35" t="s">
        <v>8091</v>
      </c>
      <c r="I59" s="29"/>
      <c r="J59" s="29"/>
      <c r="K59" s="37">
        <v>1</v>
      </c>
    </row>
    <row r="60" spans="1:11">
      <c r="A60" s="31">
        <v>60</v>
      </c>
      <c r="B60" s="29" t="s">
        <v>521</v>
      </c>
      <c r="C60" s="29" t="s">
        <v>522</v>
      </c>
      <c r="D60" s="33">
        <v>5.0724638999999998</v>
      </c>
      <c r="E60" s="33">
        <v>-75.962347199999996</v>
      </c>
      <c r="F60" s="29" t="s">
        <v>8090</v>
      </c>
      <c r="G60" s="29" t="s">
        <v>8090</v>
      </c>
      <c r="H60" s="35" t="s">
        <v>8091</v>
      </c>
      <c r="I60" s="29"/>
      <c r="J60" s="29" t="s">
        <v>8194</v>
      </c>
      <c r="K60" s="37">
        <v>0</v>
      </c>
    </row>
    <row r="61" spans="1:11">
      <c r="A61" s="31">
        <v>61</v>
      </c>
      <c r="B61" s="29" t="s">
        <v>8195</v>
      </c>
      <c r="C61" s="29" t="s">
        <v>8196</v>
      </c>
      <c r="D61" s="33">
        <v>6.0493899999999998</v>
      </c>
      <c r="E61" s="33">
        <v>-75.598979999999997</v>
      </c>
      <c r="F61" s="29" t="s">
        <v>8090</v>
      </c>
      <c r="G61" s="29" t="s">
        <v>8090</v>
      </c>
      <c r="H61" s="35" t="s">
        <v>8091</v>
      </c>
      <c r="I61" s="29"/>
      <c r="J61" s="29" t="s">
        <v>8197</v>
      </c>
      <c r="K61" s="37">
        <v>0</v>
      </c>
    </row>
    <row r="62" spans="1:11">
      <c r="A62" s="31">
        <v>62</v>
      </c>
      <c r="B62" s="29" t="s">
        <v>8198</v>
      </c>
      <c r="C62" s="29" t="s">
        <v>8199</v>
      </c>
      <c r="D62" s="33">
        <v>6.2765700000000004</v>
      </c>
      <c r="E62" s="33">
        <v>-75.476320000000001</v>
      </c>
      <c r="F62" s="29" t="s">
        <v>8090</v>
      </c>
      <c r="G62" s="29" t="s">
        <v>8090</v>
      </c>
      <c r="H62" s="35" t="s">
        <v>8091</v>
      </c>
      <c r="I62" s="29"/>
      <c r="J62" s="29" t="s">
        <v>8200</v>
      </c>
      <c r="K62" s="37">
        <v>0</v>
      </c>
    </row>
    <row r="63" spans="1:11">
      <c r="A63" s="31">
        <v>63</v>
      </c>
      <c r="B63" s="29" t="s">
        <v>8201</v>
      </c>
      <c r="C63" s="29" t="s">
        <v>8202</v>
      </c>
      <c r="D63" s="33">
        <v>6.0806699999999996</v>
      </c>
      <c r="E63" s="33">
        <v>-75.595849999999999</v>
      </c>
      <c r="F63" s="29" t="s">
        <v>8090</v>
      </c>
      <c r="G63" s="29" t="s">
        <v>8090</v>
      </c>
      <c r="H63" s="35" t="s">
        <v>8091</v>
      </c>
      <c r="I63" s="29"/>
      <c r="J63" s="29" t="s">
        <v>8203</v>
      </c>
      <c r="K63" s="37">
        <v>0</v>
      </c>
    </row>
    <row r="64" spans="1:11">
      <c r="A64" s="31">
        <v>64</v>
      </c>
      <c r="B64" s="29" t="s">
        <v>163</v>
      </c>
      <c r="C64" s="29" t="s">
        <v>164</v>
      </c>
      <c r="D64" s="33">
        <v>5.0577778000000002</v>
      </c>
      <c r="E64" s="33">
        <v>-75.499444400000002</v>
      </c>
      <c r="F64" s="29" t="s">
        <v>8090</v>
      </c>
      <c r="G64" s="29" t="s">
        <v>8090</v>
      </c>
      <c r="H64" s="35" t="s">
        <v>8091</v>
      </c>
      <c r="I64" s="29"/>
      <c r="J64" s="29"/>
      <c r="K64" s="37">
        <v>1</v>
      </c>
    </row>
    <row r="65" spans="1:11">
      <c r="A65" s="31">
        <v>65</v>
      </c>
      <c r="B65" s="29" t="s">
        <v>163</v>
      </c>
      <c r="C65" s="29" t="s">
        <v>164</v>
      </c>
      <c r="D65" s="33">
        <v>5.0577778000000002</v>
      </c>
      <c r="E65" s="33">
        <v>-75.499444400000002</v>
      </c>
      <c r="F65" s="29" t="s">
        <v>8090</v>
      </c>
      <c r="G65" s="29" t="s">
        <v>8090</v>
      </c>
      <c r="H65" s="35" t="s">
        <v>8091</v>
      </c>
      <c r="I65" s="29"/>
      <c r="J65" s="29"/>
      <c r="K65" s="37">
        <v>1</v>
      </c>
    </row>
    <row r="66" spans="1:11">
      <c r="A66" s="31">
        <v>66</v>
      </c>
      <c r="B66" s="29" t="s">
        <v>577</v>
      </c>
      <c r="C66" s="29" t="s">
        <v>578</v>
      </c>
      <c r="D66" s="33">
        <v>5.0671333000000001</v>
      </c>
      <c r="E66" s="33">
        <v>-75.518288900000002</v>
      </c>
      <c r="F66" s="29" t="s">
        <v>8090</v>
      </c>
      <c r="G66" s="29" t="s">
        <v>8090</v>
      </c>
      <c r="H66" s="35" t="s">
        <v>8091</v>
      </c>
      <c r="I66" s="29"/>
      <c r="J66" s="29" t="s">
        <v>8204</v>
      </c>
      <c r="K66" s="37">
        <v>0</v>
      </c>
    </row>
    <row r="67" spans="1:11">
      <c r="A67" s="31">
        <v>67</v>
      </c>
      <c r="B67" s="29" t="s">
        <v>163</v>
      </c>
      <c r="C67" s="29" t="s">
        <v>164</v>
      </c>
      <c r="D67" s="33">
        <v>5.0577778000000002</v>
      </c>
      <c r="E67" s="33">
        <v>-75.499444400000002</v>
      </c>
      <c r="F67" s="29" t="s">
        <v>8090</v>
      </c>
      <c r="G67" s="29" t="s">
        <v>8090</v>
      </c>
      <c r="H67" s="35" t="s">
        <v>8091</v>
      </c>
      <c r="I67" s="29"/>
      <c r="J67" s="29"/>
      <c r="K67" s="37">
        <v>1</v>
      </c>
    </row>
    <row r="68" spans="1:11">
      <c r="A68" s="31">
        <v>68</v>
      </c>
      <c r="B68" s="29" t="s">
        <v>163</v>
      </c>
      <c r="C68" s="29" t="s">
        <v>164</v>
      </c>
      <c r="D68" s="33">
        <v>5.0577778000000002</v>
      </c>
      <c r="E68" s="33">
        <v>-75.499444400000002</v>
      </c>
      <c r="F68" s="29" t="s">
        <v>8090</v>
      </c>
      <c r="G68" s="29" t="s">
        <v>8090</v>
      </c>
      <c r="H68" s="35" t="s">
        <v>8091</v>
      </c>
      <c r="I68" s="29"/>
      <c r="J68" s="29"/>
      <c r="K68" s="37">
        <v>1</v>
      </c>
    </row>
    <row r="69" spans="1:11">
      <c r="A69" s="31">
        <v>69</v>
      </c>
      <c r="B69" s="29" t="s">
        <v>8201</v>
      </c>
      <c r="C69" s="29" t="s">
        <v>8202</v>
      </c>
      <c r="D69" s="33">
        <v>6.0806699999999996</v>
      </c>
      <c r="E69" s="33">
        <v>-75.595849999999999</v>
      </c>
      <c r="F69" s="29" t="s">
        <v>8090</v>
      </c>
      <c r="G69" s="29" t="s">
        <v>8090</v>
      </c>
      <c r="H69" s="35" t="s">
        <v>8091</v>
      </c>
      <c r="I69" s="29"/>
      <c r="J69" s="29"/>
      <c r="K69" s="37">
        <v>1</v>
      </c>
    </row>
    <row r="70" spans="1:11">
      <c r="A70" s="31">
        <v>70</v>
      </c>
      <c r="B70" s="29" t="s">
        <v>8205</v>
      </c>
      <c r="C70" s="29" t="s">
        <v>8206</v>
      </c>
      <c r="D70" s="33">
        <v>5.07803</v>
      </c>
      <c r="E70" s="33">
        <v>-75.496700000000004</v>
      </c>
      <c r="F70" s="29" t="s">
        <v>8090</v>
      </c>
      <c r="G70" s="29" t="s">
        <v>8090</v>
      </c>
      <c r="H70" s="35" t="s">
        <v>8091</v>
      </c>
      <c r="I70" s="29"/>
      <c r="J70" s="29" t="s">
        <v>8207</v>
      </c>
      <c r="K70" s="37">
        <v>0</v>
      </c>
    </row>
    <row r="71" spans="1:11">
      <c r="A71" s="31">
        <v>71</v>
      </c>
      <c r="B71" s="29" t="s">
        <v>8208</v>
      </c>
      <c r="C71" s="29" t="s">
        <v>8209</v>
      </c>
      <c r="D71" s="33">
        <v>4.9857500000000003</v>
      </c>
      <c r="E71" s="33">
        <v>-75.606960000000001</v>
      </c>
      <c r="F71" s="29" t="s">
        <v>8090</v>
      </c>
      <c r="G71" s="29" t="s">
        <v>8090</v>
      </c>
      <c r="H71" s="35" t="s">
        <v>8091</v>
      </c>
      <c r="I71" s="29"/>
      <c r="J71" s="29" t="s">
        <v>8210</v>
      </c>
      <c r="K71" s="37">
        <v>0</v>
      </c>
    </row>
    <row r="72" spans="1:11">
      <c r="A72" s="31">
        <v>72</v>
      </c>
      <c r="B72" s="29" t="s">
        <v>8211</v>
      </c>
      <c r="C72" s="29" t="s">
        <v>8212</v>
      </c>
      <c r="D72" s="33">
        <v>5.9228800000000001</v>
      </c>
      <c r="E72" s="33">
        <v>-75.303579999999997</v>
      </c>
      <c r="F72" s="29" t="s">
        <v>8090</v>
      </c>
      <c r="G72" s="29" t="s">
        <v>8090</v>
      </c>
      <c r="H72" s="35" t="s">
        <v>8091</v>
      </c>
      <c r="I72" s="29"/>
      <c r="J72" s="29" t="s">
        <v>8213</v>
      </c>
      <c r="K72" s="37">
        <v>0</v>
      </c>
    </row>
    <row r="73" spans="1:11">
      <c r="A73" s="31">
        <v>73</v>
      </c>
      <c r="B73" s="29" t="s">
        <v>624</v>
      </c>
      <c r="C73" s="29" t="s">
        <v>625</v>
      </c>
      <c r="D73" s="33">
        <v>5.5</v>
      </c>
      <c r="E73" s="33">
        <v>-75.833333300000007</v>
      </c>
      <c r="F73" s="29" t="s">
        <v>8090</v>
      </c>
      <c r="G73" s="29" t="s">
        <v>8090</v>
      </c>
      <c r="H73" s="35" t="s">
        <v>8091</v>
      </c>
      <c r="I73" s="29"/>
      <c r="J73" s="29" t="s">
        <v>8214</v>
      </c>
      <c r="K73" s="37">
        <v>0</v>
      </c>
    </row>
    <row r="74" spans="1:11">
      <c r="A74" s="31">
        <v>74</v>
      </c>
      <c r="B74" s="29" t="s">
        <v>637</v>
      </c>
      <c r="C74" s="29" t="s">
        <v>638</v>
      </c>
      <c r="D74" s="33">
        <v>5.9609972000000004</v>
      </c>
      <c r="E74" s="33">
        <v>-75.974625000000003</v>
      </c>
      <c r="F74" s="29" t="s">
        <v>8090</v>
      </c>
      <c r="G74" s="29" t="s">
        <v>8090</v>
      </c>
      <c r="H74" s="35" t="s">
        <v>8091</v>
      </c>
      <c r="I74" s="29"/>
      <c r="J74" s="29" t="s">
        <v>8215</v>
      </c>
      <c r="K74" s="37">
        <v>0</v>
      </c>
    </row>
    <row r="75" spans="1:11">
      <c r="A75" s="31">
        <v>75</v>
      </c>
      <c r="B75" s="29" t="s">
        <v>649</v>
      </c>
      <c r="C75" s="29" t="s">
        <v>650</v>
      </c>
      <c r="D75" s="33">
        <v>1.1666666999999999</v>
      </c>
      <c r="E75" s="33">
        <v>-77.966666700000005</v>
      </c>
      <c r="F75" s="29" t="s">
        <v>8090</v>
      </c>
      <c r="G75" s="29" t="s">
        <v>8090</v>
      </c>
      <c r="H75" s="35" t="s">
        <v>8091</v>
      </c>
      <c r="I75" s="29"/>
      <c r="J75" s="29" t="s">
        <v>8216</v>
      </c>
      <c r="K75" s="37">
        <v>0</v>
      </c>
    </row>
    <row r="76" spans="1:11">
      <c r="A76" s="31">
        <v>76</v>
      </c>
      <c r="B76" s="29" t="s">
        <v>649</v>
      </c>
      <c r="C76" s="29" t="s">
        <v>650</v>
      </c>
      <c r="D76" s="33">
        <v>1.1666666999999999</v>
      </c>
      <c r="E76" s="33">
        <v>-77.966666700000005</v>
      </c>
      <c r="F76" s="29" t="s">
        <v>8090</v>
      </c>
      <c r="G76" s="29" t="s">
        <v>8090</v>
      </c>
      <c r="H76" s="35" t="s">
        <v>8091</v>
      </c>
      <c r="I76" s="29"/>
      <c r="J76" s="29"/>
      <c r="K76" s="37">
        <v>1</v>
      </c>
    </row>
    <row r="77" spans="1:11">
      <c r="A77" s="31">
        <v>77</v>
      </c>
      <c r="B77" s="29" t="s">
        <v>649</v>
      </c>
      <c r="C77" s="29" t="s">
        <v>650</v>
      </c>
      <c r="D77" s="33">
        <v>1.1666666999999999</v>
      </c>
      <c r="E77" s="33">
        <v>-77.966666700000005</v>
      </c>
      <c r="F77" s="29" t="s">
        <v>8090</v>
      </c>
      <c r="G77" s="29" t="s">
        <v>8090</v>
      </c>
      <c r="H77" s="35" t="s">
        <v>8091</v>
      </c>
      <c r="I77" s="29"/>
      <c r="J77" s="29"/>
      <c r="K77" s="37">
        <v>1</v>
      </c>
    </row>
    <row r="78" spans="1:11">
      <c r="A78" s="31">
        <v>78</v>
      </c>
      <c r="B78" s="29" t="s">
        <v>649</v>
      </c>
      <c r="C78" s="29" t="s">
        <v>650</v>
      </c>
      <c r="D78" s="33">
        <v>1.1666666999999999</v>
      </c>
      <c r="E78" s="33">
        <v>-77.966666700000005</v>
      </c>
      <c r="F78" s="29" t="s">
        <v>8090</v>
      </c>
      <c r="G78" s="29" t="s">
        <v>8090</v>
      </c>
      <c r="H78" s="35" t="s">
        <v>8091</v>
      </c>
      <c r="I78" s="29"/>
      <c r="J78" s="29"/>
      <c r="K78" s="37">
        <v>1</v>
      </c>
    </row>
    <row r="79" spans="1:11">
      <c r="A79" s="31">
        <v>79</v>
      </c>
      <c r="B79" s="29" t="s">
        <v>8217</v>
      </c>
      <c r="C79" s="29" t="s">
        <v>8218</v>
      </c>
      <c r="D79" s="33">
        <v>4.7208600000000001</v>
      </c>
      <c r="E79" s="33">
        <v>-75.566289999999995</v>
      </c>
      <c r="F79" s="29" t="s">
        <v>8090</v>
      </c>
      <c r="G79" s="29" t="s">
        <v>8090</v>
      </c>
      <c r="H79" s="35" t="s">
        <v>8091</v>
      </c>
      <c r="I79" s="29"/>
      <c r="J79" s="29" t="s">
        <v>8219</v>
      </c>
      <c r="K79" s="37">
        <v>0</v>
      </c>
    </row>
    <row r="80" spans="1:11">
      <c r="A80" s="31">
        <v>80</v>
      </c>
      <c r="B80" s="29" t="s">
        <v>8220</v>
      </c>
      <c r="C80" s="29" t="s">
        <v>8221</v>
      </c>
      <c r="D80" s="33">
        <v>1.1434500000000001</v>
      </c>
      <c r="E80" s="33">
        <v>-77.995670000000004</v>
      </c>
      <c r="F80" s="29" t="s">
        <v>8090</v>
      </c>
      <c r="G80" s="29" t="s">
        <v>8090</v>
      </c>
      <c r="H80" s="35" t="s">
        <v>8091</v>
      </c>
      <c r="I80" s="29"/>
      <c r="J80" s="29" t="s">
        <v>8222</v>
      </c>
      <c r="K80" s="37">
        <v>0</v>
      </c>
    </row>
    <row r="81" spans="1:11">
      <c r="A81" s="31">
        <v>81</v>
      </c>
      <c r="B81" s="29" t="s">
        <v>8223</v>
      </c>
      <c r="C81" s="29" t="s">
        <v>8224</v>
      </c>
      <c r="D81" s="33">
        <v>3.5899000000000001</v>
      </c>
      <c r="E81" s="33">
        <v>-74.709339999999997</v>
      </c>
      <c r="F81" s="29" t="s">
        <v>8090</v>
      </c>
      <c r="G81" s="29" t="s">
        <v>8090</v>
      </c>
      <c r="H81" s="35" t="s">
        <v>8091</v>
      </c>
      <c r="I81" s="29"/>
      <c r="J81" s="29" t="s">
        <v>8225</v>
      </c>
      <c r="K81" s="37">
        <v>0</v>
      </c>
    </row>
    <row r="82" spans="1:11">
      <c r="A82" s="31">
        <v>82</v>
      </c>
      <c r="B82" s="29" t="s">
        <v>700</v>
      </c>
      <c r="C82" s="29" t="s">
        <v>701</v>
      </c>
      <c r="D82" s="33">
        <v>2.4333333000000001</v>
      </c>
      <c r="E82" s="33">
        <v>-76.516666700000002</v>
      </c>
      <c r="F82" s="29" t="s">
        <v>8090</v>
      </c>
      <c r="G82" s="29" t="s">
        <v>8090</v>
      </c>
      <c r="H82" s="35" t="s">
        <v>8091</v>
      </c>
      <c r="I82" s="29"/>
      <c r="J82" s="29" t="s">
        <v>8226</v>
      </c>
      <c r="K82" s="37">
        <v>0</v>
      </c>
    </row>
    <row r="83" spans="1:11">
      <c r="A83" s="31">
        <v>83</v>
      </c>
      <c r="B83" s="29" t="s">
        <v>713</v>
      </c>
      <c r="C83" s="29" t="s">
        <v>714</v>
      </c>
      <c r="D83" s="33">
        <v>5.4333333000000001</v>
      </c>
      <c r="E83" s="33">
        <v>-76.033333299999995</v>
      </c>
      <c r="F83" s="29" t="s">
        <v>8090</v>
      </c>
      <c r="G83" s="29" t="s">
        <v>8090</v>
      </c>
      <c r="H83" s="35" t="s">
        <v>8091</v>
      </c>
      <c r="I83" s="29"/>
      <c r="J83" s="29" t="s">
        <v>8227</v>
      </c>
      <c r="K83" s="37">
        <v>0</v>
      </c>
    </row>
    <row r="84" spans="1:11">
      <c r="A84" s="31">
        <v>84</v>
      </c>
      <c r="B84" s="29" t="s">
        <v>8228</v>
      </c>
      <c r="C84" s="29" t="s">
        <v>8229</v>
      </c>
      <c r="D84" s="33">
        <v>7.2102599999999999</v>
      </c>
      <c r="E84" s="33">
        <v>-75.335909999999998</v>
      </c>
      <c r="F84" s="29" t="s">
        <v>8090</v>
      </c>
      <c r="G84" s="29" t="s">
        <v>8090</v>
      </c>
      <c r="H84" s="35" t="s">
        <v>8091</v>
      </c>
      <c r="I84" s="29"/>
      <c r="J84" s="29" t="s">
        <v>8230</v>
      </c>
      <c r="K84" s="37">
        <v>0</v>
      </c>
    </row>
    <row r="85" spans="1:11">
      <c r="A85" s="31">
        <v>85</v>
      </c>
      <c r="B85" s="29" t="s">
        <v>739</v>
      </c>
      <c r="C85" s="29" t="s">
        <v>740</v>
      </c>
      <c r="D85" s="33">
        <v>2.7806582999999998</v>
      </c>
      <c r="E85" s="33">
        <v>-75.256655600000002</v>
      </c>
      <c r="F85" s="29" t="s">
        <v>8090</v>
      </c>
      <c r="G85" s="29" t="s">
        <v>8090</v>
      </c>
      <c r="H85" s="35" t="s">
        <v>8091</v>
      </c>
      <c r="I85" s="29"/>
      <c r="J85" s="29" t="s">
        <v>8231</v>
      </c>
      <c r="K85" s="37">
        <v>0</v>
      </c>
    </row>
    <row r="86" spans="1:11">
      <c r="A86" s="31">
        <v>86</v>
      </c>
      <c r="B86" s="29" t="s">
        <v>8232</v>
      </c>
      <c r="C86" s="29" t="s">
        <v>8233</v>
      </c>
      <c r="D86" s="33">
        <v>2.7770700000000001</v>
      </c>
      <c r="E86" s="33">
        <v>-75.199539999999999</v>
      </c>
      <c r="F86" s="29" t="s">
        <v>8090</v>
      </c>
      <c r="G86" s="29" t="s">
        <v>8090</v>
      </c>
      <c r="H86" s="35" t="s">
        <v>8091</v>
      </c>
      <c r="I86" s="29"/>
      <c r="J86" s="29" t="s">
        <v>8234</v>
      </c>
      <c r="K86" s="37">
        <v>0</v>
      </c>
    </row>
    <row r="87" spans="1:11">
      <c r="A87" s="31">
        <v>87</v>
      </c>
      <c r="B87" s="29" t="s">
        <v>8235</v>
      </c>
      <c r="C87" s="29" t="s">
        <v>8236</v>
      </c>
      <c r="D87" s="33">
        <v>6.3036199999999996</v>
      </c>
      <c r="E87" s="33">
        <v>-75.518609999999995</v>
      </c>
      <c r="F87" s="29" t="s">
        <v>8090</v>
      </c>
      <c r="G87" s="29" t="s">
        <v>8090</v>
      </c>
      <c r="H87" s="35" t="s">
        <v>8091</v>
      </c>
      <c r="I87" s="29"/>
      <c r="J87" s="29" t="s">
        <v>8237</v>
      </c>
      <c r="K87" s="37">
        <v>0</v>
      </c>
    </row>
    <row r="88" spans="1:11">
      <c r="A88" s="31">
        <v>88</v>
      </c>
      <c r="B88" s="29" t="s">
        <v>8235</v>
      </c>
      <c r="C88" s="29" t="s">
        <v>8236</v>
      </c>
      <c r="D88" s="33">
        <v>6.3036199999999996</v>
      </c>
      <c r="E88" s="33">
        <v>-75.518609999999995</v>
      </c>
      <c r="F88" s="29" t="s">
        <v>8090</v>
      </c>
      <c r="G88" s="29" t="s">
        <v>8090</v>
      </c>
      <c r="H88" s="35" t="s">
        <v>8091</v>
      </c>
      <c r="I88" s="29"/>
      <c r="J88" s="29"/>
      <c r="K88" s="37">
        <v>1</v>
      </c>
    </row>
    <row r="89" spans="1:11">
      <c r="A89" s="31">
        <v>89</v>
      </c>
      <c r="B89" s="29" t="s">
        <v>773</v>
      </c>
      <c r="C89" s="29" t="s">
        <v>774</v>
      </c>
      <c r="D89" s="33">
        <v>2.4500000000000002</v>
      </c>
      <c r="E89" s="33">
        <v>-76.616666699999996</v>
      </c>
      <c r="F89" s="29" t="s">
        <v>8090</v>
      </c>
      <c r="G89" s="29" t="s">
        <v>8090</v>
      </c>
      <c r="H89" s="35" t="s">
        <v>8091</v>
      </c>
      <c r="I89" s="29"/>
      <c r="J89" s="29" t="s">
        <v>8238</v>
      </c>
      <c r="K89" s="37">
        <v>0</v>
      </c>
    </row>
    <row r="90" spans="1:11">
      <c r="A90" s="31">
        <v>90</v>
      </c>
      <c r="B90" s="29" t="s">
        <v>700</v>
      </c>
      <c r="C90" s="29" t="s">
        <v>774</v>
      </c>
      <c r="D90" s="33">
        <v>2.4333333000000001</v>
      </c>
      <c r="E90" s="33">
        <v>-76.616666699999996</v>
      </c>
      <c r="F90" s="29" t="s">
        <v>8090</v>
      </c>
      <c r="G90" s="29" t="s">
        <v>8090</v>
      </c>
      <c r="H90" s="35" t="s">
        <v>8091</v>
      </c>
      <c r="I90" s="29"/>
      <c r="J90" s="29" t="s">
        <v>8239</v>
      </c>
      <c r="K90" s="37">
        <v>0</v>
      </c>
    </row>
    <row r="91" spans="1:11">
      <c r="A91" s="31">
        <v>91</v>
      </c>
      <c r="B91" s="29" t="s">
        <v>790</v>
      </c>
      <c r="C91" s="29" t="s">
        <v>791</v>
      </c>
      <c r="D91" s="33">
        <v>2.5039278</v>
      </c>
      <c r="E91" s="33">
        <v>-76.391227799999996</v>
      </c>
      <c r="F91" s="29" t="s">
        <v>8090</v>
      </c>
      <c r="G91" s="29" t="s">
        <v>8090</v>
      </c>
      <c r="H91" s="35" t="s">
        <v>8091</v>
      </c>
      <c r="I91" s="29"/>
      <c r="J91" s="29" t="s">
        <v>8240</v>
      </c>
      <c r="K91" s="37">
        <v>0</v>
      </c>
    </row>
    <row r="92" spans="1:11">
      <c r="A92" s="31">
        <v>92</v>
      </c>
      <c r="B92" s="29" t="s">
        <v>801</v>
      </c>
      <c r="C92" s="29" t="s">
        <v>422</v>
      </c>
      <c r="D92" s="33">
        <v>4.6666667000000004</v>
      </c>
      <c r="E92" s="33">
        <v>-75.5</v>
      </c>
      <c r="F92" s="29" t="s">
        <v>8090</v>
      </c>
      <c r="G92" s="29" t="s">
        <v>8090</v>
      </c>
      <c r="H92" s="35" t="s">
        <v>8091</v>
      </c>
      <c r="I92" s="29"/>
      <c r="J92" s="29" t="s">
        <v>8241</v>
      </c>
      <c r="K92" s="37">
        <v>0</v>
      </c>
    </row>
    <row r="93" spans="1:11">
      <c r="A93" s="31">
        <v>93</v>
      </c>
      <c r="B93" s="29" t="s">
        <v>811</v>
      </c>
      <c r="C93" s="29" t="s">
        <v>533</v>
      </c>
      <c r="D93" s="33">
        <v>6.2833332999999998</v>
      </c>
      <c r="E93" s="33">
        <v>-75.533333299999995</v>
      </c>
      <c r="F93" s="29" t="s">
        <v>8090</v>
      </c>
      <c r="G93" s="29" t="s">
        <v>8090</v>
      </c>
      <c r="H93" s="35" t="s">
        <v>8091</v>
      </c>
      <c r="I93" s="29"/>
      <c r="J93" s="29" t="s">
        <v>8242</v>
      </c>
      <c r="K93" s="37">
        <v>0</v>
      </c>
    </row>
    <row r="94" spans="1:11">
      <c r="A94" s="31">
        <v>94</v>
      </c>
      <c r="B94" s="29" t="s">
        <v>700</v>
      </c>
      <c r="C94" s="29" t="s">
        <v>774</v>
      </c>
      <c r="D94" s="33">
        <v>2.4333333000000001</v>
      </c>
      <c r="E94" s="33">
        <v>-76.616666699999996</v>
      </c>
      <c r="F94" s="29" t="s">
        <v>8090</v>
      </c>
      <c r="G94" s="29" t="s">
        <v>8090</v>
      </c>
      <c r="H94" s="35" t="s">
        <v>8091</v>
      </c>
      <c r="I94" s="29"/>
      <c r="J94" s="29"/>
      <c r="K94" s="37">
        <v>1</v>
      </c>
    </row>
    <row r="95" spans="1:11">
      <c r="A95" s="31">
        <v>95</v>
      </c>
      <c r="B95" s="29" t="s">
        <v>773</v>
      </c>
      <c r="C95" s="29" t="s">
        <v>774</v>
      </c>
      <c r="D95" s="33">
        <v>2.4500000000000002</v>
      </c>
      <c r="E95" s="33">
        <v>-76.616666699999996</v>
      </c>
      <c r="F95" s="29" t="s">
        <v>8090</v>
      </c>
      <c r="G95" s="29" t="s">
        <v>8090</v>
      </c>
      <c r="H95" s="35" t="s">
        <v>8091</v>
      </c>
      <c r="I95" s="29"/>
      <c r="J95" s="29"/>
      <c r="K95" s="37">
        <v>1</v>
      </c>
    </row>
    <row r="96" spans="1:11">
      <c r="A96" s="31">
        <v>96</v>
      </c>
      <c r="B96" s="29" t="s">
        <v>8163</v>
      </c>
      <c r="C96" s="29" t="s">
        <v>8164</v>
      </c>
      <c r="D96" s="33">
        <v>4.72879</v>
      </c>
      <c r="E96" s="33">
        <v>-75.5779</v>
      </c>
      <c r="F96" s="29" t="s">
        <v>8090</v>
      </c>
      <c r="G96" s="29" t="s">
        <v>8090</v>
      </c>
      <c r="H96" s="35" t="s">
        <v>8091</v>
      </c>
      <c r="I96" s="29"/>
      <c r="J96" s="29"/>
      <c r="K96" s="37">
        <v>1</v>
      </c>
    </row>
    <row r="97" spans="1:11">
      <c r="A97" s="31">
        <v>97</v>
      </c>
      <c r="B97" s="29" t="s">
        <v>8243</v>
      </c>
      <c r="C97" s="29" t="s">
        <v>8244</v>
      </c>
      <c r="D97" s="33">
        <v>6.2983500000000001</v>
      </c>
      <c r="E97" s="33">
        <v>-75.509330000000006</v>
      </c>
      <c r="F97" s="29" t="s">
        <v>8090</v>
      </c>
      <c r="G97" s="29" t="s">
        <v>8090</v>
      </c>
      <c r="H97" s="35" t="s">
        <v>8091</v>
      </c>
      <c r="I97" s="29"/>
      <c r="J97" s="29" t="s">
        <v>8245</v>
      </c>
      <c r="K97" s="37">
        <v>0</v>
      </c>
    </row>
    <row r="98" spans="1:11">
      <c r="A98" s="31">
        <v>98</v>
      </c>
      <c r="B98" s="29" t="s">
        <v>8243</v>
      </c>
      <c r="C98" s="29" t="s">
        <v>8244</v>
      </c>
      <c r="D98" s="33">
        <v>6.2983500000000001</v>
      </c>
      <c r="E98" s="33">
        <v>-75.509330000000006</v>
      </c>
      <c r="F98" s="29" t="s">
        <v>8090</v>
      </c>
      <c r="G98" s="29" t="s">
        <v>8090</v>
      </c>
      <c r="H98" s="35" t="s">
        <v>8091</v>
      </c>
      <c r="I98" s="29"/>
      <c r="J98" s="29"/>
      <c r="K98" s="37">
        <v>1</v>
      </c>
    </row>
    <row r="99" spans="1:11">
      <c r="A99" s="31">
        <v>99</v>
      </c>
      <c r="B99" s="29" t="s">
        <v>773</v>
      </c>
      <c r="C99" s="29" t="s">
        <v>774</v>
      </c>
      <c r="D99" s="33">
        <v>2.4500000000000002</v>
      </c>
      <c r="E99" s="33">
        <v>-76.616666699999996</v>
      </c>
      <c r="F99" s="29" t="s">
        <v>8090</v>
      </c>
      <c r="G99" s="29" t="s">
        <v>8090</v>
      </c>
      <c r="H99" s="35" t="s">
        <v>8091</v>
      </c>
      <c r="I99" s="29"/>
      <c r="J99" s="29"/>
      <c r="K99" s="37">
        <v>1</v>
      </c>
    </row>
    <row r="100" spans="1:11">
      <c r="A100" s="31">
        <v>100</v>
      </c>
      <c r="B100" s="29" t="s">
        <v>8246</v>
      </c>
      <c r="C100" s="29" t="s">
        <v>8247</v>
      </c>
      <c r="D100" s="33">
        <v>5.0567799999999998</v>
      </c>
      <c r="E100" s="33">
        <v>-75.495410000000007</v>
      </c>
      <c r="F100" s="29" t="s">
        <v>8090</v>
      </c>
      <c r="G100" s="29" t="s">
        <v>8090</v>
      </c>
      <c r="H100" s="35" t="s">
        <v>8091</v>
      </c>
      <c r="I100" s="29"/>
      <c r="J100" s="29" t="s">
        <v>8248</v>
      </c>
      <c r="K100" s="37">
        <v>0</v>
      </c>
    </row>
    <row r="101" spans="1:11">
      <c r="A101" s="31">
        <v>101</v>
      </c>
      <c r="B101" s="29" t="s">
        <v>8160</v>
      </c>
      <c r="C101" s="29" t="s">
        <v>8161</v>
      </c>
      <c r="D101" s="33">
        <v>4.5583499999999999</v>
      </c>
      <c r="E101" s="33">
        <v>-75.320210000000003</v>
      </c>
      <c r="F101" s="29" t="s">
        <v>8090</v>
      </c>
      <c r="G101" s="29" t="s">
        <v>8090</v>
      </c>
      <c r="H101" s="35" t="s">
        <v>8091</v>
      </c>
      <c r="I101" s="29"/>
      <c r="J101" s="29"/>
      <c r="K101" s="37">
        <v>1</v>
      </c>
    </row>
    <row r="102" spans="1:11">
      <c r="A102" s="31">
        <v>102</v>
      </c>
      <c r="B102" s="29" t="s">
        <v>8249</v>
      </c>
      <c r="C102" s="29" t="s">
        <v>8250</v>
      </c>
      <c r="D102" s="33">
        <v>6.6960300000000004</v>
      </c>
      <c r="E102" s="33">
        <v>-75.597549999999998</v>
      </c>
      <c r="F102" s="29" t="s">
        <v>8090</v>
      </c>
      <c r="G102" s="29" t="s">
        <v>8090</v>
      </c>
      <c r="H102" s="35" t="s">
        <v>8091</v>
      </c>
      <c r="I102" s="29"/>
      <c r="J102" s="29" t="s">
        <v>8251</v>
      </c>
      <c r="K102" s="37">
        <v>0</v>
      </c>
    </row>
    <row r="103" spans="1:11">
      <c r="A103" s="31">
        <v>103</v>
      </c>
      <c r="B103" s="29" t="s">
        <v>8249</v>
      </c>
      <c r="C103" s="29" t="s">
        <v>8250</v>
      </c>
      <c r="D103" s="33">
        <v>6.6960300000000004</v>
      </c>
      <c r="E103" s="33">
        <v>-75.597549999999998</v>
      </c>
      <c r="F103" s="29" t="s">
        <v>8090</v>
      </c>
      <c r="G103" s="29" t="s">
        <v>8090</v>
      </c>
      <c r="H103" s="35" t="s">
        <v>8091</v>
      </c>
      <c r="I103" s="29"/>
      <c r="J103" s="29"/>
      <c r="K103" s="37">
        <v>1</v>
      </c>
    </row>
    <row r="104" spans="1:11">
      <c r="A104" s="31">
        <v>104</v>
      </c>
      <c r="B104" s="29" t="s">
        <v>8252</v>
      </c>
      <c r="C104" s="29" t="s">
        <v>8253</v>
      </c>
      <c r="D104" s="33">
        <v>6.77278</v>
      </c>
      <c r="E104" s="33">
        <v>-75.792029999999997</v>
      </c>
      <c r="F104" s="29" t="s">
        <v>8090</v>
      </c>
      <c r="G104" s="29" t="s">
        <v>8090</v>
      </c>
      <c r="H104" s="35" t="s">
        <v>8091</v>
      </c>
      <c r="I104" s="29"/>
      <c r="J104" s="29" t="s">
        <v>8254</v>
      </c>
      <c r="K104" s="37">
        <v>0</v>
      </c>
    </row>
    <row r="105" spans="1:11">
      <c r="A105" s="31">
        <v>105</v>
      </c>
      <c r="B105" s="29" t="s">
        <v>8255</v>
      </c>
      <c r="C105" s="29" t="s">
        <v>8256</v>
      </c>
      <c r="D105" s="33">
        <v>6.6040799999999997</v>
      </c>
      <c r="E105" s="33">
        <v>-75.736109999999996</v>
      </c>
      <c r="F105" s="29" t="s">
        <v>8090</v>
      </c>
      <c r="G105" s="29" t="s">
        <v>8090</v>
      </c>
      <c r="H105" s="35" t="s">
        <v>8091</v>
      </c>
      <c r="I105" s="29"/>
      <c r="J105" s="29" t="s">
        <v>8257</v>
      </c>
      <c r="K105" s="37">
        <v>0</v>
      </c>
    </row>
    <row r="106" spans="1:11">
      <c r="A106" s="31">
        <v>106</v>
      </c>
      <c r="B106" s="29" t="s">
        <v>8255</v>
      </c>
      <c r="C106" s="29" t="s">
        <v>8256</v>
      </c>
      <c r="D106" s="33">
        <v>6.6040799999999997</v>
      </c>
      <c r="E106" s="33">
        <v>-75.736109999999996</v>
      </c>
      <c r="F106" s="29" t="s">
        <v>8090</v>
      </c>
      <c r="G106" s="29" t="s">
        <v>8090</v>
      </c>
      <c r="H106" s="35" t="s">
        <v>8091</v>
      </c>
      <c r="I106" s="29"/>
      <c r="J106" s="29"/>
      <c r="K106" s="37">
        <v>1</v>
      </c>
    </row>
    <row r="107" spans="1:11">
      <c r="A107" s="31">
        <v>107</v>
      </c>
      <c r="B107" s="29" t="s">
        <v>8258</v>
      </c>
      <c r="C107" s="29" t="s">
        <v>8259</v>
      </c>
      <c r="D107" s="33">
        <v>5.0634800000000002</v>
      </c>
      <c r="E107" s="33">
        <v>-75.484870000000001</v>
      </c>
      <c r="F107" s="29" t="s">
        <v>8090</v>
      </c>
      <c r="G107" s="29" t="s">
        <v>8090</v>
      </c>
      <c r="H107" s="35" t="s">
        <v>8091</v>
      </c>
      <c r="I107" s="29"/>
      <c r="J107" s="29" t="s">
        <v>8260</v>
      </c>
      <c r="K107" s="37">
        <v>0</v>
      </c>
    </row>
    <row r="108" spans="1:11">
      <c r="A108" s="31">
        <v>108</v>
      </c>
      <c r="B108" s="29" t="s">
        <v>8261</v>
      </c>
      <c r="C108" s="29" t="s">
        <v>8262</v>
      </c>
      <c r="D108" s="33">
        <v>1.9963</v>
      </c>
      <c r="E108" s="33">
        <v>-76.939009999999996</v>
      </c>
      <c r="F108" s="29" t="s">
        <v>8090</v>
      </c>
      <c r="G108" s="29" t="s">
        <v>8090</v>
      </c>
      <c r="H108" s="35" t="s">
        <v>8091</v>
      </c>
      <c r="I108" s="29"/>
      <c r="J108" s="29" t="s">
        <v>8263</v>
      </c>
      <c r="K108" s="37">
        <v>0</v>
      </c>
    </row>
    <row r="109" spans="1:11">
      <c r="A109" s="31">
        <v>109</v>
      </c>
      <c r="B109" s="29" t="s">
        <v>954</v>
      </c>
      <c r="C109" s="29" t="s">
        <v>955</v>
      </c>
      <c r="D109" s="33">
        <v>4.9031117000000002</v>
      </c>
      <c r="E109" s="33">
        <v>-75.177352799999994</v>
      </c>
      <c r="F109" s="29" t="s">
        <v>8090</v>
      </c>
      <c r="G109" s="29" t="s">
        <v>8090</v>
      </c>
      <c r="H109" s="35" t="s">
        <v>8091</v>
      </c>
      <c r="I109" s="29"/>
      <c r="J109" s="29" t="s">
        <v>8264</v>
      </c>
      <c r="K109" s="37">
        <v>0</v>
      </c>
    </row>
    <row r="110" spans="1:11">
      <c r="A110" s="31">
        <v>110</v>
      </c>
      <c r="B110" s="29" t="s">
        <v>966</v>
      </c>
      <c r="C110" s="29" t="s">
        <v>967</v>
      </c>
      <c r="D110" s="33">
        <v>1.8244444</v>
      </c>
      <c r="E110" s="33">
        <v>-76.883333300000004</v>
      </c>
      <c r="F110" s="29" t="s">
        <v>8090</v>
      </c>
      <c r="G110" s="29" t="s">
        <v>8090</v>
      </c>
      <c r="H110" s="35" t="s">
        <v>8091</v>
      </c>
      <c r="I110" s="29"/>
      <c r="J110" s="29" t="s">
        <v>8265</v>
      </c>
      <c r="K110" s="37">
        <v>0</v>
      </c>
    </row>
    <row r="111" spans="1:11">
      <c r="A111" s="31">
        <v>111</v>
      </c>
      <c r="B111" s="29" t="s">
        <v>8266</v>
      </c>
      <c r="C111" s="29" t="s">
        <v>8267</v>
      </c>
      <c r="D111" s="33">
        <v>6.20892</v>
      </c>
      <c r="E111" s="33">
        <v>-75.490859999999998</v>
      </c>
      <c r="F111" s="29" t="s">
        <v>8090</v>
      </c>
      <c r="G111" s="29" t="s">
        <v>8090</v>
      </c>
      <c r="H111" s="35" t="s">
        <v>8091</v>
      </c>
      <c r="I111" s="29"/>
      <c r="J111" s="29" t="s">
        <v>8268</v>
      </c>
      <c r="K111" s="37">
        <v>0</v>
      </c>
    </row>
    <row r="112" spans="1:11">
      <c r="A112" s="31">
        <v>112</v>
      </c>
      <c r="B112" s="29" t="s">
        <v>8269</v>
      </c>
      <c r="C112" s="29" t="s">
        <v>8270</v>
      </c>
      <c r="D112" s="33">
        <v>5.0310300000000003</v>
      </c>
      <c r="E112" s="33">
        <v>-75.511129999999994</v>
      </c>
      <c r="F112" s="29" t="s">
        <v>8090</v>
      </c>
      <c r="G112" s="29" t="s">
        <v>8090</v>
      </c>
      <c r="H112" s="35" t="s">
        <v>8091</v>
      </c>
      <c r="I112" s="29"/>
      <c r="J112" s="29" t="s">
        <v>8271</v>
      </c>
      <c r="K112" s="37">
        <v>0</v>
      </c>
    </row>
    <row r="113" spans="1:11">
      <c r="A113" s="31">
        <v>113</v>
      </c>
      <c r="B113" s="29" t="s">
        <v>1003</v>
      </c>
      <c r="C113" s="29" t="s">
        <v>1004</v>
      </c>
      <c r="D113" s="33">
        <v>5.1661666999999998</v>
      </c>
      <c r="E113" s="33">
        <v>-75.401944400000005</v>
      </c>
      <c r="F113" s="29" t="s">
        <v>8090</v>
      </c>
      <c r="G113" s="29" t="s">
        <v>8090</v>
      </c>
      <c r="H113" s="35" t="s">
        <v>8091</v>
      </c>
      <c r="I113" s="29"/>
      <c r="J113" s="29" t="s">
        <v>8272</v>
      </c>
      <c r="K113" s="37">
        <v>0</v>
      </c>
    </row>
    <row r="114" spans="1:11">
      <c r="A114" s="31">
        <v>114</v>
      </c>
      <c r="B114" s="29" t="s">
        <v>1003</v>
      </c>
      <c r="C114" s="29" t="s">
        <v>1004</v>
      </c>
      <c r="D114" s="33">
        <v>5.1661666999999998</v>
      </c>
      <c r="E114" s="33">
        <v>-75.401944400000005</v>
      </c>
      <c r="F114" s="29" t="s">
        <v>8090</v>
      </c>
      <c r="G114" s="29" t="s">
        <v>8090</v>
      </c>
      <c r="H114" s="35" t="s">
        <v>8091</v>
      </c>
      <c r="I114" s="29"/>
      <c r="J114" s="29"/>
      <c r="K114" s="37">
        <v>1</v>
      </c>
    </row>
    <row r="115" spans="1:11">
      <c r="A115" s="31">
        <v>115</v>
      </c>
      <c r="B115" s="29" t="s">
        <v>8273</v>
      </c>
      <c r="C115" s="29" t="s">
        <v>8274</v>
      </c>
      <c r="D115" s="33">
        <v>1.554116667</v>
      </c>
      <c r="E115" s="33">
        <v>-76.294533333333305</v>
      </c>
      <c r="F115" s="29" t="s">
        <v>8090</v>
      </c>
      <c r="G115" s="29" t="s">
        <v>8090</v>
      </c>
      <c r="H115" s="35" t="s">
        <v>8091</v>
      </c>
      <c r="I115" s="29"/>
      <c r="J115" s="29" t="s">
        <v>8275</v>
      </c>
      <c r="K115" s="37">
        <v>0</v>
      </c>
    </row>
    <row r="116" spans="1:11">
      <c r="A116" s="31">
        <v>116</v>
      </c>
      <c r="B116" s="29" t="s">
        <v>8163</v>
      </c>
      <c r="C116" s="29" t="s">
        <v>8164</v>
      </c>
      <c r="D116" s="33">
        <v>4.72879</v>
      </c>
      <c r="E116" s="33">
        <v>-75.5779</v>
      </c>
      <c r="F116" s="29" t="s">
        <v>8090</v>
      </c>
      <c r="G116" s="29" t="s">
        <v>8090</v>
      </c>
      <c r="H116" s="35" t="s">
        <v>8091</v>
      </c>
      <c r="I116" s="29"/>
      <c r="J116" s="29"/>
      <c r="K116" s="37">
        <v>1</v>
      </c>
    </row>
    <row r="117" spans="1:11">
      <c r="A117" s="31">
        <v>117</v>
      </c>
      <c r="B117" s="29" t="s">
        <v>8163</v>
      </c>
      <c r="C117" s="29" t="s">
        <v>8164</v>
      </c>
      <c r="D117" s="33">
        <v>4.72879</v>
      </c>
      <c r="E117" s="33">
        <v>-75.5779</v>
      </c>
      <c r="F117" s="29" t="s">
        <v>8090</v>
      </c>
      <c r="G117" s="29" t="s">
        <v>8090</v>
      </c>
      <c r="H117" s="35" t="s">
        <v>8091</v>
      </c>
      <c r="I117" s="29"/>
      <c r="J117" s="29"/>
      <c r="K117" s="37">
        <v>1</v>
      </c>
    </row>
    <row r="118" spans="1:11">
      <c r="A118" s="31">
        <v>118</v>
      </c>
      <c r="B118" s="29" t="s">
        <v>8276</v>
      </c>
      <c r="C118" s="29" t="s">
        <v>8277</v>
      </c>
      <c r="D118" s="33">
        <v>5.9850399999999997</v>
      </c>
      <c r="E118" s="33">
        <v>-75.629300000000001</v>
      </c>
      <c r="F118" s="29" t="s">
        <v>8090</v>
      </c>
      <c r="G118" s="29" t="s">
        <v>8090</v>
      </c>
      <c r="H118" s="35" t="s">
        <v>8091</v>
      </c>
      <c r="I118" s="29"/>
      <c r="J118" s="29" t="s">
        <v>8278</v>
      </c>
      <c r="K118" s="37">
        <v>0</v>
      </c>
    </row>
    <row r="119" spans="1:11">
      <c r="A119" s="31">
        <v>119</v>
      </c>
      <c r="B119" s="29" t="s">
        <v>1043</v>
      </c>
      <c r="C119" s="29" t="s">
        <v>1044</v>
      </c>
      <c r="D119" s="33">
        <v>1.5551944</v>
      </c>
      <c r="E119" s="33">
        <v>-76.305166700000001</v>
      </c>
      <c r="F119" s="29" t="s">
        <v>8090</v>
      </c>
      <c r="G119" s="29" t="s">
        <v>8090</v>
      </c>
      <c r="H119" s="35" t="s">
        <v>8091</v>
      </c>
      <c r="I119" s="29"/>
      <c r="J119" s="29" t="s">
        <v>8279</v>
      </c>
      <c r="K119" s="37">
        <v>0</v>
      </c>
    </row>
    <row r="120" spans="1:11">
      <c r="A120" s="31">
        <v>120</v>
      </c>
      <c r="B120" s="29" t="s">
        <v>8280</v>
      </c>
      <c r="C120" s="29" t="s">
        <v>8281</v>
      </c>
      <c r="D120" s="33">
        <v>5.5845000000000002</v>
      </c>
      <c r="E120" s="33">
        <v>-75.776840000000007</v>
      </c>
      <c r="F120" s="29" t="s">
        <v>8090</v>
      </c>
      <c r="G120" s="29" t="s">
        <v>8090</v>
      </c>
      <c r="H120" s="35" t="s">
        <v>8091</v>
      </c>
      <c r="I120" s="29"/>
      <c r="J120" s="29" t="s">
        <v>8282</v>
      </c>
      <c r="K120" s="37">
        <v>0</v>
      </c>
    </row>
    <row r="121" spans="1:11">
      <c r="A121" s="31">
        <v>121</v>
      </c>
      <c r="B121" s="29" t="s">
        <v>8283</v>
      </c>
      <c r="C121" s="29" t="s">
        <v>8284</v>
      </c>
      <c r="D121" s="33">
        <v>5.3628900000000002</v>
      </c>
      <c r="E121" s="33">
        <v>-75.680869999999999</v>
      </c>
      <c r="F121" s="29" t="s">
        <v>8090</v>
      </c>
      <c r="G121" s="29" t="s">
        <v>8090</v>
      </c>
      <c r="H121" s="35" t="s">
        <v>8091</v>
      </c>
      <c r="I121" s="29"/>
      <c r="J121" s="29" t="s">
        <v>8285</v>
      </c>
      <c r="K121" s="37">
        <v>0</v>
      </c>
    </row>
    <row r="122" spans="1:11">
      <c r="A122" s="31">
        <v>122</v>
      </c>
      <c r="B122" s="29" t="s">
        <v>8286</v>
      </c>
      <c r="C122" s="29" t="s">
        <v>8287</v>
      </c>
      <c r="D122" s="33">
        <v>5.0813300000000003</v>
      </c>
      <c r="E122" s="33">
        <v>-75.506320000000002</v>
      </c>
      <c r="F122" s="29" t="s">
        <v>8090</v>
      </c>
      <c r="G122" s="29" t="s">
        <v>8090</v>
      </c>
      <c r="H122" s="35" t="s">
        <v>8091</v>
      </c>
      <c r="I122" s="29"/>
      <c r="J122" s="29" t="s">
        <v>8288</v>
      </c>
      <c r="K122" s="37">
        <v>0</v>
      </c>
    </row>
    <row r="123" spans="1:11">
      <c r="A123" s="31">
        <v>123</v>
      </c>
      <c r="B123" s="29" t="s">
        <v>1083</v>
      </c>
      <c r="C123" s="29" t="s">
        <v>1084</v>
      </c>
      <c r="D123" s="33">
        <v>5.0845833000000002</v>
      </c>
      <c r="E123" s="33">
        <v>-75.508416699999998</v>
      </c>
      <c r="F123" s="29" t="s">
        <v>8090</v>
      </c>
      <c r="G123" s="29" t="s">
        <v>8090</v>
      </c>
      <c r="H123" s="35" t="s">
        <v>8091</v>
      </c>
      <c r="I123" s="29"/>
      <c r="J123" s="29" t="s">
        <v>8289</v>
      </c>
      <c r="K123" s="37">
        <v>0</v>
      </c>
    </row>
    <row r="124" spans="1:11">
      <c r="A124" s="31">
        <v>124</v>
      </c>
      <c r="B124" s="29" t="s">
        <v>1094</v>
      </c>
      <c r="C124" s="29" t="s">
        <v>1095</v>
      </c>
      <c r="D124" s="33">
        <v>5.1830556000000003</v>
      </c>
      <c r="E124" s="33">
        <v>-75.457999999999998</v>
      </c>
      <c r="F124" s="29" t="s">
        <v>8090</v>
      </c>
      <c r="G124" s="29" t="s">
        <v>8090</v>
      </c>
      <c r="H124" s="35" t="s">
        <v>8091</v>
      </c>
      <c r="I124" s="29"/>
      <c r="J124" s="29" t="s">
        <v>8290</v>
      </c>
      <c r="K124" s="37">
        <v>0</v>
      </c>
    </row>
    <row r="125" spans="1:11">
      <c r="A125" s="31">
        <v>125</v>
      </c>
      <c r="B125" s="29" t="s">
        <v>8153</v>
      </c>
      <c r="C125" s="29" t="s">
        <v>8154</v>
      </c>
      <c r="D125" s="33">
        <v>4.6806700000000001</v>
      </c>
      <c r="E125" s="33">
        <v>-75.634519999999995</v>
      </c>
      <c r="F125" s="29" t="s">
        <v>8090</v>
      </c>
      <c r="G125" s="29" t="s">
        <v>8090</v>
      </c>
      <c r="H125" s="35" t="s">
        <v>8091</v>
      </c>
      <c r="I125" s="29"/>
      <c r="J125" s="29"/>
      <c r="K125" s="37">
        <v>1</v>
      </c>
    </row>
    <row r="126" spans="1:11">
      <c r="A126" s="31">
        <v>126</v>
      </c>
      <c r="B126" s="29" t="s">
        <v>304</v>
      </c>
      <c r="C126" s="29" t="s">
        <v>305</v>
      </c>
      <c r="D126" s="33">
        <v>4.9848806000000003</v>
      </c>
      <c r="E126" s="33">
        <v>-75.451138900000004</v>
      </c>
      <c r="F126" s="29" t="s">
        <v>8090</v>
      </c>
      <c r="G126" s="29" t="s">
        <v>8090</v>
      </c>
      <c r="H126" s="35" t="s">
        <v>8091</v>
      </c>
      <c r="I126" s="29"/>
      <c r="J126" s="29" t="s">
        <v>8291</v>
      </c>
      <c r="K126" s="37">
        <v>0</v>
      </c>
    </row>
    <row r="127" spans="1:11">
      <c r="A127" s="31">
        <v>127</v>
      </c>
      <c r="B127" s="29" t="s">
        <v>1118</v>
      </c>
      <c r="C127" s="29" t="s">
        <v>1119</v>
      </c>
      <c r="D127" s="33">
        <v>1.3166667000000001</v>
      </c>
      <c r="E127" s="33">
        <v>-77.916666699999993</v>
      </c>
      <c r="F127" s="29" t="s">
        <v>8090</v>
      </c>
      <c r="G127" s="29" t="s">
        <v>8090</v>
      </c>
      <c r="H127" s="35" t="s">
        <v>8091</v>
      </c>
      <c r="I127" s="29"/>
      <c r="J127" s="29" t="s">
        <v>8292</v>
      </c>
      <c r="K127" s="37">
        <v>0</v>
      </c>
    </row>
    <row r="128" spans="1:11">
      <c r="A128" s="31">
        <v>128</v>
      </c>
      <c r="B128" s="29" t="s">
        <v>304</v>
      </c>
      <c r="C128" s="29" t="s">
        <v>305</v>
      </c>
      <c r="D128" s="33">
        <v>4.9848806000000003</v>
      </c>
      <c r="E128" s="33">
        <v>-75.451138900000004</v>
      </c>
      <c r="F128" s="29" t="s">
        <v>8090</v>
      </c>
      <c r="G128" s="29" t="s">
        <v>8090</v>
      </c>
      <c r="H128" s="35" t="s">
        <v>8091</v>
      </c>
      <c r="I128" s="29"/>
      <c r="J128" s="29"/>
      <c r="K128" s="37">
        <v>1</v>
      </c>
    </row>
    <row r="129" spans="1:11">
      <c r="A129" s="31">
        <v>129</v>
      </c>
      <c r="B129" s="29" t="s">
        <v>304</v>
      </c>
      <c r="C129" s="29" t="s">
        <v>305</v>
      </c>
      <c r="D129" s="33">
        <v>4.9848806000000003</v>
      </c>
      <c r="E129" s="33">
        <v>-75.451138900000004</v>
      </c>
      <c r="F129" s="29" t="s">
        <v>8090</v>
      </c>
      <c r="G129" s="29" t="s">
        <v>8090</v>
      </c>
      <c r="H129" s="35" t="s">
        <v>8091</v>
      </c>
      <c r="I129" s="29"/>
      <c r="J129" s="29"/>
      <c r="K129" s="37">
        <v>1</v>
      </c>
    </row>
    <row r="130" spans="1:11">
      <c r="A130" s="31">
        <v>130</v>
      </c>
      <c r="B130" s="29" t="s">
        <v>8293</v>
      </c>
      <c r="C130" s="29" t="s">
        <v>8294</v>
      </c>
      <c r="D130" s="33">
        <v>5.35989</v>
      </c>
      <c r="E130" s="33">
        <v>-75.211290000000005</v>
      </c>
      <c r="F130" s="29" t="s">
        <v>8090</v>
      </c>
      <c r="G130" s="29" t="s">
        <v>8090</v>
      </c>
      <c r="H130" s="35" t="s">
        <v>8091</v>
      </c>
      <c r="I130" s="29"/>
      <c r="J130" s="29" t="s">
        <v>8295</v>
      </c>
      <c r="K130" s="37">
        <v>0</v>
      </c>
    </row>
    <row r="131" spans="1:11">
      <c r="A131" s="31">
        <v>131</v>
      </c>
      <c r="B131" s="29" t="s">
        <v>8153</v>
      </c>
      <c r="C131" s="29" t="s">
        <v>8154</v>
      </c>
      <c r="D131" s="33">
        <v>4.6806700000000001</v>
      </c>
      <c r="E131" s="33">
        <v>-75.634519999999995</v>
      </c>
      <c r="F131" s="29" t="s">
        <v>8090</v>
      </c>
      <c r="G131" s="29" t="s">
        <v>8090</v>
      </c>
      <c r="H131" s="35" t="s">
        <v>8091</v>
      </c>
      <c r="I131" s="29"/>
      <c r="J131" s="29"/>
      <c r="K131" s="37">
        <v>1</v>
      </c>
    </row>
    <row r="132" spans="1:11">
      <c r="A132" s="31">
        <v>132</v>
      </c>
      <c r="B132" s="29" t="s">
        <v>8153</v>
      </c>
      <c r="C132" s="29" t="s">
        <v>8154</v>
      </c>
      <c r="D132" s="33">
        <v>4.6806700000000001</v>
      </c>
      <c r="E132" s="33">
        <v>-75.634519999999995</v>
      </c>
      <c r="F132" s="29" t="s">
        <v>8090</v>
      </c>
      <c r="G132" s="29" t="s">
        <v>8090</v>
      </c>
      <c r="H132" s="35" t="s">
        <v>8091</v>
      </c>
      <c r="I132" s="29"/>
      <c r="J132" s="29"/>
      <c r="K132" s="37">
        <v>1</v>
      </c>
    </row>
    <row r="133" spans="1:11">
      <c r="A133" s="31">
        <v>133</v>
      </c>
      <c r="B133" s="29" t="s">
        <v>8153</v>
      </c>
      <c r="C133" s="29" t="s">
        <v>8154</v>
      </c>
      <c r="D133" s="33">
        <v>4.6806700000000001</v>
      </c>
      <c r="E133" s="33">
        <v>-75.634519999999995</v>
      </c>
      <c r="F133" s="29" t="s">
        <v>8090</v>
      </c>
      <c r="G133" s="29" t="s">
        <v>8090</v>
      </c>
      <c r="H133" s="35" t="s">
        <v>8091</v>
      </c>
      <c r="I133" s="29"/>
      <c r="J133" s="29"/>
      <c r="K133" s="37">
        <v>1</v>
      </c>
    </row>
    <row r="134" spans="1:11">
      <c r="A134" s="31">
        <v>134</v>
      </c>
      <c r="B134" s="29" t="s">
        <v>801</v>
      </c>
      <c r="C134" s="29" t="s">
        <v>422</v>
      </c>
      <c r="D134" s="33">
        <v>4.6666667000000004</v>
      </c>
      <c r="E134" s="33">
        <v>-75.5</v>
      </c>
      <c r="F134" s="29" t="s">
        <v>8090</v>
      </c>
      <c r="G134" s="29" t="s">
        <v>8090</v>
      </c>
      <c r="H134" s="35" t="s">
        <v>8091</v>
      </c>
      <c r="I134" s="29"/>
      <c r="J134" s="29"/>
      <c r="K134" s="37">
        <v>1</v>
      </c>
    </row>
    <row r="135" spans="1:11">
      <c r="A135" s="31">
        <v>135</v>
      </c>
      <c r="B135" s="29" t="s">
        <v>8296</v>
      </c>
      <c r="C135" s="29" t="s">
        <v>8297</v>
      </c>
      <c r="D135" s="33">
        <v>4.6857300000000004</v>
      </c>
      <c r="E135" s="33">
        <v>-75.578029999999998</v>
      </c>
      <c r="F135" s="29" t="s">
        <v>8090</v>
      </c>
      <c r="G135" s="29" t="s">
        <v>8090</v>
      </c>
      <c r="H135" s="35" t="s">
        <v>8091</v>
      </c>
      <c r="I135" s="29"/>
      <c r="J135" s="29" t="s">
        <v>8298</v>
      </c>
      <c r="K135" s="37">
        <v>0</v>
      </c>
    </row>
    <row r="136" spans="1:11">
      <c r="A136" s="31">
        <v>136</v>
      </c>
      <c r="B136" s="29" t="s">
        <v>8217</v>
      </c>
      <c r="C136" s="29" t="s">
        <v>8218</v>
      </c>
      <c r="D136" s="33">
        <v>4.7208600000000001</v>
      </c>
      <c r="E136" s="33">
        <v>-75.566289999999995</v>
      </c>
      <c r="F136" s="29" t="s">
        <v>8090</v>
      </c>
      <c r="G136" s="29" t="s">
        <v>8090</v>
      </c>
      <c r="H136" s="35" t="s">
        <v>8091</v>
      </c>
      <c r="I136" s="29"/>
      <c r="J136" s="29"/>
      <c r="K136" s="37">
        <v>1</v>
      </c>
    </row>
    <row r="137" spans="1:11">
      <c r="A137" s="31">
        <v>137</v>
      </c>
      <c r="B137" s="29" t="s">
        <v>8299</v>
      </c>
      <c r="C137" s="29" t="s">
        <v>8300</v>
      </c>
      <c r="D137" s="33">
        <v>5.1273900000000001</v>
      </c>
      <c r="E137" s="33">
        <v>-75.778400000000005</v>
      </c>
      <c r="F137" s="29" t="s">
        <v>8090</v>
      </c>
      <c r="G137" s="29" t="s">
        <v>8090</v>
      </c>
      <c r="H137" s="35" t="s">
        <v>8091</v>
      </c>
      <c r="I137" s="29"/>
      <c r="J137" s="29" t="s">
        <v>8301</v>
      </c>
      <c r="K137" s="37">
        <v>0</v>
      </c>
    </row>
    <row r="138" spans="1:11">
      <c r="A138" s="31">
        <v>138</v>
      </c>
      <c r="B138" s="29" t="s">
        <v>8302</v>
      </c>
      <c r="C138" s="29" t="s">
        <v>8303</v>
      </c>
      <c r="D138" s="33">
        <v>7.2916699999999999</v>
      </c>
      <c r="E138" s="33">
        <v>-75.066230000000004</v>
      </c>
      <c r="F138" s="29" t="s">
        <v>8090</v>
      </c>
      <c r="G138" s="29" t="s">
        <v>8090</v>
      </c>
      <c r="H138" s="35" t="s">
        <v>8091</v>
      </c>
      <c r="I138" s="29"/>
      <c r="J138" s="29" t="s">
        <v>8304</v>
      </c>
      <c r="K138" s="37">
        <v>0</v>
      </c>
    </row>
    <row r="139" spans="1:11">
      <c r="A139" s="31">
        <v>139</v>
      </c>
      <c r="B139" s="29" t="s">
        <v>8305</v>
      </c>
      <c r="C139" s="29" t="s">
        <v>8306</v>
      </c>
      <c r="D139" s="33">
        <v>5.9879899999999999</v>
      </c>
      <c r="E139" s="33">
        <v>-74.929249999999996</v>
      </c>
      <c r="F139" s="29" t="s">
        <v>8090</v>
      </c>
      <c r="G139" s="29" t="s">
        <v>8090</v>
      </c>
      <c r="H139" s="35" t="s">
        <v>8091</v>
      </c>
      <c r="I139" s="29"/>
      <c r="J139" s="29" t="s">
        <v>8307</v>
      </c>
      <c r="K139" s="37">
        <v>0</v>
      </c>
    </row>
    <row r="140" spans="1:11">
      <c r="A140" s="31">
        <v>140</v>
      </c>
      <c r="B140" s="29" t="s">
        <v>1210</v>
      </c>
      <c r="C140" s="29" t="s">
        <v>1216</v>
      </c>
      <c r="D140" s="33">
        <v>6.05</v>
      </c>
      <c r="E140" s="33">
        <v>-75</v>
      </c>
      <c r="F140" s="29" t="s">
        <v>8090</v>
      </c>
      <c r="G140" s="29" t="s">
        <v>8090</v>
      </c>
      <c r="H140" s="35" t="s">
        <v>8091</v>
      </c>
      <c r="I140" s="29"/>
      <c r="J140" s="29" t="s">
        <v>8308</v>
      </c>
      <c r="K140" s="37">
        <v>0</v>
      </c>
    </row>
    <row r="141" spans="1:11">
      <c r="A141" s="31">
        <v>141</v>
      </c>
      <c r="B141" s="29" t="s">
        <v>1210</v>
      </c>
      <c r="C141" s="29" t="s">
        <v>1216</v>
      </c>
      <c r="D141" s="33">
        <v>6.05</v>
      </c>
      <c r="E141" s="33">
        <v>-75</v>
      </c>
      <c r="F141" s="29" t="s">
        <v>8090</v>
      </c>
      <c r="G141" s="29" t="s">
        <v>8090</v>
      </c>
      <c r="H141" s="35" t="s">
        <v>8091</v>
      </c>
      <c r="I141" s="29"/>
      <c r="J141" s="29"/>
      <c r="K141" s="37">
        <v>1</v>
      </c>
    </row>
    <row r="142" spans="1:11">
      <c r="A142" s="31">
        <v>142</v>
      </c>
      <c r="B142" s="29" t="s">
        <v>1226</v>
      </c>
      <c r="C142" s="29" t="s">
        <v>1227</v>
      </c>
      <c r="D142" s="33">
        <v>7.2662778000000001</v>
      </c>
      <c r="E142" s="33">
        <v>-75.074166700000006</v>
      </c>
      <c r="F142" s="29" t="s">
        <v>8090</v>
      </c>
      <c r="G142" s="29" t="s">
        <v>8090</v>
      </c>
      <c r="H142" s="35" t="s">
        <v>8091</v>
      </c>
      <c r="I142" s="29"/>
      <c r="J142" s="29" t="s">
        <v>8309</v>
      </c>
      <c r="K142" s="37">
        <v>0</v>
      </c>
    </row>
    <row r="143" spans="1:11">
      <c r="A143" s="31">
        <v>143</v>
      </c>
      <c r="B143" s="29" t="s">
        <v>1238</v>
      </c>
      <c r="C143" s="29" t="s">
        <v>1239</v>
      </c>
      <c r="D143" s="33">
        <v>7.2934722000000001</v>
      </c>
      <c r="E143" s="33">
        <v>-75.067472199999997</v>
      </c>
      <c r="F143" s="29" t="s">
        <v>8090</v>
      </c>
      <c r="G143" s="29" t="s">
        <v>8090</v>
      </c>
      <c r="H143" s="35" t="s">
        <v>8091</v>
      </c>
      <c r="I143" s="29"/>
      <c r="J143" s="29" t="s">
        <v>8310</v>
      </c>
      <c r="K143" s="37">
        <v>0</v>
      </c>
    </row>
    <row r="144" spans="1:11">
      <c r="A144" s="31">
        <v>144</v>
      </c>
      <c r="B144" s="29" t="s">
        <v>1238</v>
      </c>
      <c r="C144" s="29" t="s">
        <v>1239</v>
      </c>
      <c r="D144" s="33">
        <v>7.2934722000000001</v>
      </c>
      <c r="E144" s="33">
        <v>-75.067472199999997</v>
      </c>
      <c r="F144" s="29" t="s">
        <v>8090</v>
      </c>
      <c r="G144" s="29" t="s">
        <v>8090</v>
      </c>
      <c r="H144" s="35" t="s">
        <v>8091</v>
      </c>
      <c r="I144" s="29"/>
      <c r="J144" s="29"/>
      <c r="K144" s="37">
        <v>1</v>
      </c>
    </row>
    <row r="145" spans="1:11">
      <c r="A145" s="31">
        <v>145</v>
      </c>
      <c r="B145" s="29" t="s">
        <v>8311</v>
      </c>
      <c r="C145" s="29" t="s">
        <v>8312</v>
      </c>
      <c r="D145" s="33">
        <v>7.2545999999999999</v>
      </c>
      <c r="E145" s="33">
        <v>-75.048810000000003</v>
      </c>
      <c r="F145" s="29" t="s">
        <v>8090</v>
      </c>
      <c r="G145" s="29" t="s">
        <v>8090</v>
      </c>
      <c r="H145" s="35" t="s">
        <v>8091</v>
      </c>
      <c r="I145" s="29"/>
      <c r="J145" s="29" t="s">
        <v>8313</v>
      </c>
      <c r="K145" s="37">
        <v>0</v>
      </c>
    </row>
    <row r="146" spans="1:11">
      <c r="A146" s="31">
        <v>146</v>
      </c>
      <c r="B146" s="29" t="s">
        <v>8311</v>
      </c>
      <c r="C146" s="29" t="s">
        <v>8312</v>
      </c>
      <c r="D146" s="33">
        <v>7.2545999999999999</v>
      </c>
      <c r="E146" s="33">
        <v>-75.048810000000003</v>
      </c>
      <c r="F146" s="29" t="s">
        <v>8090</v>
      </c>
      <c r="G146" s="29" t="s">
        <v>8090</v>
      </c>
      <c r="H146" s="35" t="s">
        <v>8091</v>
      </c>
      <c r="I146" s="29"/>
      <c r="J146" s="29"/>
      <c r="K146" s="37">
        <v>1</v>
      </c>
    </row>
    <row r="147" spans="1:11">
      <c r="A147" s="31">
        <v>147</v>
      </c>
      <c r="B147" s="29" t="s">
        <v>1265</v>
      </c>
      <c r="C147" s="29" t="s">
        <v>1266</v>
      </c>
      <c r="D147" s="33">
        <v>7.2833889000000003</v>
      </c>
      <c r="E147" s="33">
        <v>-75.05</v>
      </c>
      <c r="F147" s="29" t="s">
        <v>8090</v>
      </c>
      <c r="G147" s="29" t="s">
        <v>8090</v>
      </c>
      <c r="H147" s="35" t="s">
        <v>8091</v>
      </c>
      <c r="I147" s="29"/>
      <c r="J147" s="29" t="s">
        <v>8314</v>
      </c>
      <c r="K147" s="37">
        <v>0</v>
      </c>
    </row>
    <row r="148" spans="1:11">
      <c r="A148" s="31">
        <v>148</v>
      </c>
      <c r="B148" s="29" t="s">
        <v>8315</v>
      </c>
      <c r="C148" s="29" t="s">
        <v>8316</v>
      </c>
      <c r="D148" s="33">
        <v>5.9000700000000004</v>
      </c>
      <c r="E148" s="33">
        <v>-74.85718</v>
      </c>
      <c r="F148" s="29" t="s">
        <v>8090</v>
      </c>
      <c r="G148" s="29" t="s">
        <v>8090</v>
      </c>
      <c r="H148" s="35" t="s">
        <v>8091</v>
      </c>
      <c r="I148" s="29"/>
      <c r="J148" s="29" t="s">
        <v>8317</v>
      </c>
      <c r="K148" s="37">
        <v>0</v>
      </c>
    </row>
    <row r="149" spans="1:11">
      <c r="A149" s="31">
        <v>149</v>
      </c>
      <c r="B149" s="29" t="s">
        <v>8318</v>
      </c>
      <c r="C149" s="29" t="s">
        <v>8319</v>
      </c>
      <c r="D149" s="33">
        <v>0.72565999999999997</v>
      </c>
      <c r="E149" s="33">
        <v>-75.263819999999996</v>
      </c>
      <c r="F149" s="29" t="s">
        <v>8090</v>
      </c>
      <c r="G149" s="29" t="s">
        <v>8090</v>
      </c>
      <c r="H149" s="35" t="s">
        <v>8091</v>
      </c>
      <c r="I149" s="29"/>
      <c r="J149" s="29" t="s">
        <v>8320</v>
      </c>
      <c r="K149" s="37">
        <v>0</v>
      </c>
    </row>
    <row r="150" spans="1:11">
      <c r="A150" s="31">
        <v>150</v>
      </c>
      <c r="B150" s="29" t="s">
        <v>8321</v>
      </c>
      <c r="C150" s="29" t="s">
        <v>8322</v>
      </c>
      <c r="D150" s="33">
        <v>11.10533</v>
      </c>
      <c r="E150" s="33">
        <v>-74.101259999999996</v>
      </c>
      <c r="F150" s="29" t="s">
        <v>8090</v>
      </c>
      <c r="G150" s="29" t="s">
        <v>8090</v>
      </c>
      <c r="H150" s="35" t="s">
        <v>8091</v>
      </c>
      <c r="I150" s="29"/>
      <c r="J150" s="29" t="s">
        <v>8323</v>
      </c>
      <c r="K150" s="37">
        <v>0</v>
      </c>
    </row>
    <row r="151" spans="1:11">
      <c r="A151" s="31">
        <v>151</v>
      </c>
      <c r="B151" s="29" t="s">
        <v>8321</v>
      </c>
      <c r="C151" s="29" t="s">
        <v>8322</v>
      </c>
      <c r="D151" s="33">
        <v>11.10533</v>
      </c>
      <c r="E151" s="33">
        <v>-74.101259999999996</v>
      </c>
      <c r="F151" s="29" t="s">
        <v>8090</v>
      </c>
      <c r="G151" s="29" t="s">
        <v>8090</v>
      </c>
      <c r="H151" s="35" t="s">
        <v>8091</v>
      </c>
      <c r="I151" s="29"/>
      <c r="J151" s="29"/>
      <c r="K151" s="37">
        <v>1</v>
      </c>
    </row>
    <row r="152" spans="1:11">
      <c r="A152" s="31">
        <v>152</v>
      </c>
      <c r="B152" s="29" t="s">
        <v>8324</v>
      </c>
      <c r="C152" s="29" t="s">
        <v>8325</v>
      </c>
      <c r="D152" s="33">
        <v>7.0110700000000001</v>
      </c>
      <c r="E152" s="33">
        <v>-72.128829999999994</v>
      </c>
      <c r="F152" s="29" t="s">
        <v>8090</v>
      </c>
      <c r="G152" s="29" t="s">
        <v>8090</v>
      </c>
      <c r="H152" s="35" t="s">
        <v>8091</v>
      </c>
      <c r="I152" s="29"/>
      <c r="J152" s="29" t="s">
        <v>8326</v>
      </c>
      <c r="K152" s="37">
        <v>0</v>
      </c>
    </row>
    <row r="153" spans="1:11">
      <c r="A153" s="31">
        <v>153</v>
      </c>
      <c r="B153" s="29" t="s">
        <v>8327</v>
      </c>
      <c r="C153" s="29" t="s">
        <v>8328</v>
      </c>
      <c r="D153" s="33">
        <v>4.9181299999999997</v>
      </c>
      <c r="E153" s="33">
        <v>-74.417839999999998</v>
      </c>
      <c r="F153" s="29" t="s">
        <v>8090</v>
      </c>
      <c r="G153" s="29" t="s">
        <v>8090</v>
      </c>
      <c r="H153" s="35" t="s">
        <v>8091</v>
      </c>
      <c r="I153" s="29"/>
      <c r="J153" s="29" t="s">
        <v>8329</v>
      </c>
      <c r="K153" s="37">
        <v>0</v>
      </c>
    </row>
    <row r="154" spans="1:11">
      <c r="A154" s="31">
        <v>154</v>
      </c>
      <c r="B154" s="29" t="s">
        <v>8330</v>
      </c>
      <c r="C154" s="29" t="s">
        <v>8331</v>
      </c>
      <c r="D154" s="33">
        <v>4.1569000000000003</v>
      </c>
      <c r="E154" s="33">
        <v>-77.137039999999999</v>
      </c>
      <c r="F154" s="29" t="s">
        <v>8090</v>
      </c>
      <c r="G154" s="29" t="s">
        <v>8090</v>
      </c>
      <c r="H154" s="35" t="s">
        <v>8091</v>
      </c>
      <c r="I154" s="29"/>
      <c r="J154" s="29" t="s">
        <v>8332</v>
      </c>
      <c r="K154" s="37">
        <v>0</v>
      </c>
    </row>
    <row r="155" spans="1:11">
      <c r="A155" s="31">
        <v>155</v>
      </c>
      <c r="B155" s="29" t="s">
        <v>8333</v>
      </c>
      <c r="C155" s="29" t="s">
        <v>8334</v>
      </c>
      <c r="D155" s="33">
        <v>1.7346699999999999</v>
      </c>
      <c r="E155" s="33">
        <v>-76.000010000000003</v>
      </c>
      <c r="F155" s="29" t="s">
        <v>8090</v>
      </c>
      <c r="G155" s="29" t="s">
        <v>8090</v>
      </c>
      <c r="H155" s="35" t="s">
        <v>8091</v>
      </c>
      <c r="I155" s="29"/>
      <c r="J155" s="29" t="s">
        <v>8335</v>
      </c>
      <c r="K155" s="37">
        <v>0</v>
      </c>
    </row>
    <row r="156" spans="1:11">
      <c r="A156" s="31">
        <v>156</v>
      </c>
      <c r="B156" s="29" t="s">
        <v>8336</v>
      </c>
      <c r="C156" s="29" t="s">
        <v>8337</v>
      </c>
      <c r="D156" s="33">
        <v>4.5790899999999999</v>
      </c>
      <c r="E156" s="33">
        <v>-73.360740000000007</v>
      </c>
      <c r="F156" s="29" t="s">
        <v>8090</v>
      </c>
      <c r="G156" s="29" t="s">
        <v>8090</v>
      </c>
      <c r="H156" s="35" t="s">
        <v>8091</v>
      </c>
      <c r="I156" s="29"/>
      <c r="J156" s="29" t="s">
        <v>8338</v>
      </c>
      <c r="K156" s="37">
        <v>0</v>
      </c>
    </row>
    <row r="157" spans="1:11">
      <c r="A157" s="31">
        <v>157</v>
      </c>
      <c r="B157" s="29" t="s">
        <v>8339</v>
      </c>
      <c r="C157" s="29" t="s">
        <v>8340</v>
      </c>
      <c r="D157" s="33">
        <v>3.5868799999999998</v>
      </c>
      <c r="E157" s="33">
        <v>-76.782539999999997</v>
      </c>
      <c r="F157" s="29" t="s">
        <v>8090</v>
      </c>
      <c r="G157" s="29" t="s">
        <v>8090</v>
      </c>
      <c r="H157" s="35" t="s">
        <v>8091</v>
      </c>
      <c r="I157" s="29"/>
      <c r="J157" s="29" t="s">
        <v>8341</v>
      </c>
      <c r="K157" s="37">
        <v>0</v>
      </c>
    </row>
    <row r="158" spans="1:11">
      <c r="A158" s="31">
        <v>158</v>
      </c>
      <c r="B158" s="29" t="s">
        <v>8342</v>
      </c>
      <c r="C158" s="29" t="s">
        <v>8343</v>
      </c>
      <c r="D158" s="33">
        <v>6.7441800000000001</v>
      </c>
      <c r="E158" s="33">
        <v>-76.368160000000003</v>
      </c>
      <c r="F158" s="29" t="s">
        <v>8090</v>
      </c>
      <c r="G158" s="29" t="s">
        <v>8090</v>
      </c>
      <c r="H158" s="35" t="s">
        <v>8091</v>
      </c>
      <c r="I158" s="29"/>
      <c r="J158" s="29" t="s">
        <v>8344</v>
      </c>
      <c r="K158" s="37">
        <v>0</v>
      </c>
    </row>
    <row r="159" spans="1:11">
      <c r="A159" s="31">
        <v>159</v>
      </c>
      <c r="B159" s="29" t="s">
        <v>8345</v>
      </c>
      <c r="C159" s="29" t="s">
        <v>8346</v>
      </c>
      <c r="D159" s="33">
        <v>1.20902</v>
      </c>
      <c r="E159" s="33">
        <v>-76.527479999999997</v>
      </c>
      <c r="F159" s="29" t="s">
        <v>8090</v>
      </c>
      <c r="G159" s="29" t="s">
        <v>8090</v>
      </c>
      <c r="H159" s="35" t="s">
        <v>8091</v>
      </c>
      <c r="I159" s="29"/>
      <c r="J159" s="29" t="s">
        <v>8347</v>
      </c>
      <c r="K159" s="37">
        <v>0</v>
      </c>
    </row>
    <row r="160" spans="1:11">
      <c r="A160" s="31">
        <v>160</v>
      </c>
      <c r="B160" s="29" t="s">
        <v>1371</v>
      </c>
      <c r="C160" s="29" t="s">
        <v>1372</v>
      </c>
      <c r="D160" s="33">
        <v>4.8692722000000002</v>
      </c>
      <c r="E160" s="33">
        <v>-76.250647200000003</v>
      </c>
      <c r="F160" s="29" t="s">
        <v>8090</v>
      </c>
      <c r="G160" s="29" t="s">
        <v>8090</v>
      </c>
      <c r="H160" s="35" t="s">
        <v>8091</v>
      </c>
      <c r="I160" s="29"/>
      <c r="J160" s="29" t="s">
        <v>8348</v>
      </c>
      <c r="K160" s="37">
        <v>0</v>
      </c>
    </row>
    <row r="161" spans="1:11">
      <c r="A161" s="31">
        <v>161</v>
      </c>
      <c r="B161" s="29" t="s">
        <v>8349</v>
      </c>
      <c r="C161" s="29" t="s">
        <v>8350</v>
      </c>
      <c r="D161" s="33">
        <v>6.1316600000000001</v>
      </c>
      <c r="E161" s="33">
        <v>-77.303820000000002</v>
      </c>
      <c r="F161" s="29" t="s">
        <v>8090</v>
      </c>
      <c r="G161" s="29" t="s">
        <v>8090</v>
      </c>
      <c r="H161" s="35" t="s">
        <v>8091</v>
      </c>
      <c r="I161" s="29"/>
      <c r="J161" s="29" t="s">
        <v>8351</v>
      </c>
      <c r="K161" s="37">
        <v>0</v>
      </c>
    </row>
    <row r="162" spans="1:11">
      <c r="A162" s="31">
        <v>162</v>
      </c>
      <c r="B162" s="29" t="s">
        <v>8352</v>
      </c>
      <c r="C162" s="29" t="s">
        <v>8353</v>
      </c>
      <c r="D162" s="33">
        <v>3.06074</v>
      </c>
      <c r="E162" s="33">
        <v>-74.46275</v>
      </c>
      <c r="F162" s="29" t="s">
        <v>8090</v>
      </c>
      <c r="G162" s="29" t="s">
        <v>8090</v>
      </c>
      <c r="H162" s="35" t="s">
        <v>8091</v>
      </c>
      <c r="I162" s="29"/>
      <c r="J162" s="29" t="s">
        <v>8354</v>
      </c>
      <c r="K162" s="37">
        <v>0</v>
      </c>
    </row>
    <row r="163" spans="1:11">
      <c r="A163" s="31">
        <v>163</v>
      </c>
      <c r="B163" s="29" t="s">
        <v>8355</v>
      </c>
      <c r="C163" s="29" t="s">
        <v>8356</v>
      </c>
      <c r="D163" s="33">
        <v>2.2950400000000002</v>
      </c>
      <c r="E163" s="33">
        <v>-73.880510000000001</v>
      </c>
      <c r="F163" s="29" t="s">
        <v>8090</v>
      </c>
      <c r="G163" s="29" t="s">
        <v>8090</v>
      </c>
      <c r="H163" s="35" t="s">
        <v>8091</v>
      </c>
      <c r="I163" s="29"/>
      <c r="J163" s="29" t="s">
        <v>8357</v>
      </c>
      <c r="K163" s="37">
        <v>0</v>
      </c>
    </row>
    <row r="164" spans="1:11">
      <c r="A164" s="31">
        <v>164</v>
      </c>
      <c r="B164" s="29" t="s">
        <v>8355</v>
      </c>
      <c r="C164" s="29" t="s">
        <v>8356</v>
      </c>
      <c r="D164" s="33">
        <v>2.2950400000000002</v>
      </c>
      <c r="E164" s="33">
        <v>-73.880510000000001</v>
      </c>
      <c r="F164" s="29" t="s">
        <v>8090</v>
      </c>
      <c r="G164" s="29" t="s">
        <v>8090</v>
      </c>
      <c r="H164" s="35" t="s">
        <v>8091</v>
      </c>
      <c r="I164" s="29"/>
      <c r="J164" s="29"/>
      <c r="K164" s="37">
        <v>1</v>
      </c>
    </row>
    <row r="165" spans="1:11">
      <c r="A165" s="31">
        <v>165</v>
      </c>
      <c r="B165" s="29" t="s">
        <v>1408</v>
      </c>
      <c r="C165" s="29" t="s">
        <v>1409</v>
      </c>
      <c r="D165" s="33">
        <v>6.6869443999999998</v>
      </c>
      <c r="E165" s="33">
        <v>-73.437194399999996</v>
      </c>
      <c r="F165" s="29" t="s">
        <v>8090</v>
      </c>
      <c r="G165" s="29" t="s">
        <v>8090</v>
      </c>
      <c r="H165" s="35" t="s">
        <v>8091</v>
      </c>
      <c r="I165" s="29"/>
      <c r="J165" s="29" t="s">
        <v>8358</v>
      </c>
      <c r="K165" s="37">
        <v>0</v>
      </c>
    </row>
    <row r="166" spans="1:11">
      <c r="A166" s="31">
        <v>166</v>
      </c>
      <c r="B166" s="29" t="s">
        <v>8359</v>
      </c>
      <c r="C166" s="29" t="s">
        <v>8360</v>
      </c>
      <c r="D166" s="33">
        <v>6.5865999999999998</v>
      </c>
      <c r="E166" s="33">
        <v>-73.518199999999993</v>
      </c>
      <c r="F166" s="29" t="s">
        <v>8090</v>
      </c>
      <c r="G166" s="29" t="s">
        <v>8090</v>
      </c>
      <c r="H166" s="35" t="s">
        <v>8091</v>
      </c>
      <c r="I166" s="29"/>
      <c r="J166" s="29" t="s">
        <v>8361</v>
      </c>
      <c r="K166" s="37">
        <v>0</v>
      </c>
    </row>
    <row r="167" spans="1:11">
      <c r="A167" s="31">
        <v>167</v>
      </c>
      <c r="B167" s="29" t="s">
        <v>1428</v>
      </c>
      <c r="C167" s="29" t="s">
        <v>1429</v>
      </c>
      <c r="D167" s="33">
        <v>6.7383332999999999</v>
      </c>
      <c r="E167" s="33">
        <v>-73.427972199999999</v>
      </c>
      <c r="F167" s="29" t="s">
        <v>8090</v>
      </c>
      <c r="G167" s="29" t="s">
        <v>8090</v>
      </c>
      <c r="H167" s="35" t="s">
        <v>8091</v>
      </c>
      <c r="I167" s="29"/>
      <c r="J167" s="29" t="s">
        <v>8362</v>
      </c>
      <c r="K167" s="37">
        <v>0</v>
      </c>
    </row>
    <row r="168" spans="1:11">
      <c r="A168" s="31">
        <v>168</v>
      </c>
      <c r="B168" s="29" t="s">
        <v>8363</v>
      </c>
      <c r="C168" s="29" t="s">
        <v>8364</v>
      </c>
      <c r="D168" s="33">
        <v>0.83831</v>
      </c>
      <c r="E168" s="33">
        <v>-77.616919999999993</v>
      </c>
      <c r="F168" s="29" t="s">
        <v>8090</v>
      </c>
      <c r="G168" s="29" t="s">
        <v>8090</v>
      </c>
      <c r="H168" s="35" t="s">
        <v>8091</v>
      </c>
      <c r="I168" s="29"/>
      <c r="J168" s="29" t="s">
        <v>8365</v>
      </c>
      <c r="K168" s="37">
        <v>0</v>
      </c>
    </row>
    <row r="169" spans="1:11">
      <c r="A169" s="31">
        <v>169</v>
      </c>
      <c r="B169" s="29" t="s">
        <v>8366</v>
      </c>
      <c r="C169" s="29" t="s">
        <v>8367</v>
      </c>
      <c r="D169" s="33">
        <v>4.7813100000000004</v>
      </c>
      <c r="E169" s="33">
        <v>-76.494979999999998</v>
      </c>
      <c r="F169" s="29" t="s">
        <v>8090</v>
      </c>
      <c r="G169" s="29" t="s">
        <v>8090</v>
      </c>
      <c r="H169" s="35" t="s">
        <v>8091</v>
      </c>
      <c r="I169" s="29"/>
      <c r="J169" s="29" t="s">
        <v>8368</v>
      </c>
      <c r="K169" s="37">
        <v>0</v>
      </c>
    </row>
    <row r="170" spans="1:11">
      <c r="A170" s="31">
        <v>170</v>
      </c>
      <c r="B170" s="29" t="s">
        <v>8366</v>
      </c>
      <c r="C170" s="29" t="s">
        <v>8367</v>
      </c>
      <c r="D170" s="33">
        <v>4.7813100000000004</v>
      </c>
      <c r="E170" s="33">
        <v>-76.494979999999998</v>
      </c>
      <c r="F170" s="29" t="s">
        <v>8090</v>
      </c>
      <c r="G170" s="29" t="s">
        <v>8090</v>
      </c>
      <c r="H170" s="35" t="s">
        <v>8091</v>
      </c>
      <c r="I170" s="29"/>
      <c r="J170" s="29"/>
      <c r="K170" s="37">
        <v>1</v>
      </c>
    </row>
    <row r="171" spans="1:11">
      <c r="A171" s="31">
        <v>171</v>
      </c>
      <c r="B171" s="29" t="s">
        <v>1458</v>
      </c>
      <c r="C171" s="29" t="s">
        <v>1459</v>
      </c>
      <c r="D171" s="33">
        <v>1.1716667000000001</v>
      </c>
      <c r="E171" s="33">
        <v>-78.002499999999998</v>
      </c>
      <c r="F171" s="29" t="s">
        <v>8090</v>
      </c>
      <c r="G171" s="29" t="s">
        <v>8090</v>
      </c>
      <c r="H171" s="35" t="s">
        <v>8091</v>
      </c>
      <c r="I171" s="29"/>
      <c r="J171" s="29" t="s">
        <v>8369</v>
      </c>
      <c r="K171" s="37">
        <v>0</v>
      </c>
    </row>
    <row r="172" spans="1:11">
      <c r="A172" s="31">
        <v>172</v>
      </c>
      <c r="B172" s="29" t="s">
        <v>1458</v>
      </c>
      <c r="C172" s="29" t="s">
        <v>1459</v>
      </c>
      <c r="D172" s="33">
        <v>1.1716667000000001</v>
      </c>
      <c r="E172" s="33">
        <v>-78.002499999999998</v>
      </c>
      <c r="F172" s="29" t="s">
        <v>8090</v>
      </c>
      <c r="G172" s="29" t="s">
        <v>8090</v>
      </c>
      <c r="H172" s="35" t="s">
        <v>8091</v>
      </c>
      <c r="I172" s="29"/>
      <c r="J172" s="29"/>
      <c r="K172" s="37">
        <v>1</v>
      </c>
    </row>
    <row r="173" spans="1:11">
      <c r="A173" s="31">
        <v>173</v>
      </c>
      <c r="B173" s="29" t="s">
        <v>8370</v>
      </c>
      <c r="C173" s="29" t="s">
        <v>8371</v>
      </c>
      <c r="D173" s="33">
        <v>6.5461900000000002</v>
      </c>
      <c r="E173" s="33">
        <v>-75.232699999999994</v>
      </c>
      <c r="F173" s="29" t="s">
        <v>8090</v>
      </c>
      <c r="G173" s="29" t="s">
        <v>8090</v>
      </c>
      <c r="H173" s="35" t="s">
        <v>8091</v>
      </c>
      <c r="I173" s="29"/>
      <c r="J173" s="29" t="s">
        <v>8372</v>
      </c>
      <c r="K173" s="37">
        <v>0</v>
      </c>
    </row>
    <row r="174" spans="1:11">
      <c r="A174" s="31">
        <v>174</v>
      </c>
      <c r="B174" s="29" t="s">
        <v>8370</v>
      </c>
      <c r="C174" s="29" t="s">
        <v>8371</v>
      </c>
      <c r="D174" s="33">
        <v>6.5461900000000002</v>
      </c>
      <c r="E174" s="33">
        <v>-75.232699999999994</v>
      </c>
      <c r="F174" s="29" t="s">
        <v>8090</v>
      </c>
      <c r="G174" s="29" t="s">
        <v>8090</v>
      </c>
      <c r="H174" s="35" t="s">
        <v>8091</v>
      </c>
      <c r="I174" s="29"/>
      <c r="J174" s="29"/>
      <c r="K174" s="37">
        <v>1</v>
      </c>
    </row>
    <row r="175" spans="1:11">
      <c r="A175" s="31">
        <v>175</v>
      </c>
      <c r="B175" s="29" t="s">
        <v>1484</v>
      </c>
      <c r="C175" s="29" t="s">
        <v>1485</v>
      </c>
      <c r="D175" s="33">
        <v>6.0333332999999998</v>
      </c>
      <c r="E175" s="33">
        <v>-75.133333300000004</v>
      </c>
      <c r="F175" s="29" t="s">
        <v>8090</v>
      </c>
      <c r="G175" s="29" t="s">
        <v>8090</v>
      </c>
      <c r="H175" s="35" t="s">
        <v>8091</v>
      </c>
      <c r="I175" s="29"/>
      <c r="J175" s="29" t="s">
        <v>8373</v>
      </c>
      <c r="K175" s="37">
        <v>0</v>
      </c>
    </row>
    <row r="176" spans="1:11">
      <c r="A176" s="31">
        <v>176</v>
      </c>
      <c r="B176" s="29" t="s">
        <v>8374</v>
      </c>
      <c r="C176" s="29" t="s">
        <v>8375</v>
      </c>
      <c r="D176" s="33">
        <v>6.5381499999999999</v>
      </c>
      <c r="E176" s="33">
        <v>-76.322199999999995</v>
      </c>
      <c r="F176" s="29" t="s">
        <v>8090</v>
      </c>
      <c r="G176" s="29" t="s">
        <v>8090</v>
      </c>
      <c r="H176" s="35" t="s">
        <v>8091</v>
      </c>
      <c r="I176" s="29"/>
      <c r="J176" s="29" t="s">
        <v>8376</v>
      </c>
      <c r="K176" s="37">
        <v>0</v>
      </c>
    </row>
    <row r="177" spans="1:11">
      <c r="A177" s="31">
        <v>177</v>
      </c>
      <c r="B177" s="29" t="s">
        <v>8374</v>
      </c>
      <c r="C177" s="29" t="s">
        <v>8375</v>
      </c>
      <c r="D177" s="33">
        <v>6.5381499999999999</v>
      </c>
      <c r="E177" s="33">
        <v>-76.322199999999995</v>
      </c>
      <c r="F177" s="29" t="s">
        <v>8090</v>
      </c>
      <c r="G177" s="29" t="s">
        <v>8090</v>
      </c>
      <c r="H177" s="35" t="s">
        <v>8091</v>
      </c>
      <c r="I177" s="29"/>
      <c r="J177" s="29"/>
      <c r="K177" s="37">
        <v>1</v>
      </c>
    </row>
    <row r="178" spans="1:11">
      <c r="A178" s="31">
        <v>178</v>
      </c>
      <c r="B178" s="29" t="s">
        <v>1523</v>
      </c>
      <c r="C178" s="29" t="s">
        <v>1524</v>
      </c>
      <c r="D178" s="33">
        <v>5.5751166999999997</v>
      </c>
      <c r="E178" s="33">
        <v>-74.890183300000004</v>
      </c>
      <c r="F178" s="29" t="s">
        <v>8090</v>
      </c>
      <c r="G178" s="29" t="s">
        <v>8090</v>
      </c>
      <c r="H178" s="35" t="s">
        <v>8091</v>
      </c>
      <c r="I178" s="29"/>
      <c r="J178" s="29" t="s">
        <v>8377</v>
      </c>
      <c r="K178" s="37">
        <v>0</v>
      </c>
    </row>
    <row r="179" spans="1:11">
      <c r="A179" s="31">
        <v>179</v>
      </c>
      <c r="B179" s="29" t="s">
        <v>1536</v>
      </c>
      <c r="C179" s="29" t="s">
        <v>1537</v>
      </c>
      <c r="D179" s="33">
        <v>5.0588889000000004</v>
      </c>
      <c r="E179" s="33">
        <v>-75.735444400000006</v>
      </c>
      <c r="F179" s="29" t="s">
        <v>8090</v>
      </c>
      <c r="G179" s="29" t="s">
        <v>8090</v>
      </c>
      <c r="H179" s="35" t="s">
        <v>8091</v>
      </c>
      <c r="I179" s="29"/>
      <c r="J179" s="29" t="s">
        <v>8378</v>
      </c>
      <c r="K179" s="37">
        <v>0</v>
      </c>
    </row>
    <row r="180" spans="1:11">
      <c r="A180" s="31">
        <v>180</v>
      </c>
      <c r="B180" s="29" t="s">
        <v>1549</v>
      </c>
      <c r="C180" s="29" t="s">
        <v>1550</v>
      </c>
      <c r="D180" s="33">
        <v>1.2331444</v>
      </c>
      <c r="E180" s="33">
        <v>-76.532844400000002</v>
      </c>
      <c r="F180" s="29" t="s">
        <v>8090</v>
      </c>
      <c r="G180" s="29" t="s">
        <v>8090</v>
      </c>
      <c r="H180" s="35" t="s">
        <v>8091</v>
      </c>
      <c r="I180" s="29"/>
      <c r="J180" s="29" t="s">
        <v>8379</v>
      </c>
      <c r="K180" s="37">
        <v>0</v>
      </c>
    </row>
    <row r="181" spans="1:11">
      <c r="A181" s="31">
        <v>181</v>
      </c>
      <c r="B181" s="29" t="s">
        <v>8146</v>
      </c>
      <c r="C181" s="29" t="s">
        <v>8147</v>
      </c>
      <c r="D181" s="33">
        <v>2.51058</v>
      </c>
      <c r="E181" s="33">
        <v>-76.984210000000004</v>
      </c>
      <c r="F181" s="29" t="s">
        <v>8090</v>
      </c>
      <c r="G181" s="29" t="s">
        <v>8090</v>
      </c>
      <c r="H181" s="35" t="s">
        <v>8091</v>
      </c>
      <c r="I181" s="29"/>
      <c r="J181" s="29"/>
      <c r="K181" s="37">
        <v>1</v>
      </c>
    </row>
    <row r="182" spans="1:11">
      <c r="A182" s="31">
        <v>182</v>
      </c>
      <c r="B182" s="29" t="s">
        <v>1371</v>
      </c>
      <c r="C182" s="29" t="s">
        <v>1372</v>
      </c>
      <c r="D182" s="33">
        <v>4.8692722000000002</v>
      </c>
      <c r="E182" s="33">
        <v>-76.250647200000003</v>
      </c>
      <c r="F182" s="29" t="s">
        <v>8090</v>
      </c>
      <c r="G182" s="29" t="s">
        <v>8090</v>
      </c>
      <c r="H182" s="35" t="s">
        <v>8091</v>
      </c>
      <c r="I182" s="29"/>
      <c r="J182" s="29"/>
      <c r="K182" s="37">
        <v>1</v>
      </c>
    </row>
    <row r="183" spans="1:11">
      <c r="A183" s="31">
        <v>183</v>
      </c>
      <c r="B183" s="29" t="s">
        <v>1371</v>
      </c>
      <c r="C183" s="29" t="s">
        <v>1372</v>
      </c>
      <c r="D183" s="33">
        <v>4.8692722000000002</v>
      </c>
      <c r="E183" s="33">
        <v>-76.250647200000003</v>
      </c>
      <c r="F183" s="29" t="s">
        <v>8090</v>
      </c>
      <c r="G183" s="29" t="s">
        <v>8090</v>
      </c>
      <c r="H183" s="35" t="s">
        <v>8091</v>
      </c>
      <c r="I183" s="29"/>
      <c r="J183" s="29"/>
      <c r="K183" s="37">
        <v>1</v>
      </c>
    </row>
    <row r="184" spans="1:11">
      <c r="A184" s="31">
        <v>184</v>
      </c>
      <c r="B184" s="29" t="s">
        <v>1371</v>
      </c>
      <c r="C184" s="29" t="s">
        <v>1372</v>
      </c>
      <c r="D184" s="33">
        <v>4.8692722000000002</v>
      </c>
      <c r="E184" s="33">
        <v>-76.250647200000003</v>
      </c>
      <c r="F184" s="29" t="s">
        <v>8090</v>
      </c>
      <c r="G184" s="29" t="s">
        <v>8090</v>
      </c>
      <c r="H184" s="35" t="s">
        <v>8091</v>
      </c>
      <c r="I184" s="29"/>
      <c r="J184" s="29"/>
      <c r="K184" s="37">
        <v>1</v>
      </c>
    </row>
    <row r="185" spans="1:11">
      <c r="A185" s="31">
        <v>185</v>
      </c>
      <c r="B185" s="29" t="s">
        <v>8330</v>
      </c>
      <c r="C185" s="29" t="s">
        <v>8331</v>
      </c>
      <c r="D185" s="33">
        <v>4.1569000000000003</v>
      </c>
      <c r="E185" s="33">
        <v>-77.137039999999999</v>
      </c>
      <c r="F185" s="29" t="s">
        <v>8090</v>
      </c>
      <c r="G185" s="29" t="s">
        <v>8090</v>
      </c>
      <c r="H185" s="35" t="s">
        <v>8091</v>
      </c>
      <c r="I185" s="29"/>
      <c r="J185" s="29"/>
      <c r="K185" s="37">
        <v>1</v>
      </c>
    </row>
    <row r="186" spans="1:11">
      <c r="A186" s="31">
        <v>186</v>
      </c>
      <c r="B186" s="29" t="s">
        <v>8380</v>
      </c>
      <c r="C186" s="29" t="s">
        <v>8381</v>
      </c>
      <c r="D186" s="33">
        <v>4.9695400000000003</v>
      </c>
      <c r="E186" s="33">
        <v>-74.394469999999998</v>
      </c>
      <c r="F186" s="29" t="s">
        <v>8090</v>
      </c>
      <c r="G186" s="29" t="s">
        <v>8090</v>
      </c>
      <c r="H186" s="35" t="s">
        <v>8091</v>
      </c>
      <c r="I186" s="29"/>
      <c r="J186" s="29" t="s">
        <v>8382</v>
      </c>
      <c r="K186" s="37">
        <v>0</v>
      </c>
    </row>
    <row r="187" spans="1:11">
      <c r="A187" s="31">
        <v>187</v>
      </c>
      <c r="B187" s="29" t="s">
        <v>8383</v>
      </c>
      <c r="C187" s="29" t="s">
        <v>8384</v>
      </c>
      <c r="D187" s="33">
        <v>4.9182300000000003</v>
      </c>
      <c r="E187" s="33">
        <v>-74.417810000000003</v>
      </c>
      <c r="F187" s="29" t="s">
        <v>8090</v>
      </c>
      <c r="G187" s="29" t="s">
        <v>8090</v>
      </c>
      <c r="H187" s="35" t="s">
        <v>8091</v>
      </c>
      <c r="I187" s="29"/>
      <c r="J187" s="29" t="s">
        <v>8385</v>
      </c>
      <c r="K187" s="37">
        <v>0</v>
      </c>
    </row>
    <row r="188" spans="1:11">
      <c r="A188" s="31">
        <v>188</v>
      </c>
      <c r="B188" s="29" t="s">
        <v>8383</v>
      </c>
      <c r="C188" s="29" t="s">
        <v>8384</v>
      </c>
      <c r="D188" s="33">
        <v>4.9182300000000003</v>
      </c>
      <c r="E188" s="33">
        <v>-74.417810000000003</v>
      </c>
      <c r="F188" s="29" t="s">
        <v>8090</v>
      </c>
      <c r="G188" s="29" t="s">
        <v>8090</v>
      </c>
      <c r="H188" s="35" t="s">
        <v>8091</v>
      </c>
      <c r="I188" s="29"/>
      <c r="J188" s="29"/>
      <c r="K188" s="37">
        <v>1</v>
      </c>
    </row>
    <row r="189" spans="1:11">
      <c r="A189" s="31">
        <v>189</v>
      </c>
      <c r="B189" s="29" t="s">
        <v>8386</v>
      </c>
      <c r="C189" s="29" t="s">
        <v>8387</v>
      </c>
      <c r="D189" s="33">
        <v>4.7680899999999999</v>
      </c>
      <c r="E189" s="33">
        <v>-73.327200000000005</v>
      </c>
      <c r="F189" s="29" t="s">
        <v>8090</v>
      </c>
      <c r="G189" s="29" t="s">
        <v>8090</v>
      </c>
      <c r="H189" s="35" t="s">
        <v>8091</v>
      </c>
      <c r="I189" s="29"/>
      <c r="J189" s="29" t="s">
        <v>8388</v>
      </c>
      <c r="K189" s="37">
        <v>0</v>
      </c>
    </row>
    <row r="190" spans="1:11">
      <c r="A190" s="31">
        <v>190</v>
      </c>
      <c r="B190" s="29" t="s">
        <v>1622</v>
      </c>
      <c r="C190" s="29" t="s">
        <v>1623</v>
      </c>
      <c r="D190" s="33">
        <v>1.8562917000000001</v>
      </c>
      <c r="E190" s="33">
        <v>-76.039391699999996</v>
      </c>
      <c r="F190" s="29" t="s">
        <v>8090</v>
      </c>
      <c r="G190" s="29" t="s">
        <v>8090</v>
      </c>
      <c r="H190" s="35" t="s">
        <v>8091</v>
      </c>
      <c r="I190" s="29"/>
      <c r="J190" s="29" t="s">
        <v>8389</v>
      </c>
      <c r="K190" s="37">
        <v>0</v>
      </c>
    </row>
    <row r="191" spans="1:11">
      <c r="A191" s="31">
        <v>191</v>
      </c>
      <c r="B191" s="29" t="s">
        <v>1634</v>
      </c>
      <c r="C191" s="29" t="s">
        <v>1635</v>
      </c>
      <c r="D191" s="33">
        <v>1.8038027999999999</v>
      </c>
      <c r="E191" s="33">
        <v>-75.889702799999995</v>
      </c>
      <c r="F191" s="29" t="s">
        <v>8090</v>
      </c>
      <c r="G191" s="29" t="s">
        <v>8090</v>
      </c>
      <c r="H191" s="35" t="s">
        <v>8091</v>
      </c>
      <c r="I191" s="29"/>
      <c r="J191" s="29" t="s">
        <v>8390</v>
      </c>
      <c r="K191" s="37">
        <v>0</v>
      </c>
    </row>
    <row r="192" spans="1:11">
      <c r="A192" s="31">
        <v>192</v>
      </c>
      <c r="B192" s="29" t="s">
        <v>1646</v>
      </c>
      <c r="C192" s="29" t="s">
        <v>1647</v>
      </c>
      <c r="D192" s="33">
        <v>3.3769999999999998</v>
      </c>
      <c r="E192" s="33">
        <v>-74.802458299999998</v>
      </c>
      <c r="F192" s="29" t="s">
        <v>8090</v>
      </c>
      <c r="G192" s="29" t="s">
        <v>8090</v>
      </c>
      <c r="H192" s="35" t="s">
        <v>8091</v>
      </c>
      <c r="I192" s="29"/>
      <c r="J192" s="29" t="s">
        <v>8391</v>
      </c>
      <c r="K192" s="37">
        <v>0</v>
      </c>
    </row>
    <row r="193" spans="1:11">
      <c r="A193" s="31">
        <v>193</v>
      </c>
      <c r="B193" s="29" t="s">
        <v>1646</v>
      </c>
      <c r="C193" s="29" t="s">
        <v>1647</v>
      </c>
      <c r="D193" s="33">
        <v>3.3769999999999998</v>
      </c>
      <c r="E193" s="33">
        <v>-74.802458299999998</v>
      </c>
      <c r="F193" s="29" t="s">
        <v>8090</v>
      </c>
      <c r="G193" s="29" t="s">
        <v>8090</v>
      </c>
      <c r="H193" s="35" t="s">
        <v>8091</v>
      </c>
      <c r="I193" s="29"/>
      <c r="J193" s="29"/>
      <c r="K193" s="37">
        <v>1</v>
      </c>
    </row>
    <row r="194" spans="1:11">
      <c r="A194" s="31">
        <v>194</v>
      </c>
      <c r="B194" s="29" t="s">
        <v>8392</v>
      </c>
      <c r="C194" s="29" t="s">
        <v>8393</v>
      </c>
      <c r="D194" s="33">
        <v>1.2519499999999999</v>
      </c>
      <c r="E194" s="33">
        <v>-77.996679999999998</v>
      </c>
      <c r="F194" s="29" t="s">
        <v>8090</v>
      </c>
      <c r="G194" s="29" t="s">
        <v>8090</v>
      </c>
      <c r="H194" s="35" t="s">
        <v>8091</v>
      </c>
      <c r="I194" s="29"/>
      <c r="J194" s="29" t="s">
        <v>8394</v>
      </c>
      <c r="K194" s="37">
        <v>0</v>
      </c>
    </row>
    <row r="195" spans="1:11">
      <c r="A195" s="31">
        <v>195</v>
      </c>
      <c r="B195" s="29" t="s">
        <v>8296</v>
      </c>
      <c r="C195" s="29" t="s">
        <v>8297</v>
      </c>
      <c r="D195" s="33">
        <v>4.6857300000000004</v>
      </c>
      <c r="E195" s="33">
        <v>-75.578029999999998</v>
      </c>
      <c r="F195" s="29" t="s">
        <v>8090</v>
      </c>
      <c r="G195" s="29" t="s">
        <v>8090</v>
      </c>
      <c r="H195" s="35" t="s">
        <v>8091</v>
      </c>
      <c r="I195" s="29"/>
      <c r="J195" s="29"/>
      <c r="K195" s="37">
        <v>1</v>
      </c>
    </row>
    <row r="196" spans="1:11">
      <c r="A196" s="31">
        <v>196</v>
      </c>
      <c r="B196" s="29" t="s">
        <v>8395</v>
      </c>
      <c r="C196" s="29" t="s">
        <v>8396</v>
      </c>
      <c r="D196" s="33">
        <v>3.6387900000000002</v>
      </c>
      <c r="E196" s="33">
        <v>-77.006979999999999</v>
      </c>
      <c r="F196" s="29" t="s">
        <v>8090</v>
      </c>
      <c r="G196" s="29" t="s">
        <v>8090</v>
      </c>
      <c r="H196" s="35" t="s">
        <v>8091</v>
      </c>
      <c r="I196" s="29"/>
      <c r="J196" s="29" t="s">
        <v>8397</v>
      </c>
      <c r="K196" s="37">
        <v>0</v>
      </c>
    </row>
    <row r="197" spans="1:11">
      <c r="A197" s="31">
        <v>197</v>
      </c>
      <c r="B197" s="29" t="s">
        <v>8398</v>
      </c>
      <c r="C197" s="29" t="s">
        <v>8399</v>
      </c>
      <c r="D197" s="33">
        <v>6.4375799999999996</v>
      </c>
      <c r="E197" s="33">
        <v>-76.115899999999996</v>
      </c>
      <c r="F197" s="29" t="s">
        <v>8090</v>
      </c>
      <c r="G197" s="29" t="s">
        <v>8090</v>
      </c>
      <c r="H197" s="35" t="s">
        <v>8091</v>
      </c>
      <c r="I197" s="29"/>
      <c r="J197" s="29" t="s">
        <v>8400</v>
      </c>
      <c r="K197" s="37">
        <v>0</v>
      </c>
    </row>
    <row r="198" spans="1:11">
      <c r="A198" s="31">
        <v>198</v>
      </c>
      <c r="B198" s="29" t="s">
        <v>1695</v>
      </c>
      <c r="C198" s="29" t="s">
        <v>1696</v>
      </c>
      <c r="D198" s="33">
        <v>6.5</v>
      </c>
      <c r="E198" s="33">
        <v>-76.116666699999996</v>
      </c>
      <c r="F198" s="29" t="s">
        <v>8090</v>
      </c>
      <c r="G198" s="29" t="s">
        <v>8090</v>
      </c>
      <c r="H198" s="35" t="s">
        <v>8091</v>
      </c>
      <c r="I198" s="29"/>
      <c r="J198" s="29" t="s">
        <v>8401</v>
      </c>
      <c r="K198" s="37">
        <v>0</v>
      </c>
    </row>
    <row r="199" spans="1:11">
      <c r="A199" s="31">
        <v>199</v>
      </c>
      <c r="B199" s="29" t="s">
        <v>1707</v>
      </c>
      <c r="C199" s="29" t="s">
        <v>1708</v>
      </c>
      <c r="D199" s="33">
        <v>6.6858611000000003</v>
      </c>
      <c r="E199" s="33">
        <v>-75.674888899999999</v>
      </c>
      <c r="F199" s="29" t="s">
        <v>8090</v>
      </c>
      <c r="G199" s="29" t="s">
        <v>8090</v>
      </c>
      <c r="H199" s="35" t="s">
        <v>8091</v>
      </c>
      <c r="I199" s="29"/>
      <c r="J199" s="29" t="s">
        <v>8402</v>
      </c>
      <c r="K199" s="37">
        <v>0</v>
      </c>
    </row>
    <row r="200" spans="1:11">
      <c r="A200" s="31">
        <v>200</v>
      </c>
      <c r="B200" s="29" t="s">
        <v>1707</v>
      </c>
      <c r="C200" s="29" t="s">
        <v>1708</v>
      </c>
      <c r="D200" s="33">
        <v>6.6858611000000003</v>
      </c>
      <c r="E200" s="33">
        <v>-75.674888899999999</v>
      </c>
      <c r="F200" s="29" t="s">
        <v>8090</v>
      </c>
      <c r="G200" s="29" t="s">
        <v>8090</v>
      </c>
      <c r="H200" s="35" t="s">
        <v>8091</v>
      </c>
      <c r="I200" s="29"/>
      <c r="J200" s="29"/>
      <c r="K200" s="37">
        <v>1</v>
      </c>
    </row>
    <row r="201" spans="1:11">
      <c r="A201" s="31">
        <v>201</v>
      </c>
      <c r="B201" s="29" t="s">
        <v>1721</v>
      </c>
      <c r="C201" s="29" t="s">
        <v>1722</v>
      </c>
      <c r="D201" s="33">
        <v>6.7717499999999999</v>
      </c>
      <c r="E201" s="33">
        <v>-75.694694400000003</v>
      </c>
      <c r="F201" s="29" t="s">
        <v>8090</v>
      </c>
      <c r="G201" s="29" t="s">
        <v>8090</v>
      </c>
      <c r="H201" s="35" t="s">
        <v>8091</v>
      </c>
      <c r="I201" s="29"/>
      <c r="J201" s="29" t="s">
        <v>8403</v>
      </c>
      <c r="K201" s="37">
        <v>0</v>
      </c>
    </row>
    <row r="202" spans="1:11">
      <c r="A202" s="31">
        <v>202</v>
      </c>
      <c r="B202" s="29" t="s">
        <v>1721</v>
      </c>
      <c r="C202" s="29" t="s">
        <v>1722</v>
      </c>
      <c r="D202" s="33">
        <v>6.7717499999999999</v>
      </c>
      <c r="E202" s="33">
        <v>-75.694694400000003</v>
      </c>
      <c r="F202" s="29" t="s">
        <v>8090</v>
      </c>
      <c r="G202" s="29" t="s">
        <v>8090</v>
      </c>
      <c r="H202" s="35" t="s">
        <v>8091</v>
      </c>
      <c r="I202" s="29"/>
      <c r="J202" s="29"/>
      <c r="K202" s="37">
        <v>1</v>
      </c>
    </row>
    <row r="203" spans="1:11">
      <c r="A203" s="31">
        <v>203</v>
      </c>
      <c r="B203" s="29" t="s">
        <v>1738</v>
      </c>
      <c r="C203" s="29" t="s">
        <v>1739</v>
      </c>
      <c r="D203" s="33">
        <v>5.0000194000000002</v>
      </c>
      <c r="E203" s="33">
        <v>-75.349983300000005</v>
      </c>
      <c r="F203" s="29" t="s">
        <v>8090</v>
      </c>
      <c r="G203" s="29" t="s">
        <v>8090</v>
      </c>
      <c r="H203" s="35" t="s">
        <v>8091</v>
      </c>
      <c r="I203" s="29"/>
      <c r="J203" s="29" t="s">
        <v>8404</v>
      </c>
      <c r="K203" s="37">
        <v>0</v>
      </c>
    </row>
    <row r="204" spans="1:11">
      <c r="A204" s="31">
        <v>204</v>
      </c>
      <c r="B204" s="29" t="s">
        <v>1751</v>
      </c>
      <c r="C204" s="29" t="s">
        <v>1752</v>
      </c>
      <c r="D204" s="33">
        <v>4.9817666999999997</v>
      </c>
      <c r="E204" s="33">
        <v>-75.360238899999999</v>
      </c>
      <c r="F204" s="29" t="s">
        <v>8090</v>
      </c>
      <c r="G204" s="29" t="s">
        <v>8090</v>
      </c>
      <c r="H204" s="35" t="s">
        <v>8091</v>
      </c>
      <c r="I204" s="29"/>
      <c r="J204" s="29" t="s">
        <v>8405</v>
      </c>
      <c r="K204" s="37">
        <v>0</v>
      </c>
    </row>
    <row r="205" spans="1:11">
      <c r="A205" s="31">
        <v>205</v>
      </c>
      <c r="B205" s="29" t="s">
        <v>1738</v>
      </c>
      <c r="C205" s="29" t="s">
        <v>1739</v>
      </c>
      <c r="D205" s="33">
        <v>5.0000194000000002</v>
      </c>
      <c r="E205" s="33">
        <v>-75.349983300000005</v>
      </c>
      <c r="F205" s="29" t="s">
        <v>8090</v>
      </c>
      <c r="G205" s="29" t="s">
        <v>8090</v>
      </c>
      <c r="H205" s="35" t="s">
        <v>8091</v>
      </c>
      <c r="I205" s="29"/>
      <c r="J205" s="29"/>
      <c r="K205" s="37">
        <v>1</v>
      </c>
    </row>
    <row r="206" spans="1:11">
      <c r="A206" s="31">
        <v>206</v>
      </c>
      <c r="B206" s="29" t="s">
        <v>1738</v>
      </c>
      <c r="C206" s="29" t="s">
        <v>1739</v>
      </c>
      <c r="D206" s="33">
        <v>5.0000194000000002</v>
      </c>
      <c r="E206" s="33">
        <v>-75.349983300000005</v>
      </c>
      <c r="F206" s="29" t="s">
        <v>8090</v>
      </c>
      <c r="G206" s="29" t="s">
        <v>8090</v>
      </c>
      <c r="H206" s="35" t="s">
        <v>8091</v>
      </c>
      <c r="I206" s="29"/>
      <c r="J206" s="29"/>
      <c r="K206" s="37">
        <v>1</v>
      </c>
    </row>
    <row r="207" spans="1:11">
      <c r="A207" s="31">
        <v>207</v>
      </c>
      <c r="B207" s="29" t="s">
        <v>1738</v>
      </c>
      <c r="C207" s="29" t="s">
        <v>1739</v>
      </c>
      <c r="D207" s="33">
        <v>5.0000194000000002</v>
      </c>
      <c r="E207" s="33">
        <v>-75.349983300000005</v>
      </c>
      <c r="F207" s="29" t="s">
        <v>8090</v>
      </c>
      <c r="G207" s="29" t="s">
        <v>8090</v>
      </c>
      <c r="H207" s="35" t="s">
        <v>8091</v>
      </c>
      <c r="I207" s="29"/>
      <c r="J207" s="29"/>
      <c r="K207" s="37">
        <v>1</v>
      </c>
    </row>
    <row r="208" spans="1:11">
      <c r="A208" s="31">
        <v>208</v>
      </c>
      <c r="B208" s="29" t="s">
        <v>8269</v>
      </c>
      <c r="C208" s="29" t="s">
        <v>8270</v>
      </c>
      <c r="D208" s="33">
        <v>5.0310300000000003</v>
      </c>
      <c r="E208" s="33">
        <v>-75.511129999999994</v>
      </c>
      <c r="F208" s="29" t="s">
        <v>8090</v>
      </c>
      <c r="G208" s="29" t="s">
        <v>8090</v>
      </c>
      <c r="H208" s="35" t="s">
        <v>8091</v>
      </c>
      <c r="I208" s="29"/>
      <c r="J208" s="29"/>
      <c r="K208" s="37">
        <v>1</v>
      </c>
    </row>
    <row r="209" spans="1:11">
      <c r="A209" s="31">
        <v>209</v>
      </c>
      <c r="B209" s="29" t="s">
        <v>1782</v>
      </c>
      <c r="C209" s="29" t="s">
        <v>1783</v>
      </c>
      <c r="D209" s="33">
        <v>5.0586389</v>
      </c>
      <c r="E209" s="33">
        <v>-75.383444400000002</v>
      </c>
      <c r="F209" s="29" t="s">
        <v>8090</v>
      </c>
      <c r="G209" s="29" t="s">
        <v>8090</v>
      </c>
      <c r="H209" s="35" t="s">
        <v>8091</v>
      </c>
      <c r="I209" s="29"/>
      <c r="J209" s="29" t="s">
        <v>8406</v>
      </c>
      <c r="K209" s="37">
        <v>0</v>
      </c>
    </row>
    <row r="210" spans="1:11">
      <c r="A210" s="31">
        <v>210</v>
      </c>
      <c r="B210" s="29" t="s">
        <v>1792</v>
      </c>
      <c r="C210" s="29" t="s">
        <v>1783</v>
      </c>
      <c r="D210" s="33">
        <v>5.0039167000000004</v>
      </c>
      <c r="E210" s="33">
        <v>-75.383444400000002</v>
      </c>
      <c r="F210" s="29" t="s">
        <v>8090</v>
      </c>
      <c r="G210" s="29" t="s">
        <v>8090</v>
      </c>
      <c r="H210" s="35" t="s">
        <v>8091</v>
      </c>
      <c r="I210" s="29"/>
      <c r="J210" s="29" t="s">
        <v>8407</v>
      </c>
      <c r="K210" s="37">
        <v>0</v>
      </c>
    </row>
    <row r="211" spans="1:11">
      <c r="A211" s="31">
        <v>211</v>
      </c>
      <c r="B211" s="29" t="s">
        <v>8408</v>
      </c>
      <c r="C211" s="29" t="s">
        <v>8409</v>
      </c>
      <c r="D211" s="33">
        <v>4.9722</v>
      </c>
      <c r="E211" s="33">
        <v>-75.380589999999998</v>
      </c>
      <c r="F211" s="29" t="s">
        <v>8090</v>
      </c>
      <c r="G211" s="29" t="s">
        <v>8090</v>
      </c>
      <c r="H211" s="35" t="s">
        <v>8091</v>
      </c>
      <c r="I211" s="29"/>
      <c r="J211" s="29" t="s">
        <v>8410</v>
      </c>
      <c r="K211" s="37">
        <v>0</v>
      </c>
    </row>
    <row r="212" spans="1:11">
      <c r="A212" s="31">
        <v>212</v>
      </c>
      <c r="B212" s="29" t="s">
        <v>1815</v>
      </c>
      <c r="C212" s="29" t="s">
        <v>1816</v>
      </c>
      <c r="D212" s="33">
        <v>4.9652778</v>
      </c>
      <c r="E212" s="33">
        <v>-75.368250000000003</v>
      </c>
      <c r="F212" s="29" t="s">
        <v>8090</v>
      </c>
      <c r="G212" s="29" t="s">
        <v>8090</v>
      </c>
      <c r="H212" s="35" t="s">
        <v>8091</v>
      </c>
      <c r="I212" s="29"/>
      <c r="J212" s="29" t="s">
        <v>8411</v>
      </c>
      <c r="K212" s="37">
        <v>0</v>
      </c>
    </row>
    <row r="213" spans="1:11">
      <c r="A213" s="31">
        <v>213</v>
      </c>
      <c r="B213" s="29" t="s">
        <v>8412</v>
      </c>
      <c r="C213" s="29" t="s">
        <v>8413</v>
      </c>
      <c r="D213" s="33">
        <v>5.3832899999999997</v>
      </c>
      <c r="E213" s="33">
        <v>-75.353309999999993</v>
      </c>
      <c r="F213" s="29" t="s">
        <v>8090</v>
      </c>
      <c r="G213" s="29" t="s">
        <v>8090</v>
      </c>
      <c r="H213" s="35" t="s">
        <v>8091</v>
      </c>
      <c r="I213" s="29"/>
      <c r="J213" s="29" t="s">
        <v>8414</v>
      </c>
      <c r="K213" s="37">
        <v>0</v>
      </c>
    </row>
    <row r="214" spans="1:11">
      <c r="A214" s="31">
        <v>214</v>
      </c>
      <c r="B214" s="29" t="s">
        <v>1832</v>
      </c>
      <c r="C214" s="29" t="s">
        <v>1833</v>
      </c>
      <c r="D214" s="33">
        <v>5.0627500000000003</v>
      </c>
      <c r="E214" s="33">
        <v>-75.382388899999995</v>
      </c>
      <c r="F214" s="29" t="s">
        <v>8090</v>
      </c>
      <c r="G214" s="29" t="s">
        <v>8090</v>
      </c>
      <c r="H214" s="35" t="s">
        <v>8091</v>
      </c>
      <c r="I214" s="29"/>
      <c r="J214" s="29" t="s">
        <v>8415</v>
      </c>
      <c r="K214" s="37">
        <v>0</v>
      </c>
    </row>
    <row r="215" spans="1:11">
      <c r="A215" s="31">
        <v>215</v>
      </c>
      <c r="B215" s="29" t="s">
        <v>8416</v>
      </c>
      <c r="C215" s="29" t="s">
        <v>8417</v>
      </c>
      <c r="D215" s="33">
        <v>5.3704499999999999</v>
      </c>
      <c r="E215" s="33">
        <v>-75.385949999999994</v>
      </c>
      <c r="F215" s="29" t="s">
        <v>8090</v>
      </c>
      <c r="G215" s="29" t="s">
        <v>8090</v>
      </c>
      <c r="H215" s="35" t="s">
        <v>8091</v>
      </c>
      <c r="I215" s="29"/>
      <c r="J215" s="29" t="s">
        <v>8418</v>
      </c>
      <c r="K215" s="37">
        <v>0</v>
      </c>
    </row>
    <row r="216" spans="1:11">
      <c r="A216" s="31">
        <v>216</v>
      </c>
      <c r="B216" s="29" t="s">
        <v>8408</v>
      </c>
      <c r="C216" s="29" t="s">
        <v>8409</v>
      </c>
      <c r="D216" s="33">
        <v>4.9722</v>
      </c>
      <c r="E216" s="33">
        <v>-75.380589999999998</v>
      </c>
      <c r="F216" s="29" t="s">
        <v>8090</v>
      </c>
      <c r="G216" s="29" t="s">
        <v>8090</v>
      </c>
      <c r="H216" s="35" t="s">
        <v>8091</v>
      </c>
      <c r="I216" s="29"/>
      <c r="J216" s="29"/>
      <c r="K216" s="37">
        <v>1</v>
      </c>
    </row>
    <row r="217" spans="1:11">
      <c r="A217" s="31">
        <v>217</v>
      </c>
      <c r="B217" s="29" t="s">
        <v>1738</v>
      </c>
      <c r="C217" s="29" t="s">
        <v>1739</v>
      </c>
      <c r="D217" s="33">
        <v>5.0000194000000002</v>
      </c>
      <c r="E217" s="33">
        <v>-75.349983300000005</v>
      </c>
      <c r="F217" s="29" t="s">
        <v>8090</v>
      </c>
      <c r="G217" s="29" t="s">
        <v>8090</v>
      </c>
      <c r="H217" s="35" t="s">
        <v>8091</v>
      </c>
      <c r="I217" s="29"/>
      <c r="J217" s="29"/>
      <c r="K217" s="37">
        <v>1</v>
      </c>
    </row>
    <row r="218" spans="1:11">
      <c r="A218" s="31">
        <v>218</v>
      </c>
      <c r="B218" s="29" t="s">
        <v>1860</v>
      </c>
      <c r="C218" s="29" t="s">
        <v>1861</v>
      </c>
      <c r="D218" s="33">
        <v>2.3666667000000001</v>
      </c>
      <c r="E218" s="33">
        <v>-76.416666699999993</v>
      </c>
      <c r="F218" s="29" t="s">
        <v>8090</v>
      </c>
      <c r="G218" s="29" t="s">
        <v>8090</v>
      </c>
      <c r="H218" s="35" t="s">
        <v>8091</v>
      </c>
      <c r="I218" s="29"/>
      <c r="J218" s="29" t="s">
        <v>8419</v>
      </c>
      <c r="K218" s="37">
        <v>0</v>
      </c>
    </row>
    <row r="219" spans="1:11">
      <c r="A219" s="31">
        <v>219</v>
      </c>
      <c r="B219" s="29" t="s">
        <v>8420</v>
      </c>
      <c r="C219" s="29" t="s">
        <v>8421</v>
      </c>
      <c r="D219" s="33">
        <v>1.92153</v>
      </c>
      <c r="E219" s="33">
        <v>-76.633510000000001</v>
      </c>
      <c r="F219" s="29" t="s">
        <v>8090</v>
      </c>
      <c r="G219" s="29" t="s">
        <v>8090</v>
      </c>
      <c r="H219" s="35" t="s">
        <v>8091</v>
      </c>
      <c r="I219" s="29"/>
      <c r="J219" s="29" t="s">
        <v>8422</v>
      </c>
      <c r="K219" s="37">
        <v>0</v>
      </c>
    </row>
    <row r="220" spans="1:11">
      <c r="A220" s="31">
        <v>220</v>
      </c>
      <c r="B220" s="29" t="s">
        <v>8423</v>
      </c>
      <c r="C220" s="29" t="s">
        <v>8424</v>
      </c>
      <c r="D220" s="33">
        <v>2.8284400000000001</v>
      </c>
      <c r="E220" s="33">
        <v>-76.062989999999999</v>
      </c>
      <c r="F220" s="29" t="s">
        <v>8090</v>
      </c>
      <c r="G220" s="29" t="s">
        <v>8090</v>
      </c>
      <c r="H220" s="35" t="s">
        <v>8091</v>
      </c>
      <c r="I220" s="29"/>
      <c r="J220" s="29" t="s">
        <v>8425</v>
      </c>
      <c r="K220" s="37">
        <v>0</v>
      </c>
    </row>
    <row r="221" spans="1:11">
      <c r="A221" s="31">
        <v>221</v>
      </c>
      <c r="B221" s="29" t="s">
        <v>1886</v>
      </c>
      <c r="C221" s="29" t="s">
        <v>1887</v>
      </c>
      <c r="D221" s="33">
        <v>2.3812443999999999</v>
      </c>
      <c r="E221" s="33">
        <v>-76.454863900000007</v>
      </c>
      <c r="F221" s="29" t="s">
        <v>8090</v>
      </c>
      <c r="G221" s="29" t="s">
        <v>8090</v>
      </c>
      <c r="H221" s="35" t="s">
        <v>8091</v>
      </c>
      <c r="I221" s="29"/>
      <c r="J221" s="29" t="s">
        <v>8426</v>
      </c>
      <c r="K221" s="37">
        <v>0</v>
      </c>
    </row>
    <row r="222" spans="1:11">
      <c r="A222" s="31">
        <v>222</v>
      </c>
      <c r="B222" s="29" t="s">
        <v>1896</v>
      </c>
      <c r="C222" s="29" t="s">
        <v>1887</v>
      </c>
      <c r="D222" s="33">
        <v>2.3811111</v>
      </c>
      <c r="E222" s="33">
        <v>-76.454863900000007</v>
      </c>
      <c r="F222" s="29" t="s">
        <v>8090</v>
      </c>
      <c r="G222" s="29" t="s">
        <v>8090</v>
      </c>
      <c r="H222" s="35" t="s">
        <v>8091</v>
      </c>
      <c r="I222" s="29"/>
      <c r="J222" s="29" t="s">
        <v>8427</v>
      </c>
      <c r="K222" s="37">
        <v>0</v>
      </c>
    </row>
    <row r="223" spans="1:11">
      <c r="A223" s="31">
        <v>223</v>
      </c>
      <c r="B223" s="29" t="s">
        <v>790</v>
      </c>
      <c r="C223" s="29" t="s">
        <v>791</v>
      </c>
      <c r="D223" s="33">
        <v>2.5039278</v>
      </c>
      <c r="E223" s="33">
        <v>-76.391227799999996</v>
      </c>
      <c r="F223" s="29" t="s">
        <v>8090</v>
      </c>
      <c r="G223" s="29" t="s">
        <v>8090</v>
      </c>
      <c r="H223" s="35" t="s">
        <v>8091</v>
      </c>
      <c r="I223" s="29"/>
      <c r="J223" s="29"/>
      <c r="K223" s="37">
        <v>1</v>
      </c>
    </row>
    <row r="224" spans="1:11">
      <c r="A224" s="31">
        <v>224</v>
      </c>
      <c r="B224" s="29" t="s">
        <v>8428</v>
      </c>
      <c r="C224" s="29" t="s">
        <v>8429</v>
      </c>
      <c r="D224" s="33">
        <v>2.43397</v>
      </c>
      <c r="E224" s="33">
        <v>-76.416759999999996</v>
      </c>
      <c r="F224" s="29" t="s">
        <v>8090</v>
      </c>
      <c r="G224" s="29" t="s">
        <v>8090</v>
      </c>
      <c r="H224" s="35" t="s">
        <v>8091</v>
      </c>
      <c r="I224" s="29"/>
      <c r="J224" s="29" t="s">
        <v>8430</v>
      </c>
      <c r="K224" s="37">
        <v>0</v>
      </c>
    </row>
    <row r="225" spans="1:11">
      <c r="A225" s="31">
        <v>225</v>
      </c>
      <c r="B225" s="29" t="s">
        <v>1919</v>
      </c>
      <c r="C225" s="29" t="s">
        <v>1920</v>
      </c>
      <c r="D225" s="33">
        <v>1.7598611</v>
      </c>
      <c r="E225" s="33">
        <v>-76.905833299999998</v>
      </c>
      <c r="F225" s="29" t="s">
        <v>8090</v>
      </c>
      <c r="G225" s="29" t="s">
        <v>8090</v>
      </c>
      <c r="H225" s="35" t="s">
        <v>8091</v>
      </c>
      <c r="I225" s="29"/>
      <c r="J225" s="29" t="s">
        <v>8431</v>
      </c>
      <c r="K225" s="37">
        <v>0</v>
      </c>
    </row>
    <row r="226" spans="1:11">
      <c r="A226" s="31">
        <v>226</v>
      </c>
      <c r="B226" s="29" t="s">
        <v>1932</v>
      </c>
      <c r="C226" s="29" t="s">
        <v>1933</v>
      </c>
      <c r="D226" s="33">
        <v>2.3807667000000001</v>
      </c>
      <c r="E226" s="33">
        <v>-76.444083300000003</v>
      </c>
      <c r="F226" s="29" t="s">
        <v>8090</v>
      </c>
      <c r="G226" s="29" t="s">
        <v>8090</v>
      </c>
      <c r="H226" s="35" t="s">
        <v>8091</v>
      </c>
      <c r="I226" s="29"/>
      <c r="J226" s="29" t="s">
        <v>8432</v>
      </c>
      <c r="K226" s="37">
        <v>0</v>
      </c>
    </row>
    <row r="227" spans="1:11">
      <c r="A227" s="31">
        <v>227</v>
      </c>
      <c r="B227" s="29" t="s">
        <v>8433</v>
      </c>
      <c r="C227" s="29" t="s">
        <v>8434</v>
      </c>
      <c r="D227" s="33">
        <v>5.2004400000000004</v>
      </c>
      <c r="E227" s="33">
        <v>-73.880170000000007</v>
      </c>
      <c r="F227" s="29" t="s">
        <v>8090</v>
      </c>
      <c r="G227" s="29" t="s">
        <v>8090</v>
      </c>
      <c r="H227" s="35" t="s">
        <v>8091</v>
      </c>
      <c r="I227" s="29"/>
      <c r="J227" s="29" t="s">
        <v>8435</v>
      </c>
      <c r="K227" s="37">
        <v>0</v>
      </c>
    </row>
    <row r="228" spans="1:11">
      <c r="A228" s="31">
        <v>228</v>
      </c>
      <c r="B228" s="29" t="s">
        <v>8436</v>
      </c>
      <c r="C228" s="29" t="s">
        <v>8437</v>
      </c>
      <c r="D228" s="33">
        <v>4.8370100000000003</v>
      </c>
      <c r="E228" s="33">
        <v>-73.810689999999994</v>
      </c>
      <c r="F228" s="29" t="s">
        <v>8090</v>
      </c>
      <c r="G228" s="29" t="s">
        <v>8090</v>
      </c>
      <c r="H228" s="35" t="s">
        <v>8091</v>
      </c>
      <c r="I228" s="29"/>
      <c r="J228" s="29" t="s">
        <v>8438</v>
      </c>
      <c r="K228" s="37">
        <v>0</v>
      </c>
    </row>
    <row r="229" spans="1:11">
      <c r="A229" s="31">
        <v>229</v>
      </c>
      <c r="B229" s="29" t="s">
        <v>8439</v>
      </c>
      <c r="C229" s="29" t="s">
        <v>8440</v>
      </c>
      <c r="D229" s="33">
        <v>4.47614</v>
      </c>
      <c r="E229" s="33">
        <v>-73.808109999999999</v>
      </c>
      <c r="F229" s="29" t="s">
        <v>8090</v>
      </c>
      <c r="G229" s="29" t="s">
        <v>8090</v>
      </c>
      <c r="H229" s="35" t="s">
        <v>8091</v>
      </c>
      <c r="I229" s="29"/>
      <c r="J229" s="29" t="s">
        <v>8441</v>
      </c>
      <c r="K229" s="37">
        <v>0</v>
      </c>
    </row>
    <row r="230" spans="1:11">
      <c r="A230" s="31">
        <v>230</v>
      </c>
      <c r="B230" s="29" t="s">
        <v>8442</v>
      </c>
      <c r="C230" s="29" t="s">
        <v>8443</v>
      </c>
      <c r="D230" s="33">
        <v>4.5457999999999998</v>
      </c>
      <c r="E230" s="33">
        <v>-73.957359999999994</v>
      </c>
      <c r="F230" s="29" t="s">
        <v>8090</v>
      </c>
      <c r="G230" s="29" t="s">
        <v>8090</v>
      </c>
      <c r="H230" s="35" t="s">
        <v>8091</v>
      </c>
      <c r="I230" s="29"/>
      <c r="J230" s="29" t="s">
        <v>8444</v>
      </c>
      <c r="K230" s="37">
        <v>0</v>
      </c>
    </row>
    <row r="231" spans="1:11">
      <c r="A231" s="31">
        <v>231</v>
      </c>
      <c r="B231" s="29" t="s">
        <v>8445</v>
      </c>
      <c r="C231" s="29" t="s">
        <v>8446</v>
      </c>
      <c r="D231" s="33">
        <v>4.6320499999999996</v>
      </c>
      <c r="E231" s="33">
        <v>-74.035039999999995</v>
      </c>
      <c r="F231" s="29" t="s">
        <v>8090</v>
      </c>
      <c r="G231" s="29" t="s">
        <v>8090</v>
      </c>
      <c r="H231" s="35" t="s">
        <v>8091</v>
      </c>
      <c r="I231" s="29"/>
      <c r="J231" s="29" t="s">
        <v>8447</v>
      </c>
      <c r="K231" s="37">
        <v>0</v>
      </c>
    </row>
    <row r="232" spans="1:11">
      <c r="A232" s="31">
        <v>232</v>
      </c>
      <c r="B232" s="29" t="s">
        <v>8448</v>
      </c>
      <c r="C232" s="29" t="s">
        <v>8449</v>
      </c>
      <c r="D232" s="33">
        <v>4.0812600000000003</v>
      </c>
      <c r="E232" s="33">
        <v>-74.247730000000004</v>
      </c>
      <c r="F232" s="29" t="s">
        <v>8090</v>
      </c>
      <c r="G232" s="29" t="s">
        <v>8090</v>
      </c>
      <c r="H232" s="35" t="s">
        <v>8091</v>
      </c>
      <c r="I232" s="29"/>
      <c r="J232" s="29" t="s">
        <v>8450</v>
      </c>
      <c r="K232" s="37">
        <v>0</v>
      </c>
    </row>
    <row r="233" spans="1:11">
      <c r="A233" s="31">
        <v>233</v>
      </c>
      <c r="B233" s="29" t="s">
        <v>8451</v>
      </c>
      <c r="C233" s="29" t="s">
        <v>8452</v>
      </c>
      <c r="D233" s="33">
        <v>5.1581900000000003</v>
      </c>
      <c r="E233" s="33">
        <v>-73.944550000000007</v>
      </c>
      <c r="F233" s="29" t="s">
        <v>8090</v>
      </c>
      <c r="G233" s="29" t="s">
        <v>8090</v>
      </c>
      <c r="H233" s="35" t="s">
        <v>8091</v>
      </c>
      <c r="I233" s="29"/>
      <c r="J233" s="29" t="s">
        <v>8453</v>
      </c>
      <c r="K233" s="37">
        <v>0</v>
      </c>
    </row>
    <row r="234" spans="1:11">
      <c r="A234" s="31">
        <v>234</v>
      </c>
      <c r="B234" s="29" t="s">
        <v>8454</v>
      </c>
      <c r="C234" s="29" t="s">
        <v>8455</v>
      </c>
      <c r="D234" s="33">
        <v>1.91706</v>
      </c>
      <c r="E234" s="33">
        <v>-76.600059999999999</v>
      </c>
      <c r="F234" s="29" t="s">
        <v>8090</v>
      </c>
      <c r="G234" s="29" t="s">
        <v>8090</v>
      </c>
      <c r="H234" s="35" t="s">
        <v>8091</v>
      </c>
      <c r="I234" s="29"/>
      <c r="J234" s="29" t="s">
        <v>8456</v>
      </c>
      <c r="K234" s="37">
        <v>0</v>
      </c>
    </row>
    <row r="235" spans="1:11">
      <c r="A235" s="31">
        <v>235</v>
      </c>
      <c r="B235" s="29" t="s">
        <v>1993</v>
      </c>
      <c r="C235" s="29" t="s">
        <v>1994</v>
      </c>
      <c r="D235" s="33">
        <v>1.2136917</v>
      </c>
      <c r="E235" s="33">
        <v>-77.2726361</v>
      </c>
      <c r="F235" s="29" t="s">
        <v>8090</v>
      </c>
      <c r="G235" s="29" t="s">
        <v>8090</v>
      </c>
      <c r="H235" s="35" t="s">
        <v>8091</v>
      </c>
      <c r="I235" s="29"/>
      <c r="J235" s="29" t="s">
        <v>8457</v>
      </c>
      <c r="K235" s="37">
        <v>0</v>
      </c>
    </row>
    <row r="236" spans="1:11">
      <c r="A236" s="31">
        <v>236</v>
      </c>
      <c r="B236" s="29" t="s">
        <v>8458</v>
      </c>
      <c r="C236" s="29" t="s">
        <v>8459</v>
      </c>
      <c r="D236" s="33">
        <v>1.3660099999999999</v>
      </c>
      <c r="E236" s="33">
        <v>-77.798360000000002</v>
      </c>
      <c r="F236" s="29" t="s">
        <v>8090</v>
      </c>
      <c r="G236" s="29" t="s">
        <v>8090</v>
      </c>
      <c r="H236" s="35" t="s">
        <v>8091</v>
      </c>
      <c r="I236" s="29"/>
      <c r="J236" s="29" t="s">
        <v>8460</v>
      </c>
      <c r="K236" s="37">
        <v>0</v>
      </c>
    </row>
    <row r="237" spans="1:11">
      <c r="A237" s="31">
        <v>237</v>
      </c>
      <c r="B237" s="29" t="s">
        <v>8461</v>
      </c>
      <c r="C237" s="29" t="s">
        <v>8462</v>
      </c>
      <c r="D237" s="33">
        <v>1.18713</v>
      </c>
      <c r="E237" s="33">
        <v>-77.32423</v>
      </c>
      <c r="F237" s="29" t="s">
        <v>8090</v>
      </c>
      <c r="G237" s="29" t="s">
        <v>8090</v>
      </c>
      <c r="H237" s="35" t="s">
        <v>8091</v>
      </c>
      <c r="I237" s="29"/>
      <c r="J237" s="29" t="s">
        <v>8463</v>
      </c>
      <c r="K237" s="37">
        <v>0</v>
      </c>
    </row>
    <row r="238" spans="1:11">
      <c r="A238" s="31">
        <v>238</v>
      </c>
      <c r="B238" s="29" t="s">
        <v>1993</v>
      </c>
      <c r="C238" s="29" t="s">
        <v>1994</v>
      </c>
      <c r="D238" s="33">
        <v>1.2136917</v>
      </c>
      <c r="E238" s="33">
        <v>-77.2726361</v>
      </c>
      <c r="F238" s="29" t="s">
        <v>8090</v>
      </c>
      <c r="G238" s="29" t="s">
        <v>8090</v>
      </c>
      <c r="H238" s="35" t="s">
        <v>8091</v>
      </c>
      <c r="I238" s="29"/>
      <c r="J238" s="29"/>
      <c r="K238" s="37">
        <v>1</v>
      </c>
    </row>
    <row r="239" spans="1:11">
      <c r="A239" s="31">
        <v>239</v>
      </c>
      <c r="B239" s="29" t="s">
        <v>1993</v>
      </c>
      <c r="C239" s="29" t="s">
        <v>1994</v>
      </c>
      <c r="D239" s="33">
        <v>1.2136917</v>
      </c>
      <c r="E239" s="33">
        <v>-77.2726361</v>
      </c>
      <c r="F239" s="29" t="s">
        <v>8090</v>
      </c>
      <c r="G239" s="29" t="s">
        <v>8090</v>
      </c>
      <c r="H239" s="35" t="s">
        <v>8091</v>
      </c>
      <c r="I239" s="29"/>
      <c r="J239" s="29"/>
      <c r="K239" s="37">
        <v>1</v>
      </c>
    </row>
    <row r="240" spans="1:11">
      <c r="A240" s="31">
        <v>240</v>
      </c>
      <c r="B240" s="29" t="s">
        <v>1993</v>
      </c>
      <c r="C240" s="29" t="s">
        <v>1994</v>
      </c>
      <c r="D240" s="33">
        <v>1.2136917</v>
      </c>
      <c r="E240" s="33">
        <v>-77.2726361</v>
      </c>
      <c r="F240" s="29" t="s">
        <v>8090</v>
      </c>
      <c r="G240" s="29" t="s">
        <v>8090</v>
      </c>
      <c r="H240" s="35" t="s">
        <v>8091</v>
      </c>
      <c r="I240" s="29"/>
      <c r="J240" s="29"/>
      <c r="K240" s="37">
        <v>1</v>
      </c>
    </row>
    <row r="241" spans="1:11">
      <c r="A241" s="31">
        <v>241</v>
      </c>
      <c r="B241" s="29" t="s">
        <v>8464</v>
      </c>
      <c r="C241" s="29" t="s">
        <v>8465</v>
      </c>
      <c r="D241" s="33">
        <v>1.20048</v>
      </c>
      <c r="E241" s="33">
        <v>-77.315929999999994</v>
      </c>
      <c r="F241" s="29" t="s">
        <v>8090</v>
      </c>
      <c r="G241" s="29" t="s">
        <v>8090</v>
      </c>
      <c r="H241" s="35" t="s">
        <v>8091</v>
      </c>
      <c r="I241" s="29"/>
      <c r="J241" s="29" t="s">
        <v>8466</v>
      </c>
      <c r="K241" s="37">
        <v>0</v>
      </c>
    </row>
    <row r="242" spans="1:11">
      <c r="A242" s="31">
        <v>242</v>
      </c>
      <c r="B242" s="29" t="s">
        <v>8467</v>
      </c>
      <c r="C242" s="29" t="s">
        <v>8468</v>
      </c>
      <c r="D242" s="33">
        <v>1.2183200000000001</v>
      </c>
      <c r="E242" s="33">
        <v>-77.170910000000006</v>
      </c>
      <c r="F242" s="29" t="s">
        <v>8090</v>
      </c>
      <c r="G242" s="29" t="s">
        <v>8090</v>
      </c>
      <c r="H242" s="35" t="s">
        <v>8091</v>
      </c>
      <c r="I242" s="29"/>
      <c r="J242" s="29" t="s">
        <v>8469</v>
      </c>
      <c r="K242" s="37">
        <v>0</v>
      </c>
    </row>
    <row r="243" spans="1:11">
      <c r="A243" s="31">
        <v>243</v>
      </c>
      <c r="B243" s="29" t="s">
        <v>1993</v>
      </c>
      <c r="C243" s="29" t="s">
        <v>1994</v>
      </c>
      <c r="D243" s="33">
        <v>1.2136917</v>
      </c>
      <c r="E243" s="33">
        <v>-77.2726361</v>
      </c>
      <c r="F243" s="29" t="s">
        <v>8090</v>
      </c>
      <c r="G243" s="29" t="s">
        <v>8090</v>
      </c>
      <c r="H243" s="35" t="s">
        <v>8091</v>
      </c>
      <c r="I243" s="29"/>
      <c r="J243" s="29"/>
      <c r="K243" s="37">
        <v>1</v>
      </c>
    </row>
    <row r="244" spans="1:11">
      <c r="A244" s="31">
        <v>244</v>
      </c>
      <c r="B244" s="29" t="s">
        <v>8470</v>
      </c>
      <c r="C244" s="29" t="s">
        <v>8471</v>
      </c>
      <c r="D244" s="33">
        <v>7.39297</v>
      </c>
      <c r="E244" s="33">
        <v>-72.429209999999998</v>
      </c>
      <c r="F244" s="29" t="s">
        <v>8090</v>
      </c>
      <c r="G244" s="29" t="s">
        <v>8090</v>
      </c>
      <c r="H244" s="35" t="s">
        <v>8091</v>
      </c>
      <c r="I244" s="29"/>
      <c r="J244" s="29" t="s">
        <v>8472</v>
      </c>
      <c r="K244" s="37">
        <v>0</v>
      </c>
    </row>
    <row r="245" spans="1:11">
      <c r="A245" s="31">
        <v>245</v>
      </c>
      <c r="B245" s="29" t="s">
        <v>8473</v>
      </c>
      <c r="C245" s="29" t="s">
        <v>8474</v>
      </c>
      <c r="D245" s="33">
        <v>1.1480399999999999</v>
      </c>
      <c r="E245" s="33">
        <v>-77.098079999999996</v>
      </c>
      <c r="F245" s="29" t="s">
        <v>8090</v>
      </c>
      <c r="G245" s="29" t="s">
        <v>8090</v>
      </c>
      <c r="H245" s="35" t="s">
        <v>8091</v>
      </c>
      <c r="I245" s="29"/>
      <c r="J245" s="29" t="s">
        <v>8475</v>
      </c>
      <c r="K245" s="37">
        <v>0</v>
      </c>
    </row>
    <row r="246" spans="1:11">
      <c r="A246" s="31">
        <v>246</v>
      </c>
      <c r="B246" s="29" t="s">
        <v>801</v>
      </c>
      <c r="C246" s="29" t="s">
        <v>422</v>
      </c>
      <c r="D246" s="33">
        <v>4.6666667000000004</v>
      </c>
      <c r="E246" s="33">
        <v>-75.5</v>
      </c>
      <c r="F246" s="29" t="s">
        <v>8090</v>
      </c>
      <c r="G246" s="29" t="s">
        <v>8090</v>
      </c>
      <c r="H246" s="35" t="s">
        <v>8091</v>
      </c>
      <c r="I246" s="29"/>
      <c r="J246" s="29"/>
      <c r="K246" s="37">
        <v>1</v>
      </c>
    </row>
    <row r="247" spans="1:11">
      <c r="A247" s="31">
        <v>247</v>
      </c>
      <c r="B247" s="29" t="s">
        <v>801</v>
      </c>
      <c r="C247" s="29" t="s">
        <v>422</v>
      </c>
      <c r="D247" s="33">
        <v>4.6666667000000004</v>
      </c>
      <c r="E247" s="33">
        <v>-75.5</v>
      </c>
      <c r="F247" s="29" t="s">
        <v>8090</v>
      </c>
      <c r="G247" s="29" t="s">
        <v>8090</v>
      </c>
      <c r="H247" s="35" t="s">
        <v>8091</v>
      </c>
      <c r="I247" s="29"/>
      <c r="J247" s="29"/>
      <c r="K247" s="37">
        <v>1</v>
      </c>
    </row>
    <row r="248" spans="1:11">
      <c r="A248" s="31">
        <v>248</v>
      </c>
      <c r="B248" s="29" t="s">
        <v>2079</v>
      </c>
      <c r="C248" s="29" t="s">
        <v>2080</v>
      </c>
      <c r="D248" s="33">
        <v>4.6414999999999997</v>
      </c>
      <c r="E248" s="33">
        <v>-75.486777799999999</v>
      </c>
      <c r="F248" s="29" t="s">
        <v>8090</v>
      </c>
      <c r="G248" s="29" t="s">
        <v>8090</v>
      </c>
      <c r="H248" s="35" t="s">
        <v>8091</v>
      </c>
      <c r="I248" s="29"/>
      <c r="J248" s="29" t="s">
        <v>8476</v>
      </c>
      <c r="K248" s="37">
        <v>0</v>
      </c>
    </row>
    <row r="249" spans="1:11">
      <c r="A249" s="31">
        <v>249</v>
      </c>
      <c r="B249" s="29" t="s">
        <v>2092</v>
      </c>
      <c r="C249" s="29" t="s">
        <v>755</v>
      </c>
      <c r="D249" s="33">
        <v>4.6500000000000004</v>
      </c>
      <c r="E249" s="33">
        <v>-75.483333299999998</v>
      </c>
      <c r="F249" s="29" t="s">
        <v>8090</v>
      </c>
      <c r="G249" s="29" t="s">
        <v>8090</v>
      </c>
      <c r="H249" s="35" t="s">
        <v>8091</v>
      </c>
      <c r="I249" s="29"/>
      <c r="J249" s="29" t="s">
        <v>8477</v>
      </c>
      <c r="K249" s="37">
        <v>0</v>
      </c>
    </row>
    <row r="250" spans="1:11">
      <c r="A250" s="31">
        <v>250</v>
      </c>
      <c r="B250" s="29" t="s">
        <v>2103</v>
      </c>
      <c r="C250" s="29" t="s">
        <v>2104</v>
      </c>
      <c r="D250" s="33">
        <v>4.8666666999999997</v>
      </c>
      <c r="E250" s="33">
        <v>-75.616666699999996</v>
      </c>
      <c r="F250" s="29" t="s">
        <v>8090</v>
      </c>
      <c r="G250" s="29" t="s">
        <v>8090</v>
      </c>
      <c r="H250" s="35" t="s">
        <v>8091</v>
      </c>
      <c r="I250" s="29"/>
      <c r="J250" s="29" t="s">
        <v>8478</v>
      </c>
      <c r="K250" s="37">
        <v>0</v>
      </c>
    </row>
    <row r="251" spans="1:11">
      <c r="A251" s="31">
        <v>251</v>
      </c>
      <c r="B251" s="29" t="s">
        <v>8479</v>
      </c>
      <c r="C251" s="29" t="s">
        <v>8480</v>
      </c>
      <c r="D251" s="33">
        <v>5.1285999999999996</v>
      </c>
      <c r="E251" s="33">
        <v>-76.048439999999999</v>
      </c>
      <c r="F251" s="29" t="s">
        <v>8090</v>
      </c>
      <c r="G251" s="29" t="s">
        <v>8090</v>
      </c>
      <c r="H251" s="35" t="s">
        <v>8091</v>
      </c>
      <c r="I251" s="29"/>
      <c r="J251" s="29" t="s">
        <v>8481</v>
      </c>
      <c r="K251" s="37">
        <v>0</v>
      </c>
    </row>
    <row r="252" spans="1:11">
      <c r="A252" s="31">
        <v>252</v>
      </c>
      <c r="B252" s="29" t="s">
        <v>2103</v>
      </c>
      <c r="C252" s="29" t="s">
        <v>2104</v>
      </c>
      <c r="D252" s="33">
        <v>4.8666666999999997</v>
      </c>
      <c r="E252" s="33">
        <v>-75.616666699999996</v>
      </c>
      <c r="F252" s="29" t="s">
        <v>8090</v>
      </c>
      <c r="G252" s="29" t="s">
        <v>8090</v>
      </c>
      <c r="H252" s="35" t="s">
        <v>8091</v>
      </c>
      <c r="I252" s="29"/>
      <c r="J252" s="29"/>
      <c r="K252" s="37">
        <v>1</v>
      </c>
    </row>
    <row r="253" spans="1:11">
      <c r="A253" s="31">
        <v>253</v>
      </c>
      <c r="B253" s="29" t="s">
        <v>8482</v>
      </c>
      <c r="C253" s="29" t="s">
        <v>8483</v>
      </c>
      <c r="D253" s="33">
        <v>5.1208051000000001</v>
      </c>
      <c r="E253" s="33">
        <v>-76.059453199999993</v>
      </c>
      <c r="F253" s="29" t="s">
        <v>8090</v>
      </c>
      <c r="G253" s="29" t="s">
        <v>8090</v>
      </c>
      <c r="H253" s="35" t="s">
        <v>8091</v>
      </c>
      <c r="I253" s="29"/>
      <c r="J253" s="29" t="s">
        <v>8484</v>
      </c>
      <c r="K253" s="37">
        <v>0</v>
      </c>
    </row>
    <row r="254" spans="1:11">
      <c r="A254" s="31">
        <v>254</v>
      </c>
      <c r="B254" s="29" t="s">
        <v>8482</v>
      </c>
      <c r="C254" s="29" t="s">
        <v>8483</v>
      </c>
      <c r="D254" s="33">
        <v>5.1208051000000001</v>
      </c>
      <c r="E254" s="33">
        <v>-76.059453199999993</v>
      </c>
      <c r="F254" s="29" t="s">
        <v>8090</v>
      </c>
      <c r="G254" s="29" t="s">
        <v>8090</v>
      </c>
      <c r="H254" s="35" t="s">
        <v>8091</v>
      </c>
      <c r="I254" s="29"/>
      <c r="J254" s="29"/>
      <c r="K254" s="37">
        <v>1</v>
      </c>
    </row>
    <row r="255" spans="1:11">
      <c r="A255" s="31">
        <v>255</v>
      </c>
      <c r="B255" s="29" t="s">
        <v>8482</v>
      </c>
      <c r="C255" s="29" t="s">
        <v>8483</v>
      </c>
      <c r="D255" s="33">
        <v>5.1208051000000001</v>
      </c>
      <c r="E255" s="33">
        <v>-76.059453199999993</v>
      </c>
      <c r="F255" s="29" t="s">
        <v>8090</v>
      </c>
      <c r="G255" s="29" t="s">
        <v>8090</v>
      </c>
      <c r="H255" s="35" t="s">
        <v>8091</v>
      </c>
      <c r="I255" s="29"/>
      <c r="J255" s="29"/>
      <c r="K255" s="37">
        <v>1</v>
      </c>
    </row>
    <row r="256" spans="1:11">
      <c r="A256" s="31">
        <v>256</v>
      </c>
      <c r="B256" s="29" t="s">
        <v>8485</v>
      </c>
      <c r="C256" s="29" t="s">
        <v>8486</v>
      </c>
      <c r="D256" s="33">
        <v>6.1998800000000003</v>
      </c>
      <c r="E256" s="33">
        <v>-72.833399999999997</v>
      </c>
      <c r="F256" s="29" t="s">
        <v>8090</v>
      </c>
      <c r="G256" s="29" t="s">
        <v>8090</v>
      </c>
      <c r="H256" s="35" t="s">
        <v>8091</v>
      </c>
      <c r="I256" s="29"/>
      <c r="J256" s="29" t="s">
        <v>8487</v>
      </c>
      <c r="K256" s="37">
        <v>0</v>
      </c>
    </row>
    <row r="257" spans="1:11">
      <c r="A257" s="31">
        <v>257</v>
      </c>
      <c r="B257" s="29" t="s">
        <v>2149</v>
      </c>
      <c r="C257" s="29" t="s">
        <v>2150</v>
      </c>
      <c r="D257" s="33">
        <v>4.7189417000000002</v>
      </c>
      <c r="E257" s="33">
        <v>-75.100730600000006</v>
      </c>
      <c r="F257" s="29" t="s">
        <v>8090</v>
      </c>
      <c r="G257" s="29" t="s">
        <v>8090</v>
      </c>
      <c r="H257" s="35" t="s">
        <v>8091</v>
      </c>
      <c r="I257" s="29"/>
      <c r="J257" s="29" t="s">
        <v>8488</v>
      </c>
      <c r="K257" s="37">
        <v>0</v>
      </c>
    </row>
    <row r="258" spans="1:11">
      <c r="A258" s="31">
        <v>258</v>
      </c>
      <c r="B258" s="29" t="s">
        <v>2149</v>
      </c>
      <c r="C258" s="29" t="s">
        <v>2150</v>
      </c>
      <c r="D258" s="33">
        <v>4.7189417000000002</v>
      </c>
      <c r="E258" s="33">
        <v>-75.100730600000006</v>
      </c>
      <c r="F258" s="29" t="s">
        <v>8090</v>
      </c>
      <c r="G258" s="29" t="s">
        <v>8090</v>
      </c>
      <c r="H258" s="35" t="s">
        <v>8091</v>
      </c>
      <c r="I258" s="29"/>
      <c r="J258" s="29"/>
      <c r="K258" s="37">
        <v>1</v>
      </c>
    </row>
    <row r="259" spans="1:11">
      <c r="A259" s="31">
        <v>259</v>
      </c>
      <c r="B259" s="29" t="s">
        <v>2149</v>
      </c>
      <c r="C259" s="29" t="s">
        <v>2150</v>
      </c>
      <c r="D259" s="33">
        <v>4.7189417000000002</v>
      </c>
      <c r="E259" s="33">
        <v>-75.100730600000006</v>
      </c>
      <c r="F259" s="29" t="s">
        <v>8090</v>
      </c>
      <c r="G259" s="29" t="s">
        <v>8090</v>
      </c>
      <c r="H259" s="35" t="s">
        <v>8091</v>
      </c>
      <c r="I259" s="29"/>
      <c r="J259" s="29"/>
      <c r="K259" s="37">
        <v>1</v>
      </c>
    </row>
    <row r="260" spans="1:11">
      <c r="A260" s="31">
        <v>260</v>
      </c>
      <c r="B260" s="29" t="s">
        <v>2168</v>
      </c>
      <c r="C260" s="29" t="s">
        <v>955</v>
      </c>
      <c r="D260" s="33">
        <v>4.8697777999999996</v>
      </c>
      <c r="E260" s="33">
        <v>-75.177352799999994</v>
      </c>
      <c r="F260" s="29" t="s">
        <v>8090</v>
      </c>
      <c r="G260" s="29" t="s">
        <v>8090</v>
      </c>
      <c r="H260" s="35" t="s">
        <v>8091</v>
      </c>
      <c r="I260" s="29"/>
      <c r="J260" s="29" t="s">
        <v>8489</v>
      </c>
      <c r="K260" s="37">
        <v>0</v>
      </c>
    </row>
    <row r="261" spans="1:11">
      <c r="A261" s="31">
        <v>261</v>
      </c>
      <c r="B261" s="29" t="s">
        <v>8490</v>
      </c>
      <c r="C261" s="29" t="s">
        <v>8491</v>
      </c>
      <c r="D261" s="33">
        <v>4.90585</v>
      </c>
      <c r="E261" s="33">
        <v>-75.197010000000006</v>
      </c>
      <c r="F261" s="29" t="s">
        <v>8090</v>
      </c>
      <c r="G261" s="29" t="s">
        <v>8090</v>
      </c>
      <c r="H261" s="35" t="s">
        <v>8091</v>
      </c>
      <c r="I261" s="29"/>
      <c r="J261" s="29" t="s">
        <v>8492</v>
      </c>
      <c r="K261" s="37">
        <v>0</v>
      </c>
    </row>
    <row r="262" spans="1:11">
      <c r="A262" s="31">
        <v>262</v>
      </c>
      <c r="B262" s="29" t="s">
        <v>8493</v>
      </c>
      <c r="C262" s="29" t="s">
        <v>8494</v>
      </c>
      <c r="D262" s="33">
        <v>4.5803900000000004</v>
      </c>
      <c r="E262" s="33">
        <v>-75.375399999999999</v>
      </c>
      <c r="F262" s="29" t="s">
        <v>8090</v>
      </c>
      <c r="G262" s="29" t="s">
        <v>8090</v>
      </c>
      <c r="H262" s="35" t="s">
        <v>8091</v>
      </c>
      <c r="I262" s="29"/>
      <c r="J262" s="29" t="s">
        <v>8495</v>
      </c>
      <c r="K262" s="37">
        <v>0</v>
      </c>
    </row>
    <row r="263" spans="1:11">
      <c r="A263" s="31">
        <v>263</v>
      </c>
      <c r="B263" s="29" t="s">
        <v>8160</v>
      </c>
      <c r="C263" s="29" t="s">
        <v>8161</v>
      </c>
      <c r="D263" s="33">
        <v>4.5583499999999999</v>
      </c>
      <c r="E263" s="33">
        <v>-75.320210000000003</v>
      </c>
      <c r="F263" s="29" t="s">
        <v>8090</v>
      </c>
      <c r="G263" s="29" t="s">
        <v>8090</v>
      </c>
      <c r="H263" s="35" t="s">
        <v>8091</v>
      </c>
      <c r="I263" s="29"/>
      <c r="J263" s="29"/>
      <c r="K263" s="37">
        <v>1</v>
      </c>
    </row>
    <row r="264" spans="1:11">
      <c r="A264" s="31">
        <v>264</v>
      </c>
      <c r="B264" s="29" t="s">
        <v>2202</v>
      </c>
      <c r="C264" s="29" t="s">
        <v>2203</v>
      </c>
      <c r="D264" s="33">
        <v>4.4400389000000002</v>
      </c>
      <c r="E264" s="33">
        <v>-75.4301028</v>
      </c>
      <c r="F264" s="29" t="s">
        <v>8090</v>
      </c>
      <c r="G264" s="29" t="s">
        <v>8090</v>
      </c>
      <c r="H264" s="35" t="s">
        <v>8091</v>
      </c>
      <c r="I264" s="29"/>
      <c r="J264" s="29" t="s">
        <v>8496</v>
      </c>
      <c r="K264" s="37">
        <v>0</v>
      </c>
    </row>
    <row r="265" spans="1:11">
      <c r="A265" s="31">
        <v>265</v>
      </c>
      <c r="B265" s="29" t="s">
        <v>8497</v>
      </c>
      <c r="C265" s="29" t="s">
        <v>8498</v>
      </c>
      <c r="D265" s="33">
        <v>6.2413999999999996</v>
      </c>
      <c r="E265" s="33">
        <v>-75.534109999999998</v>
      </c>
      <c r="F265" s="29" t="s">
        <v>8090</v>
      </c>
      <c r="G265" s="29" t="s">
        <v>8090</v>
      </c>
      <c r="H265" s="35" t="s">
        <v>8091</v>
      </c>
      <c r="I265" s="29"/>
      <c r="J265" s="29" t="s">
        <v>8499</v>
      </c>
      <c r="K265" s="37">
        <v>0</v>
      </c>
    </row>
    <row r="266" spans="1:11">
      <c r="A266" s="31">
        <v>266</v>
      </c>
      <c r="B266" s="29" t="s">
        <v>8500</v>
      </c>
      <c r="C266" s="29" t="s">
        <v>8501</v>
      </c>
      <c r="D266" s="33">
        <v>6.2982399999999998</v>
      </c>
      <c r="E266" s="33">
        <v>-75.49924</v>
      </c>
      <c r="F266" s="29" t="s">
        <v>8090</v>
      </c>
      <c r="G266" s="29" t="s">
        <v>8090</v>
      </c>
      <c r="H266" s="35" t="s">
        <v>8091</v>
      </c>
      <c r="I266" s="29"/>
      <c r="J266" s="29" t="s">
        <v>8502</v>
      </c>
      <c r="K266" s="37">
        <v>0</v>
      </c>
    </row>
    <row r="267" spans="1:11">
      <c r="A267" s="31">
        <v>267</v>
      </c>
      <c r="B267" s="29" t="s">
        <v>8503</v>
      </c>
      <c r="C267" s="29" t="s">
        <v>8504</v>
      </c>
      <c r="D267" s="33">
        <v>5.6297800000000002</v>
      </c>
      <c r="E267" s="33">
        <v>-75.167450000000002</v>
      </c>
      <c r="F267" s="29" t="s">
        <v>8090</v>
      </c>
      <c r="G267" s="29" t="s">
        <v>8090</v>
      </c>
      <c r="H267" s="35" t="s">
        <v>8091</v>
      </c>
      <c r="I267" s="29"/>
      <c r="J267" s="29" t="s">
        <v>8505</v>
      </c>
      <c r="K267" s="37">
        <v>0</v>
      </c>
    </row>
    <row r="268" spans="1:11">
      <c r="A268" s="31">
        <v>268</v>
      </c>
      <c r="B268" s="29" t="s">
        <v>8506</v>
      </c>
      <c r="C268" s="29" t="s">
        <v>8507</v>
      </c>
      <c r="D268" s="33">
        <v>6.3112199999999996</v>
      </c>
      <c r="E268" s="33">
        <v>-75.146090000000001</v>
      </c>
      <c r="F268" s="29" t="s">
        <v>8090</v>
      </c>
      <c r="G268" s="29" t="s">
        <v>8090</v>
      </c>
      <c r="H268" s="35" t="s">
        <v>8091</v>
      </c>
      <c r="I268" s="29"/>
      <c r="J268" s="29" t="s">
        <v>8508</v>
      </c>
      <c r="K268" s="37">
        <v>0</v>
      </c>
    </row>
    <row r="269" spans="1:11">
      <c r="A269" s="31">
        <v>269</v>
      </c>
      <c r="B269" s="29" t="s">
        <v>8509</v>
      </c>
      <c r="C269" s="29" t="s">
        <v>8510</v>
      </c>
      <c r="D269" s="33">
        <v>6.2960399999999996</v>
      </c>
      <c r="E269" s="33">
        <v>-75.499089999999995</v>
      </c>
      <c r="F269" s="29" t="s">
        <v>8090</v>
      </c>
      <c r="G269" s="29" t="s">
        <v>8090</v>
      </c>
      <c r="H269" s="35" t="s">
        <v>8091</v>
      </c>
      <c r="I269" s="29"/>
      <c r="J269" s="29" t="s">
        <v>8511</v>
      </c>
      <c r="K269" s="37">
        <v>0</v>
      </c>
    </row>
    <row r="270" spans="1:11">
      <c r="A270" s="31">
        <v>270</v>
      </c>
      <c r="B270" s="29" t="s">
        <v>8512</v>
      </c>
      <c r="C270" s="29" t="s">
        <v>8513</v>
      </c>
      <c r="D270" s="33">
        <v>6.0461</v>
      </c>
      <c r="E270" s="33">
        <v>-75.603669999999994</v>
      </c>
      <c r="F270" s="29" t="s">
        <v>8090</v>
      </c>
      <c r="G270" s="29" t="s">
        <v>8090</v>
      </c>
      <c r="H270" s="35" t="s">
        <v>8091</v>
      </c>
      <c r="I270" s="29"/>
      <c r="J270" s="29" t="s">
        <v>8514</v>
      </c>
      <c r="K270" s="37">
        <v>0</v>
      </c>
    </row>
    <row r="271" spans="1:11">
      <c r="A271" s="31">
        <v>271</v>
      </c>
      <c r="B271" s="29" t="s">
        <v>8512</v>
      </c>
      <c r="C271" s="29" t="s">
        <v>8513</v>
      </c>
      <c r="D271" s="33">
        <v>6.0461</v>
      </c>
      <c r="E271" s="33">
        <v>-75.603669999999994</v>
      </c>
      <c r="F271" s="29" t="s">
        <v>8090</v>
      </c>
      <c r="G271" s="29" t="s">
        <v>8090</v>
      </c>
      <c r="H271" s="35" t="s">
        <v>8091</v>
      </c>
      <c r="I271" s="29"/>
      <c r="J271" s="29"/>
      <c r="K271" s="37">
        <v>1</v>
      </c>
    </row>
    <row r="272" spans="1:11">
      <c r="A272" s="31">
        <v>272</v>
      </c>
      <c r="B272" s="29" t="s">
        <v>8512</v>
      </c>
      <c r="C272" s="29" t="s">
        <v>8513</v>
      </c>
      <c r="D272" s="33">
        <v>6.0461</v>
      </c>
      <c r="E272" s="33">
        <v>-75.603669999999994</v>
      </c>
      <c r="F272" s="29" t="s">
        <v>8090</v>
      </c>
      <c r="G272" s="29" t="s">
        <v>8090</v>
      </c>
      <c r="H272" s="35" t="s">
        <v>8091</v>
      </c>
      <c r="I272" s="29"/>
      <c r="J272" s="29"/>
      <c r="K272" s="37">
        <v>1</v>
      </c>
    </row>
    <row r="273" spans="1:11">
      <c r="A273" s="31">
        <v>273</v>
      </c>
      <c r="B273" s="29" t="s">
        <v>8515</v>
      </c>
      <c r="C273" s="29" t="s">
        <v>8516</v>
      </c>
      <c r="D273" s="33">
        <v>6.0881100000000004</v>
      </c>
      <c r="E273" s="33">
        <v>-75.596379999999996</v>
      </c>
      <c r="F273" s="29" t="s">
        <v>8090</v>
      </c>
      <c r="G273" s="29" t="s">
        <v>8090</v>
      </c>
      <c r="H273" s="35" t="s">
        <v>8091</v>
      </c>
      <c r="I273" s="29"/>
      <c r="J273" s="29" t="s">
        <v>8517</v>
      </c>
      <c r="K273" s="37">
        <v>0</v>
      </c>
    </row>
    <row r="274" spans="1:11">
      <c r="A274" s="31">
        <v>274</v>
      </c>
      <c r="B274" s="29" t="s">
        <v>8518</v>
      </c>
      <c r="C274" s="29" t="s">
        <v>8519</v>
      </c>
      <c r="D274" s="33">
        <v>6.0891200000000003</v>
      </c>
      <c r="E274" s="33">
        <v>-75.591300000000004</v>
      </c>
      <c r="F274" s="29" t="s">
        <v>8090</v>
      </c>
      <c r="G274" s="29" t="s">
        <v>8090</v>
      </c>
      <c r="H274" s="35" t="s">
        <v>8091</v>
      </c>
      <c r="I274" s="29"/>
      <c r="J274" s="29" t="s">
        <v>8520</v>
      </c>
      <c r="K274" s="37">
        <v>0</v>
      </c>
    </row>
    <row r="275" spans="1:11">
      <c r="A275" s="31">
        <v>275</v>
      </c>
      <c r="B275" s="29" t="s">
        <v>8521</v>
      </c>
      <c r="C275" s="29" t="s">
        <v>8522</v>
      </c>
      <c r="D275" s="33">
        <v>6.3337599999999998</v>
      </c>
      <c r="E275" s="33">
        <v>-75.643929999999997</v>
      </c>
      <c r="F275" s="29" t="s">
        <v>8090</v>
      </c>
      <c r="G275" s="29" t="s">
        <v>8090</v>
      </c>
      <c r="H275" s="35" t="s">
        <v>8091</v>
      </c>
      <c r="I275" s="29"/>
      <c r="J275" s="29" t="s">
        <v>8523</v>
      </c>
      <c r="K275" s="37">
        <v>0</v>
      </c>
    </row>
    <row r="276" spans="1:11">
      <c r="A276" s="31">
        <v>276</v>
      </c>
      <c r="B276" s="29" t="s">
        <v>8524</v>
      </c>
      <c r="C276" s="29" t="s">
        <v>8525</v>
      </c>
      <c r="D276" s="33">
        <v>6.3118999999999996</v>
      </c>
      <c r="E276" s="33">
        <v>-75.146209999999996</v>
      </c>
      <c r="F276" s="29" t="s">
        <v>8090</v>
      </c>
      <c r="G276" s="29" t="s">
        <v>8090</v>
      </c>
      <c r="H276" s="35" t="s">
        <v>8091</v>
      </c>
      <c r="I276" s="29"/>
      <c r="J276" s="29" t="s">
        <v>8526</v>
      </c>
      <c r="K276" s="37">
        <v>0</v>
      </c>
    </row>
    <row r="277" spans="1:11">
      <c r="A277" s="31">
        <v>277</v>
      </c>
      <c r="B277" s="29" t="s">
        <v>8524</v>
      </c>
      <c r="C277" s="29" t="s">
        <v>8525</v>
      </c>
      <c r="D277" s="33">
        <v>6.3118999999999996</v>
      </c>
      <c r="E277" s="33">
        <v>-75.146209999999996</v>
      </c>
      <c r="F277" s="29" t="s">
        <v>8090</v>
      </c>
      <c r="G277" s="29" t="s">
        <v>8090</v>
      </c>
      <c r="H277" s="35" t="s">
        <v>8091</v>
      </c>
      <c r="I277" s="29"/>
      <c r="J277" s="29"/>
      <c r="K277" s="37">
        <v>1</v>
      </c>
    </row>
    <row r="278" spans="1:11">
      <c r="A278" s="31">
        <v>278</v>
      </c>
      <c r="B278" s="29" t="s">
        <v>8524</v>
      </c>
      <c r="C278" s="29" t="s">
        <v>8525</v>
      </c>
      <c r="D278" s="33">
        <v>6.3118999999999996</v>
      </c>
      <c r="E278" s="33">
        <v>-75.146209999999996</v>
      </c>
      <c r="F278" s="29" t="s">
        <v>8090</v>
      </c>
      <c r="G278" s="29" t="s">
        <v>8090</v>
      </c>
      <c r="H278" s="35" t="s">
        <v>8091</v>
      </c>
      <c r="I278" s="29"/>
      <c r="J278" s="29"/>
      <c r="K278" s="37">
        <v>1</v>
      </c>
    </row>
    <row r="279" spans="1:11">
      <c r="A279" s="31">
        <v>279</v>
      </c>
      <c r="B279" s="29" t="s">
        <v>8527</v>
      </c>
      <c r="C279" s="29" t="s">
        <v>8528</v>
      </c>
      <c r="D279" s="33">
        <v>6.7285700000000004</v>
      </c>
      <c r="E279" s="33">
        <v>-76.384519999999995</v>
      </c>
      <c r="F279" s="29" t="s">
        <v>8090</v>
      </c>
      <c r="G279" s="29" t="s">
        <v>8090</v>
      </c>
      <c r="H279" s="35" t="s">
        <v>8091</v>
      </c>
      <c r="I279" s="29"/>
      <c r="J279" s="29" t="s">
        <v>8529</v>
      </c>
      <c r="K279" s="37">
        <v>0</v>
      </c>
    </row>
    <row r="280" spans="1:11">
      <c r="A280" s="31">
        <v>280</v>
      </c>
      <c r="B280" s="29" t="s">
        <v>8530</v>
      </c>
      <c r="C280" s="29" t="s">
        <v>8531</v>
      </c>
      <c r="D280" s="33">
        <v>6.2615299999999996</v>
      </c>
      <c r="E280" s="33">
        <v>-75.522369999999995</v>
      </c>
      <c r="F280" s="29" t="s">
        <v>8090</v>
      </c>
      <c r="G280" s="29" t="s">
        <v>8090</v>
      </c>
      <c r="H280" s="35" t="s">
        <v>8091</v>
      </c>
      <c r="I280" s="29"/>
      <c r="J280" s="29" t="s">
        <v>8532</v>
      </c>
      <c r="K280" s="37">
        <v>0</v>
      </c>
    </row>
    <row r="281" spans="1:11">
      <c r="A281" s="31">
        <v>281</v>
      </c>
      <c r="B281" s="29" t="s">
        <v>8533</v>
      </c>
      <c r="C281" s="29" t="s">
        <v>8534</v>
      </c>
      <c r="D281" s="33">
        <v>5.9759900000000004</v>
      </c>
      <c r="E281" s="33">
        <v>-75.328270000000003</v>
      </c>
      <c r="F281" s="29" t="s">
        <v>8090</v>
      </c>
      <c r="G281" s="29" t="s">
        <v>8090</v>
      </c>
      <c r="H281" s="35" t="s">
        <v>8091</v>
      </c>
      <c r="I281" s="29"/>
      <c r="J281" s="29" t="s">
        <v>8535</v>
      </c>
      <c r="K281" s="37">
        <v>0</v>
      </c>
    </row>
    <row r="282" spans="1:11">
      <c r="A282" s="31">
        <v>282</v>
      </c>
      <c r="B282" s="29" t="s">
        <v>8524</v>
      </c>
      <c r="C282" s="29" t="s">
        <v>8525</v>
      </c>
      <c r="D282" s="33">
        <v>6.3118999999999996</v>
      </c>
      <c r="E282" s="33">
        <v>-75.146209999999996</v>
      </c>
      <c r="F282" s="29" t="s">
        <v>8090</v>
      </c>
      <c r="G282" s="29" t="s">
        <v>8090</v>
      </c>
      <c r="H282" s="35" t="s">
        <v>8091</v>
      </c>
      <c r="I282" s="29"/>
      <c r="J282" s="29"/>
      <c r="K282" s="37">
        <v>1</v>
      </c>
    </row>
    <row r="283" spans="1:11">
      <c r="A283" s="31">
        <v>283</v>
      </c>
      <c r="B283" s="29" t="s">
        <v>8524</v>
      </c>
      <c r="C283" s="29" t="s">
        <v>8525</v>
      </c>
      <c r="D283" s="33">
        <v>6.3118999999999996</v>
      </c>
      <c r="E283" s="33">
        <v>-75.146209999999996</v>
      </c>
      <c r="F283" s="29" t="s">
        <v>8090</v>
      </c>
      <c r="G283" s="29" t="s">
        <v>8090</v>
      </c>
      <c r="H283" s="35" t="s">
        <v>8091</v>
      </c>
      <c r="I283" s="29"/>
      <c r="J283" s="29"/>
      <c r="K283" s="37">
        <v>1</v>
      </c>
    </row>
    <row r="284" spans="1:11">
      <c r="A284" s="31">
        <v>284</v>
      </c>
      <c r="B284" s="29" t="s">
        <v>2309</v>
      </c>
      <c r="C284" s="29" t="s">
        <v>2310</v>
      </c>
      <c r="D284" s="33">
        <v>5.6833333000000001</v>
      </c>
      <c r="E284" s="33">
        <v>-75.233333299999998</v>
      </c>
      <c r="F284" s="29" t="s">
        <v>8090</v>
      </c>
      <c r="G284" s="29" t="s">
        <v>8090</v>
      </c>
      <c r="H284" s="35" t="s">
        <v>8091</v>
      </c>
      <c r="I284" s="29"/>
      <c r="J284" s="29" t="s">
        <v>8536</v>
      </c>
      <c r="K284" s="37">
        <v>0</v>
      </c>
    </row>
    <row r="285" spans="1:11">
      <c r="A285" s="31">
        <v>285</v>
      </c>
      <c r="B285" s="29" t="s">
        <v>2323</v>
      </c>
      <c r="C285" s="29" t="s">
        <v>2324</v>
      </c>
      <c r="D285" s="33">
        <v>5.5166667</v>
      </c>
      <c r="E285" s="33">
        <v>-75.8</v>
      </c>
      <c r="F285" s="29" t="s">
        <v>8090</v>
      </c>
      <c r="G285" s="29" t="s">
        <v>8090</v>
      </c>
      <c r="H285" s="35" t="s">
        <v>8091</v>
      </c>
      <c r="I285" s="29"/>
      <c r="J285" s="29" t="s">
        <v>8537</v>
      </c>
      <c r="K285" s="37">
        <v>0</v>
      </c>
    </row>
    <row r="286" spans="1:11">
      <c r="A286" s="31">
        <v>286</v>
      </c>
      <c r="B286" s="29" t="s">
        <v>2333</v>
      </c>
      <c r="C286" s="29" t="s">
        <v>625</v>
      </c>
      <c r="D286" s="33">
        <v>5.6166666999999997</v>
      </c>
      <c r="E286" s="33">
        <v>-75.833333300000007</v>
      </c>
      <c r="F286" s="29" t="s">
        <v>8090</v>
      </c>
      <c r="G286" s="29" t="s">
        <v>8090</v>
      </c>
      <c r="H286" s="35" t="s">
        <v>8091</v>
      </c>
      <c r="I286" s="29"/>
      <c r="J286" s="29" t="s">
        <v>8538</v>
      </c>
      <c r="K286" s="37">
        <v>0</v>
      </c>
    </row>
    <row r="287" spans="1:11">
      <c r="A287" s="31">
        <v>287</v>
      </c>
      <c r="B287" s="29" t="s">
        <v>2343</v>
      </c>
      <c r="C287" s="29" t="s">
        <v>422</v>
      </c>
      <c r="D287" s="33">
        <v>6.5333332999999998</v>
      </c>
      <c r="E287" s="33">
        <v>-75.5</v>
      </c>
      <c r="F287" s="29" t="s">
        <v>8090</v>
      </c>
      <c r="G287" s="29" t="s">
        <v>8090</v>
      </c>
      <c r="H287" s="35" t="s">
        <v>8091</v>
      </c>
      <c r="I287" s="29"/>
      <c r="J287" s="29" t="s">
        <v>8539</v>
      </c>
      <c r="K287" s="37">
        <v>0</v>
      </c>
    </row>
    <row r="288" spans="1:11">
      <c r="A288" s="31">
        <v>288</v>
      </c>
      <c r="B288" s="29" t="s">
        <v>8540</v>
      </c>
      <c r="C288" s="29" t="s">
        <v>8541</v>
      </c>
      <c r="D288" s="33">
        <v>7.0210600000000003</v>
      </c>
      <c r="E288" s="33">
        <v>-75.308109999999999</v>
      </c>
      <c r="F288" s="29" t="s">
        <v>8090</v>
      </c>
      <c r="G288" s="29" t="s">
        <v>8090</v>
      </c>
      <c r="H288" s="35" t="s">
        <v>8091</v>
      </c>
      <c r="I288" s="29"/>
      <c r="J288" s="29" t="s">
        <v>8542</v>
      </c>
      <c r="K288" s="37">
        <v>0</v>
      </c>
    </row>
    <row r="289" spans="1:11">
      <c r="A289" s="31">
        <v>289</v>
      </c>
      <c r="B289" s="29" t="s">
        <v>8506</v>
      </c>
      <c r="C289" s="29" t="s">
        <v>8507</v>
      </c>
      <c r="D289" s="33">
        <v>6.3112199999999996</v>
      </c>
      <c r="E289" s="33">
        <v>-75.146090000000001</v>
      </c>
      <c r="F289" s="29" t="s">
        <v>8090</v>
      </c>
      <c r="G289" s="29" t="s">
        <v>8090</v>
      </c>
      <c r="H289" s="35" t="s">
        <v>8091</v>
      </c>
      <c r="I289" s="29"/>
      <c r="J289" s="29"/>
      <c r="K289" s="37">
        <v>1</v>
      </c>
    </row>
    <row r="290" spans="1:11">
      <c r="A290" s="31">
        <v>290</v>
      </c>
      <c r="B290" s="29" t="s">
        <v>8506</v>
      </c>
      <c r="C290" s="29" t="s">
        <v>8507</v>
      </c>
      <c r="D290" s="33">
        <v>6.3112199999999996</v>
      </c>
      <c r="E290" s="33">
        <v>-75.146090000000001</v>
      </c>
      <c r="F290" s="29" t="s">
        <v>8090</v>
      </c>
      <c r="G290" s="29" t="s">
        <v>8090</v>
      </c>
      <c r="H290" s="35" t="s">
        <v>8091</v>
      </c>
      <c r="I290" s="29"/>
      <c r="J290" s="29"/>
      <c r="K290" s="37">
        <v>1</v>
      </c>
    </row>
    <row r="291" spans="1:11">
      <c r="A291" s="31">
        <v>291</v>
      </c>
      <c r="B291" s="29" t="s">
        <v>8506</v>
      </c>
      <c r="C291" s="29" t="s">
        <v>8507</v>
      </c>
      <c r="D291" s="33">
        <v>6.3112199999999996</v>
      </c>
      <c r="E291" s="33">
        <v>-75.146090000000001</v>
      </c>
      <c r="F291" s="29" t="s">
        <v>8090</v>
      </c>
      <c r="G291" s="29" t="s">
        <v>8090</v>
      </c>
      <c r="H291" s="35" t="s">
        <v>8091</v>
      </c>
      <c r="I291" s="29"/>
      <c r="J291" s="29"/>
      <c r="K291" s="37">
        <v>1</v>
      </c>
    </row>
    <row r="292" spans="1:11">
      <c r="A292" s="31">
        <v>292</v>
      </c>
      <c r="B292" s="29" t="s">
        <v>8506</v>
      </c>
      <c r="C292" s="29" t="s">
        <v>8507</v>
      </c>
      <c r="D292" s="33">
        <v>6.3112199999999996</v>
      </c>
      <c r="E292" s="33">
        <v>-75.146090000000001</v>
      </c>
      <c r="F292" s="29" t="s">
        <v>8090</v>
      </c>
      <c r="G292" s="29" t="s">
        <v>8090</v>
      </c>
      <c r="H292" s="35" t="s">
        <v>8091</v>
      </c>
      <c r="I292" s="29"/>
      <c r="J292" s="29"/>
      <c r="K292" s="37">
        <v>1</v>
      </c>
    </row>
    <row r="293" spans="1:11">
      <c r="A293" s="31">
        <v>293</v>
      </c>
      <c r="B293" s="29" t="s">
        <v>8506</v>
      </c>
      <c r="C293" s="29" t="s">
        <v>8507</v>
      </c>
      <c r="D293" s="33">
        <v>6.3112199999999996</v>
      </c>
      <c r="E293" s="33">
        <v>-75.146090000000001</v>
      </c>
      <c r="F293" s="29" t="s">
        <v>8090</v>
      </c>
      <c r="G293" s="29" t="s">
        <v>8090</v>
      </c>
      <c r="H293" s="35" t="s">
        <v>8091</v>
      </c>
      <c r="I293" s="29"/>
      <c r="J293" s="29"/>
      <c r="K293" s="37">
        <v>1</v>
      </c>
    </row>
    <row r="294" spans="1:11">
      <c r="A294" s="31">
        <v>294</v>
      </c>
      <c r="B294" s="29" t="s">
        <v>8506</v>
      </c>
      <c r="C294" s="29" t="s">
        <v>8507</v>
      </c>
      <c r="D294" s="33">
        <v>6.3112199999999996</v>
      </c>
      <c r="E294" s="33">
        <v>-75.146090000000001</v>
      </c>
      <c r="F294" s="29" t="s">
        <v>8090</v>
      </c>
      <c r="G294" s="29" t="s">
        <v>8090</v>
      </c>
      <c r="H294" s="35" t="s">
        <v>8091</v>
      </c>
      <c r="I294" s="29"/>
      <c r="J294" s="29"/>
      <c r="K294" s="37">
        <v>1</v>
      </c>
    </row>
    <row r="295" spans="1:11">
      <c r="A295" s="31">
        <v>295</v>
      </c>
      <c r="B295" s="29" t="s">
        <v>8506</v>
      </c>
      <c r="C295" s="29" t="s">
        <v>8507</v>
      </c>
      <c r="D295" s="33">
        <v>6.3112199999999996</v>
      </c>
      <c r="E295" s="33">
        <v>-75.146090000000001</v>
      </c>
      <c r="F295" s="29" t="s">
        <v>8090</v>
      </c>
      <c r="G295" s="29" t="s">
        <v>8090</v>
      </c>
      <c r="H295" s="35" t="s">
        <v>8091</v>
      </c>
      <c r="I295" s="29"/>
      <c r="J295" s="29"/>
      <c r="K295" s="37">
        <v>1</v>
      </c>
    </row>
    <row r="296" spans="1:11">
      <c r="A296" s="31">
        <v>296</v>
      </c>
      <c r="B296" s="29" t="s">
        <v>8506</v>
      </c>
      <c r="C296" s="29" t="s">
        <v>8507</v>
      </c>
      <c r="D296" s="33">
        <v>6.3112199999999996</v>
      </c>
      <c r="E296" s="33">
        <v>-75.146090000000001</v>
      </c>
      <c r="F296" s="29" t="s">
        <v>8090</v>
      </c>
      <c r="G296" s="29" t="s">
        <v>8090</v>
      </c>
      <c r="H296" s="35" t="s">
        <v>8091</v>
      </c>
      <c r="I296" s="29"/>
      <c r="J296" s="29"/>
      <c r="K296" s="37">
        <v>1</v>
      </c>
    </row>
    <row r="297" spans="1:11">
      <c r="A297" s="31">
        <v>297</v>
      </c>
      <c r="B297" s="29" t="s">
        <v>8506</v>
      </c>
      <c r="C297" s="29" t="s">
        <v>8507</v>
      </c>
      <c r="D297" s="33">
        <v>6.3112199999999996</v>
      </c>
      <c r="E297" s="33">
        <v>-75.146090000000001</v>
      </c>
      <c r="F297" s="29" t="s">
        <v>8090</v>
      </c>
      <c r="G297" s="29" t="s">
        <v>8090</v>
      </c>
      <c r="H297" s="35" t="s">
        <v>8091</v>
      </c>
      <c r="I297" s="29"/>
      <c r="J297" s="29"/>
      <c r="K297" s="37">
        <v>1</v>
      </c>
    </row>
    <row r="298" spans="1:11">
      <c r="A298" s="31">
        <v>298</v>
      </c>
      <c r="B298" s="29" t="s">
        <v>8543</v>
      </c>
      <c r="C298" s="29" t="s">
        <v>8544</v>
      </c>
      <c r="D298" s="33">
        <v>5.84579</v>
      </c>
      <c r="E298" s="33">
        <v>-74.97354</v>
      </c>
      <c r="F298" s="29" t="s">
        <v>8090</v>
      </c>
      <c r="G298" s="29" t="s">
        <v>8090</v>
      </c>
      <c r="H298" s="35" t="s">
        <v>8091</v>
      </c>
      <c r="I298" s="29"/>
      <c r="J298" s="29" t="s">
        <v>8545</v>
      </c>
      <c r="K298" s="37">
        <v>0</v>
      </c>
    </row>
    <row r="299" spans="1:11">
      <c r="A299" s="31">
        <v>299</v>
      </c>
      <c r="B299" s="29" t="s">
        <v>754</v>
      </c>
      <c r="C299" s="29" t="s">
        <v>755</v>
      </c>
      <c r="D299" s="33">
        <v>6.3</v>
      </c>
      <c r="E299" s="33">
        <v>-75.483333299999998</v>
      </c>
      <c r="F299" s="29" t="s">
        <v>8090</v>
      </c>
      <c r="G299" s="29" t="s">
        <v>8090</v>
      </c>
      <c r="H299" s="35" t="s">
        <v>8091</v>
      </c>
      <c r="I299" s="29"/>
      <c r="J299" s="29" t="s">
        <v>8546</v>
      </c>
      <c r="K299" s="37">
        <v>0</v>
      </c>
    </row>
    <row r="300" spans="1:11">
      <c r="A300" s="31">
        <v>300</v>
      </c>
      <c r="B300" s="29" t="s">
        <v>754</v>
      </c>
      <c r="C300" s="29" t="s">
        <v>755</v>
      </c>
      <c r="D300" s="33">
        <v>6.3</v>
      </c>
      <c r="E300" s="33">
        <v>-75.483333299999998</v>
      </c>
      <c r="F300" s="29" t="s">
        <v>8090</v>
      </c>
      <c r="G300" s="29" t="s">
        <v>8090</v>
      </c>
      <c r="H300" s="35" t="s">
        <v>8091</v>
      </c>
      <c r="I300" s="29"/>
      <c r="J300" s="29"/>
      <c r="K300" s="37">
        <v>1</v>
      </c>
    </row>
    <row r="301" spans="1:11">
      <c r="A301" s="31">
        <v>301</v>
      </c>
      <c r="B301" s="29" t="s">
        <v>532</v>
      </c>
      <c r="C301" s="29" t="s">
        <v>2426</v>
      </c>
      <c r="D301" s="33">
        <v>6.25</v>
      </c>
      <c r="E301" s="33">
        <v>-75.583333300000007</v>
      </c>
      <c r="F301" s="29" t="s">
        <v>8090</v>
      </c>
      <c r="G301" s="29" t="s">
        <v>8090</v>
      </c>
      <c r="H301" s="35" t="s">
        <v>8091</v>
      </c>
      <c r="I301" s="29"/>
      <c r="J301" s="29" t="s">
        <v>8547</v>
      </c>
      <c r="K301" s="37">
        <v>0</v>
      </c>
    </row>
    <row r="302" spans="1:11">
      <c r="A302" s="31">
        <v>302</v>
      </c>
      <c r="B302" s="29" t="s">
        <v>2436</v>
      </c>
      <c r="C302" s="29" t="s">
        <v>2437</v>
      </c>
      <c r="D302" s="33">
        <v>6.0833332999999996</v>
      </c>
      <c r="E302" s="33">
        <v>-75.633333300000004</v>
      </c>
      <c r="F302" s="29" t="s">
        <v>8090</v>
      </c>
      <c r="G302" s="29" t="s">
        <v>8090</v>
      </c>
      <c r="H302" s="35" t="s">
        <v>8091</v>
      </c>
      <c r="I302" s="29"/>
      <c r="J302" s="29" t="s">
        <v>8548</v>
      </c>
      <c r="K302" s="37">
        <v>0</v>
      </c>
    </row>
    <row r="303" spans="1:11">
      <c r="A303" s="31">
        <v>303</v>
      </c>
      <c r="B303" s="29" t="s">
        <v>2447</v>
      </c>
      <c r="C303" s="29" t="s">
        <v>2448</v>
      </c>
      <c r="D303" s="33">
        <v>6.1719444000000001</v>
      </c>
      <c r="E303" s="33">
        <v>-75.585833300000004</v>
      </c>
      <c r="F303" s="29" t="s">
        <v>8090</v>
      </c>
      <c r="G303" s="29" t="s">
        <v>8090</v>
      </c>
      <c r="H303" s="35" t="s">
        <v>8091</v>
      </c>
      <c r="I303" s="29"/>
      <c r="J303" s="29" t="s">
        <v>8549</v>
      </c>
      <c r="K303" s="37">
        <v>0</v>
      </c>
    </row>
    <row r="304" spans="1:11">
      <c r="A304" s="31">
        <v>304</v>
      </c>
      <c r="B304" s="29" t="s">
        <v>2436</v>
      </c>
      <c r="C304" s="29" t="s">
        <v>2437</v>
      </c>
      <c r="D304" s="33">
        <v>6.0833332999999996</v>
      </c>
      <c r="E304" s="33">
        <v>-75.633333300000004</v>
      </c>
      <c r="F304" s="29" t="s">
        <v>8090</v>
      </c>
      <c r="G304" s="29" t="s">
        <v>8090</v>
      </c>
      <c r="H304" s="35" t="s">
        <v>8091</v>
      </c>
      <c r="I304" s="29"/>
      <c r="J304" s="29"/>
      <c r="K304" s="37">
        <v>1</v>
      </c>
    </row>
    <row r="305" spans="1:11">
      <c r="A305" s="31">
        <v>305</v>
      </c>
      <c r="B305" s="29" t="s">
        <v>532</v>
      </c>
      <c r="C305" s="29" t="s">
        <v>2426</v>
      </c>
      <c r="D305" s="33">
        <v>6.25</v>
      </c>
      <c r="E305" s="33">
        <v>-75.583333300000007</v>
      </c>
      <c r="F305" s="29" t="s">
        <v>8090</v>
      </c>
      <c r="G305" s="29" t="s">
        <v>8090</v>
      </c>
      <c r="H305" s="35" t="s">
        <v>8091</v>
      </c>
      <c r="I305" s="29"/>
      <c r="J305" s="29"/>
      <c r="K305" s="37">
        <v>1</v>
      </c>
    </row>
    <row r="306" spans="1:11">
      <c r="A306" s="31">
        <v>306</v>
      </c>
      <c r="B306" s="29" t="s">
        <v>2474</v>
      </c>
      <c r="C306" s="29" t="s">
        <v>2475</v>
      </c>
      <c r="D306" s="33">
        <v>5.85</v>
      </c>
      <c r="E306" s="33">
        <v>-75.366666699999996</v>
      </c>
      <c r="F306" s="29" t="s">
        <v>8090</v>
      </c>
      <c r="G306" s="29" t="s">
        <v>8090</v>
      </c>
      <c r="H306" s="35" t="s">
        <v>8091</v>
      </c>
      <c r="I306" s="29"/>
      <c r="J306" s="29" t="s">
        <v>8550</v>
      </c>
      <c r="K306" s="37">
        <v>0</v>
      </c>
    </row>
    <row r="307" spans="1:11">
      <c r="A307" s="31">
        <v>307</v>
      </c>
      <c r="B307" s="29" t="s">
        <v>2485</v>
      </c>
      <c r="C307" s="29" t="s">
        <v>2486</v>
      </c>
      <c r="D307" s="33">
        <v>6.2616667000000001</v>
      </c>
      <c r="E307" s="33">
        <v>-75.509111099999998</v>
      </c>
      <c r="F307" s="29" t="s">
        <v>8090</v>
      </c>
      <c r="G307" s="29" t="s">
        <v>8090</v>
      </c>
      <c r="H307" s="35" t="s">
        <v>8091</v>
      </c>
      <c r="I307" s="29"/>
      <c r="J307" s="29" t="s">
        <v>8551</v>
      </c>
      <c r="K307" s="37">
        <v>0</v>
      </c>
    </row>
    <row r="308" spans="1:11">
      <c r="A308" s="31">
        <v>308</v>
      </c>
      <c r="B308" s="29" t="s">
        <v>2485</v>
      </c>
      <c r="C308" s="29" t="s">
        <v>2486</v>
      </c>
      <c r="D308" s="33">
        <v>6.2616667000000001</v>
      </c>
      <c r="E308" s="33">
        <v>-75.509111099999998</v>
      </c>
      <c r="F308" s="29" t="s">
        <v>8090</v>
      </c>
      <c r="G308" s="29" t="s">
        <v>8090</v>
      </c>
      <c r="H308" s="35" t="s">
        <v>8091</v>
      </c>
      <c r="I308" s="29"/>
      <c r="J308" s="29"/>
      <c r="K308" s="37">
        <v>1</v>
      </c>
    </row>
    <row r="309" spans="1:11">
      <c r="A309" s="31">
        <v>309</v>
      </c>
      <c r="B309" s="29" t="s">
        <v>2485</v>
      </c>
      <c r="C309" s="29" t="s">
        <v>2486</v>
      </c>
      <c r="D309" s="33">
        <v>6.2616667000000001</v>
      </c>
      <c r="E309" s="33">
        <v>-75.509111099999998</v>
      </c>
      <c r="F309" s="29" t="s">
        <v>8090</v>
      </c>
      <c r="G309" s="29" t="s">
        <v>8090</v>
      </c>
      <c r="H309" s="35" t="s">
        <v>8091</v>
      </c>
      <c r="I309" s="29"/>
      <c r="J309" s="29"/>
      <c r="K309" s="37">
        <v>1</v>
      </c>
    </row>
    <row r="310" spans="1:11">
      <c r="A310" s="31">
        <v>310</v>
      </c>
      <c r="B310" s="29" t="s">
        <v>2508</v>
      </c>
      <c r="C310" s="29" t="s">
        <v>2509</v>
      </c>
      <c r="D310" s="33">
        <v>6.5959167000000001</v>
      </c>
      <c r="E310" s="33">
        <v>-75.653611100000006</v>
      </c>
      <c r="F310" s="29" t="s">
        <v>8090</v>
      </c>
      <c r="G310" s="29" t="s">
        <v>8090</v>
      </c>
      <c r="H310" s="35" t="s">
        <v>8091</v>
      </c>
      <c r="I310" s="29"/>
      <c r="J310" s="29" t="s">
        <v>8552</v>
      </c>
      <c r="K310" s="37">
        <v>0</v>
      </c>
    </row>
    <row r="311" spans="1:11">
      <c r="A311" s="31">
        <v>311</v>
      </c>
      <c r="B311" s="29" t="s">
        <v>2508</v>
      </c>
      <c r="C311" s="29" t="s">
        <v>2509</v>
      </c>
      <c r="D311" s="33">
        <v>6.5959167000000001</v>
      </c>
      <c r="E311" s="33">
        <v>-75.653611100000006</v>
      </c>
      <c r="F311" s="29" t="s">
        <v>8090</v>
      </c>
      <c r="G311" s="29" t="s">
        <v>8090</v>
      </c>
      <c r="H311" s="35" t="s">
        <v>8091</v>
      </c>
      <c r="I311" s="29"/>
      <c r="J311" s="29"/>
      <c r="K311" s="37">
        <v>1</v>
      </c>
    </row>
    <row r="312" spans="1:11">
      <c r="A312" s="31">
        <v>312</v>
      </c>
      <c r="B312" s="29" t="s">
        <v>2508</v>
      </c>
      <c r="C312" s="29" t="s">
        <v>2509</v>
      </c>
      <c r="D312" s="33">
        <v>6.5959167000000001</v>
      </c>
      <c r="E312" s="33">
        <v>-75.653611100000006</v>
      </c>
      <c r="F312" s="29" t="s">
        <v>8090</v>
      </c>
      <c r="G312" s="29" t="s">
        <v>8090</v>
      </c>
      <c r="H312" s="35" t="s">
        <v>8091</v>
      </c>
      <c r="I312" s="29"/>
      <c r="J312" s="29"/>
      <c r="K312" s="37">
        <v>1</v>
      </c>
    </row>
    <row r="313" spans="1:11">
      <c r="A313" s="31">
        <v>313</v>
      </c>
      <c r="B313" s="29" t="s">
        <v>8553</v>
      </c>
      <c r="C313" s="29" t="s">
        <v>8554</v>
      </c>
      <c r="D313" s="33">
        <v>6.78444</v>
      </c>
      <c r="E313" s="33">
        <v>-75.669380000000004</v>
      </c>
      <c r="F313" s="29" t="s">
        <v>8090</v>
      </c>
      <c r="G313" s="29" t="s">
        <v>8090</v>
      </c>
      <c r="H313" s="35" t="s">
        <v>8091</v>
      </c>
      <c r="I313" s="29"/>
      <c r="J313" s="29" t="s">
        <v>8555</v>
      </c>
      <c r="K313" s="37">
        <v>0</v>
      </c>
    </row>
    <row r="314" spans="1:11">
      <c r="A314" s="31">
        <v>314</v>
      </c>
      <c r="B314" s="29" t="s">
        <v>8553</v>
      </c>
      <c r="C314" s="29" t="s">
        <v>8554</v>
      </c>
      <c r="D314" s="33">
        <v>6.78444</v>
      </c>
      <c r="E314" s="33">
        <v>-75.669380000000004</v>
      </c>
      <c r="F314" s="29" t="s">
        <v>8090</v>
      </c>
      <c r="G314" s="29" t="s">
        <v>8090</v>
      </c>
      <c r="H314" s="35" t="s">
        <v>8091</v>
      </c>
      <c r="I314" s="29"/>
      <c r="J314" s="29"/>
      <c r="K314" s="37">
        <v>1</v>
      </c>
    </row>
    <row r="315" spans="1:11">
      <c r="A315" s="31">
        <v>315</v>
      </c>
      <c r="B315" s="29" t="s">
        <v>8553</v>
      </c>
      <c r="C315" s="29" t="s">
        <v>8554</v>
      </c>
      <c r="D315" s="33">
        <v>6.78444</v>
      </c>
      <c r="E315" s="33">
        <v>-75.669380000000004</v>
      </c>
      <c r="F315" s="29" t="s">
        <v>8090</v>
      </c>
      <c r="G315" s="29" t="s">
        <v>8090</v>
      </c>
      <c r="H315" s="35" t="s">
        <v>8091</v>
      </c>
      <c r="I315" s="29"/>
      <c r="J315" s="29"/>
      <c r="K315" s="37">
        <v>1</v>
      </c>
    </row>
    <row r="316" spans="1:11">
      <c r="A316" s="31">
        <v>316</v>
      </c>
      <c r="B316" s="29" t="s">
        <v>2551</v>
      </c>
      <c r="C316" s="29" t="s">
        <v>2552</v>
      </c>
      <c r="D316" s="33">
        <v>6.7817499999999997</v>
      </c>
      <c r="E316" s="33">
        <v>-75.792833299999998</v>
      </c>
      <c r="F316" s="29" t="s">
        <v>8090</v>
      </c>
      <c r="G316" s="29" t="s">
        <v>8090</v>
      </c>
      <c r="H316" s="35" t="s">
        <v>8091</v>
      </c>
      <c r="I316" s="29"/>
      <c r="J316" s="29" t="s">
        <v>8556</v>
      </c>
      <c r="K316" s="37">
        <v>0</v>
      </c>
    </row>
    <row r="317" spans="1:11">
      <c r="A317" s="31">
        <v>317</v>
      </c>
      <c r="B317" s="29" t="s">
        <v>2551</v>
      </c>
      <c r="C317" s="29" t="s">
        <v>2552</v>
      </c>
      <c r="D317" s="33">
        <v>6.7817499999999997</v>
      </c>
      <c r="E317" s="33">
        <v>-75.792833299999998</v>
      </c>
      <c r="F317" s="29" t="s">
        <v>8090</v>
      </c>
      <c r="G317" s="29" t="s">
        <v>8090</v>
      </c>
      <c r="H317" s="35" t="s">
        <v>8091</v>
      </c>
      <c r="I317" s="29"/>
      <c r="J317" s="29"/>
      <c r="K317" s="37">
        <v>1</v>
      </c>
    </row>
    <row r="318" spans="1:11">
      <c r="A318" s="31">
        <v>318</v>
      </c>
      <c r="B318" s="29" t="s">
        <v>898</v>
      </c>
      <c r="C318" s="29" t="s">
        <v>899</v>
      </c>
      <c r="D318" s="33">
        <v>6.7727778000000001</v>
      </c>
      <c r="E318" s="33">
        <v>-75.7920278</v>
      </c>
      <c r="F318" s="29" t="s">
        <v>8090</v>
      </c>
      <c r="G318" s="29" t="s">
        <v>8090</v>
      </c>
      <c r="H318" s="35" t="s">
        <v>8091</v>
      </c>
      <c r="I318" s="29"/>
      <c r="J318" s="29" t="s">
        <v>8557</v>
      </c>
      <c r="K318" s="37">
        <v>0</v>
      </c>
    </row>
    <row r="319" spans="1:11">
      <c r="A319" s="31">
        <v>319</v>
      </c>
      <c r="B319" s="29" t="s">
        <v>977</v>
      </c>
      <c r="C319" s="29" t="s">
        <v>978</v>
      </c>
      <c r="D319" s="33">
        <v>6.2133333000000004</v>
      </c>
      <c r="E319" s="33">
        <v>-75.492277799999997</v>
      </c>
      <c r="F319" s="29" t="s">
        <v>8090</v>
      </c>
      <c r="G319" s="29" t="s">
        <v>8090</v>
      </c>
      <c r="H319" s="35" t="s">
        <v>8091</v>
      </c>
      <c r="I319" s="29"/>
      <c r="J319" s="29" t="s">
        <v>8558</v>
      </c>
      <c r="K319" s="37">
        <v>0</v>
      </c>
    </row>
    <row r="320" spans="1:11">
      <c r="A320" s="31">
        <v>320</v>
      </c>
      <c r="B320" s="29" t="s">
        <v>8559</v>
      </c>
      <c r="C320" s="29" t="s">
        <v>8560</v>
      </c>
      <c r="D320" s="33">
        <v>5.9364600000000003</v>
      </c>
      <c r="E320" s="33">
        <v>-75.702479999999994</v>
      </c>
      <c r="F320" s="29" t="s">
        <v>8090</v>
      </c>
      <c r="G320" s="29" t="s">
        <v>8090</v>
      </c>
      <c r="H320" s="35" t="s">
        <v>8091</v>
      </c>
      <c r="I320" s="29"/>
      <c r="J320" s="29" t="s">
        <v>8561</v>
      </c>
      <c r="K320" s="37">
        <v>0</v>
      </c>
    </row>
    <row r="321" spans="1:11">
      <c r="A321" s="31">
        <v>321</v>
      </c>
      <c r="B321" s="29" t="s">
        <v>977</v>
      </c>
      <c r="C321" s="29" t="s">
        <v>978</v>
      </c>
      <c r="D321" s="33">
        <v>6.2133333000000004</v>
      </c>
      <c r="E321" s="33">
        <v>-75.492277799999997</v>
      </c>
      <c r="F321" s="29" t="s">
        <v>8090</v>
      </c>
      <c r="G321" s="29" t="s">
        <v>8090</v>
      </c>
      <c r="H321" s="35" t="s">
        <v>8091</v>
      </c>
      <c r="I321" s="29"/>
      <c r="J321" s="29"/>
      <c r="K321" s="37">
        <v>1</v>
      </c>
    </row>
    <row r="322" spans="1:11">
      <c r="A322" s="31">
        <v>322</v>
      </c>
      <c r="B322" s="29" t="s">
        <v>2590</v>
      </c>
      <c r="C322" s="29" t="s">
        <v>2591</v>
      </c>
      <c r="D322" s="33">
        <v>6.9820555999999998</v>
      </c>
      <c r="E322" s="33">
        <v>-75.132888899999998</v>
      </c>
      <c r="F322" s="29" t="s">
        <v>8090</v>
      </c>
      <c r="G322" s="29" t="s">
        <v>8090</v>
      </c>
      <c r="H322" s="35" t="s">
        <v>8091</v>
      </c>
      <c r="I322" s="29"/>
      <c r="J322" s="29" t="s">
        <v>8562</v>
      </c>
      <c r="K322" s="37">
        <v>0</v>
      </c>
    </row>
    <row r="323" spans="1:11">
      <c r="A323" s="31">
        <v>323</v>
      </c>
      <c r="B323" s="29" t="s">
        <v>2590</v>
      </c>
      <c r="C323" s="29" t="s">
        <v>2591</v>
      </c>
      <c r="D323" s="33">
        <v>6.9820555999999998</v>
      </c>
      <c r="E323" s="33">
        <v>-75.132888899999998</v>
      </c>
      <c r="F323" s="29" t="s">
        <v>8090</v>
      </c>
      <c r="G323" s="29" t="s">
        <v>8090</v>
      </c>
      <c r="H323" s="35" t="s">
        <v>8091</v>
      </c>
      <c r="I323" s="29"/>
      <c r="J323" s="29"/>
      <c r="K323" s="37">
        <v>1</v>
      </c>
    </row>
    <row r="324" spans="1:11">
      <c r="A324" s="31">
        <v>324</v>
      </c>
      <c r="B324" s="29" t="s">
        <v>2602</v>
      </c>
      <c r="C324" s="29" t="s">
        <v>2603</v>
      </c>
      <c r="D324" s="33">
        <v>5.9835555999999999</v>
      </c>
      <c r="E324" s="33">
        <v>-75.635222200000001</v>
      </c>
      <c r="F324" s="29" t="s">
        <v>8090</v>
      </c>
      <c r="G324" s="29" t="s">
        <v>8090</v>
      </c>
      <c r="H324" s="35" t="s">
        <v>8091</v>
      </c>
      <c r="I324" s="29"/>
      <c r="J324" s="29" t="s">
        <v>8563</v>
      </c>
      <c r="K324" s="37">
        <v>0</v>
      </c>
    </row>
    <row r="325" spans="1:11">
      <c r="A325" s="31">
        <v>325</v>
      </c>
      <c r="B325" s="29" t="s">
        <v>2612</v>
      </c>
      <c r="C325" s="29" t="s">
        <v>2613</v>
      </c>
      <c r="D325" s="33">
        <v>5.4870000000000001</v>
      </c>
      <c r="E325" s="33">
        <v>-75.8977778</v>
      </c>
      <c r="F325" s="29" t="s">
        <v>8090</v>
      </c>
      <c r="G325" s="29" t="s">
        <v>8090</v>
      </c>
      <c r="H325" s="35" t="s">
        <v>8091</v>
      </c>
      <c r="I325" s="29"/>
      <c r="J325" s="29" t="s">
        <v>8564</v>
      </c>
      <c r="K325" s="37">
        <v>0</v>
      </c>
    </row>
    <row r="326" spans="1:11">
      <c r="A326" s="31">
        <v>326</v>
      </c>
      <c r="B326" s="29" t="s">
        <v>2625</v>
      </c>
      <c r="C326" s="29" t="s">
        <v>2626</v>
      </c>
      <c r="D326" s="33">
        <v>6.1153000000000004</v>
      </c>
      <c r="E326" s="33">
        <v>-75.698377800000003</v>
      </c>
      <c r="F326" s="29" t="s">
        <v>8090</v>
      </c>
      <c r="G326" s="29" t="s">
        <v>8090</v>
      </c>
      <c r="H326" s="35" t="s">
        <v>8091</v>
      </c>
      <c r="I326" s="29"/>
      <c r="J326" s="29" t="s">
        <v>8565</v>
      </c>
      <c r="K326" s="37">
        <v>0</v>
      </c>
    </row>
    <row r="327" spans="1:11">
      <c r="A327" s="31">
        <v>327</v>
      </c>
      <c r="B327" s="29" t="s">
        <v>2625</v>
      </c>
      <c r="C327" s="29" t="s">
        <v>2626</v>
      </c>
      <c r="D327" s="33">
        <v>6.1153000000000004</v>
      </c>
      <c r="E327" s="33">
        <v>-75.698377800000003</v>
      </c>
      <c r="F327" s="29" t="s">
        <v>8090</v>
      </c>
      <c r="G327" s="29" t="s">
        <v>8090</v>
      </c>
      <c r="H327" s="35" t="s">
        <v>8091</v>
      </c>
      <c r="I327" s="29"/>
      <c r="J327" s="29"/>
      <c r="K327" s="37">
        <v>1</v>
      </c>
    </row>
    <row r="328" spans="1:11">
      <c r="A328" s="31">
        <v>328</v>
      </c>
      <c r="B328" s="29" t="s">
        <v>2637</v>
      </c>
      <c r="C328" s="29" t="s">
        <v>2638</v>
      </c>
      <c r="D328" s="33">
        <v>6.1580556</v>
      </c>
      <c r="E328" s="33">
        <v>-75.701388899999998</v>
      </c>
      <c r="F328" s="29" t="s">
        <v>8090</v>
      </c>
      <c r="G328" s="29" t="s">
        <v>8090</v>
      </c>
      <c r="H328" s="35" t="s">
        <v>8091</v>
      </c>
      <c r="I328" s="29"/>
      <c r="J328" s="29" t="s">
        <v>8566</v>
      </c>
      <c r="K328" s="37">
        <v>0</v>
      </c>
    </row>
    <row r="329" spans="1:11">
      <c r="A329" s="31">
        <v>329</v>
      </c>
      <c r="B329" s="29" t="s">
        <v>2647</v>
      </c>
      <c r="C329" s="29" t="s">
        <v>2648</v>
      </c>
      <c r="D329" s="33">
        <v>6.2110278000000001</v>
      </c>
      <c r="E329" s="33">
        <v>-75.655138899999997</v>
      </c>
      <c r="F329" s="29" t="s">
        <v>8090</v>
      </c>
      <c r="G329" s="29" t="s">
        <v>8090</v>
      </c>
      <c r="H329" s="35" t="s">
        <v>8091</v>
      </c>
      <c r="I329" s="29"/>
      <c r="J329" s="29" t="s">
        <v>8567</v>
      </c>
      <c r="K329" s="37">
        <v>0</v>
      </c>
    </row>
    <row r="330" spans="1:11">
      <c r="A330" s="31">
        <v>330</v>
      </c>
      <c r="B330" s="29" t="s">
        <v>8568</v>
      </c>
      <c r="C330" s="29" t="s">
        <v>8569</v>
      </c>
      <c r="D330" s="33">
        <v>6.2927</v>
      </c>
      <c r="E330" s="33">
        <v>-75.507090000000005</v>
      </c>
      <c r="F330" s="29" t="s">
        <v>8090</v>
      </c>
      <c r="G330" s="29" t="s">
        <v>8090</v>
      </c>
      <c r="H330" s="35" t="s">
        <v>8091</v>
      </c>
      <c r="I330" s="29"/>
      <c r="J330" s="29" t="s">
        <v>8570</v>
      </c>
      <c r="K330" s="37">
        <v>0</v>
      </c>
    </row>
    <row r="331" spans="1:11">
      <c r="A331" s="31">
        <v>331</v>
      </c>
      <c r="B331" s="29" t="s">
        <v>8374</v>
      </c>
      <c r="C331" s="29" t="s">
        <v>8375</v>
      </c>
      <c r="D331" s="33">
        <v>6.5381499999999999</v>
      </c>
      <c r="E331" s="33">
        <v>-76.322199999999995</v>
      </c>
      <c r="F331" s="29" t="s">
        <v>8090</v>
      </c>
      <c r="G331" s="29" t="s">
        <v>8090</v>
      </c>
      <c r="H331" s="35" t="s">
        <v>8091</v>
      </c>
      <c r="I331" s="29"/>
      <c r="J331" s="29"/>
      <c r="K331" s="37">
        <v>1</v>
      </c>
    </row>
    <row r="332" spans="1:11">
      <c r="A332" s="31">
        <v>332</v>
      </c>
      <c r="B332" s="29" t="s">
        <v>8374</v>
      </c>
      <c r="C332" s="29" t="s">
        <v>8375</v>
      </c>
      <c r="D332" s="33">
        <v>6.5381499999999999</v>
      </c>
      <c r="E332" s="33">
        <v>-76.322199999999995</v>
      </c>
      <c r="F332" s="29" t="s">
        <v>8090</v>
      </c>
      <c r="G332" s="29" t="s">
        <v>8090</v>
      </c>
      <c r="H332" s="35" t="s">
        <v>8091</v>
      </c>
      <c r="I332" s="29"/>
      <c r="J332" s="29"/>
      <c r="K332" s="37">
        <v>1</v>
      </c>
    </row>
    <row r="333" spans="1:11">
      <c r="A333" s="31">
        <v>333</v>
      </c>
      <c r="B333" s="29" t="s">
        <v>532</v>
      </c>
      <c r="C333" s="29" t="s">
        <v>2426</v>
      </c>
      <c r="D333" s="33">
        <v>6.25</v>
      </c>
      <c r="E333" s="33">
        <v>-75.583333300000007</v>
      </c>
      <c r="F333" s="29" t="s">
        <v>8090</v>
      </c>
      <c r="G333" s="29" t="s">
        <v>8090</v>
      </c>
      <c r="H333" s="35" t="s">
        <v>8091</v>
      </c>
      <c r="I333" s="29"/>
      <c r="J333" s="29"/>
      <c r="K333" s="37">
        <v>1</v>
      </c>
    </row>
    <row r="334" spans="1:11">
      <c r="A334" s="31">
        <v>334</v>
      </c>
      <c r="B334" s="29" t="s">
        <v>8571</v>
      </c>
      <c r="C334" s="29" t="s">
        <v>8572</v>
      </c>
      <c r="D334" s="33">
        <v>5.7076000000000002</v>
      </c>
      <c r="E334" s="33">
        <v>-73.461259999999996</v>
      </c>
      <c r="F334" s="29" t="s">
        <v>8090</v>
      </c>
      <c r="G334" s="29" t="s">
        <v>8090</v>
      </c>
      <c r="H334" s="35" t="s">
        <v>8091</v>
      </c>
      <c r="I334" s="29"/>
      <c r="J334" s="29" t="s">
        <v>8573</v>
      </c>
      <c r="K334" s="37">
        <v>0</v>
      </c>
    </row>
    <row r="335" spans="1:11">
      <c r="A335" s="31">
        <v>335</v>
      </c>
      <c r="B335" s="29" t="s">
        <v>8574</v>
      </c>
      <c r="C335" s="29" t="s">
        <v>8575</v>
      </c>
      <c r="D335" s="33">
        <v>5.3794599999999999</v>
      </c>
      <c r="E335" s="33">
        <v>-75.166309999999996</v>
      </c>
      <c r="F335" s="29" t="s">
        <v>8090</v>
      </c>
      <c r="G335" s="29" t="s">
        <v>8090</v>
      </c>
      <c r="H335" s="35" t="s">
        <v>8091</v>
      </c>
      <c r="I335" s="29"/>
      <c r="J335" s="29" t="s">
        <v>8576</v>
      </c>
      <c r="K335" s="37">
        <v>0</v>
      </c>
    </row>
    <row r="336" spans="1:11">
      <c r="A336" s="31">
        <v>336</v>
      </c>
      <c r="B336" s="29" t="s">
        <v>8577</v>
      </c>
      <c r="C336" s="29" t="s">
        <v>8578</v>
      </c>
      <c r="D336" s="33">
        <v>5.5187999999999997</v>
      </c>
      <c r="E336" s="33">
        <v>-75.045180000000002</v>
      </c>
      <c r="F336" s="29" t="s">
        <v>8090</v>
      </c>
      <c r="G336" s="29" t="s">
        <v>8090</v>
      </c>
      <c r="H336" s="35" t="s">
        <v>8091</v>
      </c>
      <c r="I336" s="29"/>
      <c r="J336" s="29" t="s">
        <v>8579</v>
      </c>
      <c r="K336" s="37">
        <v>0</v>
      </c>
    </row>
    <row r="337" spans="1:11">
      <c r="A337" s="31">
        <v>337</v>
      </c>
      <c r="B337" s="29" t="s">
        <v>8577</v>
      </c>
      <c r="C337" s="29" t="s">
        <v>8578</v>
      </c>
      <c r="D337" s="33">
        <v>5.5187999999999997</v>
      </c>
      <c r="E337" s="33">
        <v>-75.045180000000002</v>
      </c>
      <c r="F337" s="29" t="s">
        <v>8090</v>
      </c>
      <c r="G337" s="29" t="s">
        <v>8090</v>
      </c>
      <c r="H337" s="35" t="s">
        <v>8091</v>
      </c>
      <c r="I337" s="29"/>
      <c r="J337" s="29"/>
      <c r="K337" s="37">
        <v>1</v>
      </c>
    </row>
    <row r="338" spans="1:11">
      <c r="A338" s="31">
        <v>338</v>
      </c>
      <c r="B338" s="29" t="s">
        <v>8580</v>
      </c>
      <c r="C338" s="29" t="s">
        <v>8581</v>
      </c>
      <c r="D338" s="33">
        <v>5.0628700000000002</v>
      </c>
      <c r="E338" s="33">
        <v>-75.482119999999995</v>
      </c>
      <c r="F338" s="29" t="s">
        <v>8090</v>
      </c>
      <c r="G338" s="29" t="s">
        <v>8090</v>
      </c>
      <c r="H338" s="35" t="s">
        <v>8091</v>
      </c>
      <c r="I338" s="29"/>
      <c r="J338" s="29" t="s">
        <v>8582</v>
      </c>
      <c r="K338" s="37">
        <v>0</v>
      </c>
    </row>
    <row r="339" spans="1:11">
      <c r="A339" s="31">
        <v>339</v>
      </c>
      <c r="B339" s="29" t="s">
        <v>8583</v>
      </c>
      <c r="C339" s="29" t="s">
        <v>8584</v>
      </c>
      <c r="D339" s="33">
        <v>4.9516999999999998</v>
      </c>
      <c r="E339" s="33">
        <v>-75.431269999999998</v>
      </c>
      <c r="F339" s="29" t="s">
        <v>8090</v>
      </c>
      <c r="G339" s="29" t="s">
        <v>8090</v>
      </c>
      <c r="H339" s="35" t="s">
        <v>8091</v>
      </c>
      <c r="I339" s="29"/>
      <c r="J339" s="29" t="s">
        <v>8585</v>
      </c>
      <c r="K339" s="37">
        <v>0</v>
      </c>
    </row>
    <row r="340" spans="1:11">
      <c r="A340" s="31">
        <v>340</v>
      </c>
      <c r="B340" s="29" t="s">
        <v>8586</v>
      </c>
      <c r="C340" s="29" t="s">
        <v>8587</v>
      </c>
      <c r="D340" s="33">
        <v>5.4581</v>
      </c>
      <c r="E340" s="33">
        <v>-75.698520000000002</v>
      </c>
      <c r="F340" s="29" t="s">
        <v>8090</v>
      </c>
      <c r="G340" s="29" t="s">
        <v>8090</v>
      </c>
      <c r="H340" s="35" t="s">
        <v>8091</v>
      </c>
      <c r="I340" s="29"/>
      <c r="J340" s="29" t="s">
        <v>8588</v>
      </c>
      <c r="K340" s="37">
        <v>0</v>
      </c>
    </row>
    <row r="341" spans="1:11">
      <c r="A341" s="31">
        <v>341</v>
      </c>
      <c r="B341" s="29" t="s">
        <v>8299</v>
      </c>
      <c r="C341" s="29" t="s">
        <v>8300</v>
      </c>
      <c r="D341" s="33">
        <v>5.1273900000000001</v>
      </c>
      <c r="E341" s="33">
        <v>-75.778400000000005</v>
      </c>
      <c r="F341" s="29" t="s">
        <v>8090</v>
      </c>
      <c r="G341" s="29" t="s">
        <v>8090</v>
      </c>
      <c r="H341" s="35" t="s">
        <v>8091</v>
      </c>
      <c r="I341" s="29"/>
      <c r="J341" s="29"/>
      <c r="K341" s="37">
        <v>1</v>
      </c>
    </row>
    <row r="342" spans="1:11">
      <c r="A342" s="31">
        <v>342</v>
      </c>
      <c r="B342" s="29" t="s">
        <v>8589</v>
      </c>
      <c r="C342" s="29" t="s">
        <v>8590</v>
      </c>
      <c r="D342" s="33">
        <v>5.4227999999999996</v>
      </c>
      <c r="E342" s="33">
        <v>-75.06335</v>
      </c>
      <c r="F342" s="29" t="s">
        <v>8090</v>
      </c>
      <c r="G342" s="29" t="s">
        <v>8090</v>
      </c>
      <c r="H342" s="35" t="s">
        <v>8091</v>
      </c>
      <c r="I342" s="29"/>
      <c r="J342" s="29" t="s">
        <v>8591</v>
      </c>
      <c r="K342" s="37">
        <v>0</v>
      </c>
    </row>
    <row r="343" spans="1:11">
      <c r="A343" s="31">
        <v>343</v>
      </c>
      <c r="B343" s="29" t="s">
        <v>304</v>
      </c>
      <c r="C343" s="29" t="s">
        <v>305</v>
      </c>
      <c r="D343" s="33">
        <v>4.9848806000000003</v>
      </c>
      <c r="E343" s="33">
        <v>-75.451138900000004</v>
      </c>
      <c r="F343" s="29" t="s">
        <v>8090</v>
      </c>
      <c r="G343" s="29" t="s">
        <v>8090</v>
      </c>
      <c r="H343" s="35" t="s">
        <v>8091</v>
      </c>
      <c r="I343" s="29"/>
      <c r="J343" s="29"/>
      <c r="K343" s="37">
        <v>1</v>
      </c>
    </row>
    <row r="344" spans="1:11">
      <c r="A344" s="31">
        <v>344</v>
      </c>
      <c r="B344" s="29" t="s">
        <v>8412</v>
      </c>
      <c r="C344" s="29" t="s">
        <v>8413</v>
      </c>
      <c r="D344" s="33">
        <v>5.3832899999999997</v>
      </c>
      <c r="E344" s="33">
        <v>-75.353309999999993</v>
      </c>
      <c r="F344" s="29" t="s">
        <v>8090</v>
      </c>
      <c r="G344" s="29" t="s">
        <v>8090</v>
      </c>
      <c r="H344" s="35" t="s">
        <v>8091</v>
      </c>
      <c r="I344" s="29"/>
      <c r="J344" s="29"/>
      <c r="K344" s="37">
        <v>1</v>
      </c>
    </row>
    <row r="345" spans="1:11">
      <c r="A345" s="31">
        <v>345</v>
      </c>
      <c r="B345" s="29" t="s">
        <v>8416</v>
      </c>
      <c r="C345" s="29" t="s">
        <v>8417</v>
      </c>
      <c r="D345" s="33">
        <v>5.3704499999999999</v>
      </c>
      <c r="E345" s="33">
        <v>-75.385949999999994</v>
      </c>
      <c r="F345" s="29" t="s">
        <v>8090</v>
      </c>
      <c r="G345" s="29" t="s">
        <v>8090</v>
      </c>
      <c r="H345" s="35" t="s">
        <v>8091</v>
      </c>
      <c r="I345" s="29"/>
      <c r="J345" s="29"/>
      <c r="K345" s="37">
        <v>1</v>
      </c>
    </row>
    <row r="346" spans="1:11">
      <c r="A346" s="31">
        <v>346</v>
      </c>
      <c r="B346" s="29" t="s">
        <v>8592</v>
      </c>
      <c r="C346" s="29" t="s">
        <v>8593</v>
      </c>
      <c r="D346" s="33">
        <v>2.5099800000000001</v>
      </c>
      <c r="E346" s="33">
        <v>-76.9786</v>
      </c>
      <c r="F346" s="29" t="s">
        <v>8090</v>
      </c>
      <c r="G346" s="29" t="s">
        <v>8090</v>
      </c>
      <c r="H346" s="35" t="s">
        <v>8091</v>
      </c>
      <c r="I346" s="29"/>
      <c r="J346" s="29" t="s">
        <v>8594</v>
      </c>
      <c r="K346" s="37">
        <v>0</v>
      </c>
    </row>
    <row r="347" spans="1:11">
      <c r="A347" s="31">
        <v>347</v>
      </c>
      <c r="B347" s="29" t="s">
        <v>8595</v>
      </c>
      <c r="C347" s="29" t="s">
        <v>8596</v>
      </c>
      <c r="D347" s="33">
        <v>2.4337200000000001</v>
      </c>
      <c r="E347" s="33">
        <v>-76.8005</v>
      </c>
      <c r="F347" s="29" t="s">
        <v>8090</v>
      </c>
      <c r="G347" s="29" t="s">
        <v>8090</v>
      </c>
      <c r="H347" s="35" t="s">
        <v>8091</v>
      </c>
      <c r="I347" s="29"/>
      <c r="J347" s="29" t="s">
        <v>8597</v>
      </c>
      <c r="K347" s="37">
        <v>0</v>
      </c>
    </row>
    <row r="348" spans="1:11">
      <c r="A348" s="31">
        <v>348</v>
      </c>
      <c r="B348" s="29" t="s">
        <v>8598</v>
      </c>
      <c r="C348" s="29" t="s">
        <v>8599</v>
      </c>
      <c r="D348" s="33">
        <v>2.8191099999999998</v>
      </c>
      <c r="E348" s="33">
        <v>-76.509680000000003</v>
      </c>
      <c r="F348" s="29" t="s">
        <v>8090</v>
      </c>
      <c r="G348" s="29" t="s">
        <v>8090</v>
      </c>
      <c r="H348" s="35" t="s">
        <v>8091</v>
      </c>
      <c r="I348" s="29"/>
      <c r="J348" s="29" t="s">
        <v>8600</v>
      </c>
      <c r="K348" s="37">
        <v>0</v>
      </c>
    </row>
    <row r="349" spans="1:11">
      <c r="A349" s="31">
        <v>349</v>
      </c>
      <c r="B349" s="29" t="s">
        <v>1549</v>
      </c>
      <c r="C349" s="29" t="s">
        <v>1550</v>
      </c>
      <c r="D349" s="33">
        <v>1.2331444</v>
      </c>
      <c r="E349" s="33">
        <v>-76.532844400000002</v>
      </c>
      <c r="F349" s="29" t="s">
        <v>8090</v>
      </c>
      <c r="G349" s="29" t="s">
        <v>8090</v>
      </c>
      <c r="H349" s="35" t="s">
        <v>8091</v>
      </c>
      <c r="I349" s="29"/>
      <c r="J349" s="29"/>
      <c r="K349" s="37">
        <v>1</v>
      </c>
    </row>
    <row r="350" spans="1:11">
      <c r="A350" s="31">
        <v>350</v>
      </c>
      <c r="B350" s="29" t="s">
        <v>1549</v>
      </c>
      <c r="C350" s="29" t="s">
        <v>1550</v>
      </c>
      <c r="D350" s="33">
        <v>1.2331444</v>
      </c>
      <c r="E350" s="33">
        <v>-76.532844400000002</v>
      </c>
      <c r="F350" s="29" t="s">
        <v>8090</v>
      </c>
      <c r="G350" s="29" t="s">
        <v>8090</v>
      </c>
      <c r="H350" s="35" t="s">
        <v>8091</v>
      </c>
      <c r="I350" s="29"/>
      <c r="J350" s="29"/>
      <c r="K350" s="37">
        <v>1</v>
      </c>
    </row>
    <row r="351" spans="1:11">
      <c r="A351" s="31">
        <v>351</v>
      </c>
      <c r="B351" s="29" t="s">
        <v>1549</v>
      </c>
      <c r="C351" s="29" t="s">
        <v>1550</v>
      </c>
      <c r="D351" s="33">
        <v>1.2331444</v>
      </c>
      <c r="E351" s="33">
        <v>-76.532844400000002</v>
      </c>
      <c r="F351" s="29" t="s">
        <v>8090</v>
      </c>
      <c r="G351" s="29" t="s">
        <v>8090</v>
      </c>
      <c r="H351" s="35" t="s">
        <v>8091</v>
      </c>
      <c r="I351" s="29"/>
      <c r="J351" s="29"/>
      <c r="K351" s="37">
        <v>1</v>
      </c>
    </row>
    <row r="352" spans="1:11">
      <c r="A352" s="31">
        <v>352</v>
      </c>
      <c r="B352" s="29" t="s">
        <v>8146</v>
      </c>
      <c r="C352" s="29" t="s">
        <v>8147</v>
      </c>
      <c r="D352" s="33">
        <v>2.51058</v>
      </c>
      <c r="E352" s="33">
        <v>-76.984210000000004</v>
      </c>
      <c r="F352" s="29" t="s">
        <v>8090</v>
      </c>
      <c r="G352" s="29" t="s">
        <v>8090</v>
      </c>
      <c r="H352" s="35" t="s">
        <v>8091</v>
      </c>
      <c r="I352" s="29"/>
      <c r="J352" s="29"/>
      <c r="K352" s="37">
        <v>1</v>
      </c>
    </row>
    <row r="353" spans="1:11">
      <c r="A353" s="31">
        <v>353</v>
      </c>
      <c r="B353" s="29" t="s">
        <v>2783</v>
      </c>
      <c r="C353" s="29" t="s">
        <v>774</v>
      </c>
      <c r="D353" s="33">
        <v>2.4666667000000002</v>
      </c>
      <c r="E353" s="33">
        <v>-76.616666699999996</v>
      </c>
      <c r="F353" s="29" t="s">
        <v>8090</v>
      </c>
      <c r="G353" s="29" t="s">
        <v>8090</v>
      </c>
      <c r="H353" s="35" t="s">
        <v>8091</v>
      </c>
      <c r="I353" s="29"/>
      <c r="J353" s="29" t="s">
        <v>8601</v>
      </c>
      <c r="K353" s="37">
        <v>0</v>
      </c>
    </row>
    <row r="354" spans="1:11">
      <c r="A354" s="31">
        <v>354</v>
      </c>
      <c r="B354" s="29" t="s">
        <v>8146</v>
      </c>
      <c r="C354" s="29" t="s">
        <v>8147</v>
      </c>
      <c r="D354" s="33">
        <v>2.51058</v>
      </c>
      <c r="E354" s="33">
        <v>-76.984210000000004</v>
      </c>
      <c r="F354" s="29" t="s">
        <v>8090</v>
      </c>
      <c r="G354" s="29" t="s">
        <v>8090</v>
      </c>
      <c r="H354" s="35" t="s">
        <v>8091</v>
      </c>
      <c r="I354" s="29"/>
      <c r="J354" s="29"/>
      <c r="K354" s="37">
        <v>1</v>
      </c>
    </row>
    <row r="355" spans="1:11">
      <c r="A355" s="31">
        <v>355</v>
      </c>
      <c r="B355" s="29" t="s">
        <v>8146</v>
      </c>
      <c r="C355" s="29" t="s">
        <v>8147</v>
      </c>
      <c r="D355" s="33">
        <v>2.51058</v>
      </c>
      <c r="E355" s="33">
        <v>-76.984210000000004</v>
      </c>
      <c r="F355" s="29" t="s">
        <v>8090</v>
      </c>
      <c r="G355" s="29" t="s">
        <v>8090</v>
      </c>
      <c r="H355" s="35" t="s">
        <v>8091</v>
      </c>
      <c r="I355" s="29"/>
      <c r="J355" s="29"/>
      <c r="K355" s="37">
        <v>1</v>
      </c>
    </row>
    <row r="356" spans="1:11">
      <c r="A356" s="31">
        <v>356</v>
      </c>
      <c r="B356" s="29" t="s">
        <v>1043</v>
      </c>
      <c r="C356" s="29" t="s">
        <v>1044</v>
      </c>
      <c r="D356" s="33">
        <v>1.5551944</v>
      </c>
      <c r="E356" s="33">
        <v>-76.305166700000001</v>
      </c>
      <c r="F356" s="29" t="s">
        <v>8090</v>
      </c>
      <c r="G356" s="29" t="s">
        <v>8090</v>
      </c>
      <c r="H356" s="35" t="s">
        <v>8091</v>
      </c>
      <c r="I356" s="29"/>
      <c r="J356" s="29"/>
      <c r="K356" s="37">
        <v>1</v>
      </c>
    </row>
    <row r="357" spans="1:11">
      <c r="A357" s="31">
        <v>357</v>
      </c>
      <c r="B357" s="29" t="s">
        <v>8146</v>
      </c>
      <c r="C357" s="29" t="s">
        <v>8147</v>
      </c>
      <c r="D357" s="33">
        <v>2.51058</v>
      </c>
      <c r="E357" s="33">
        <v>-76.984210000000004</v>
      </c>
      <c r="F357" s="29" t="s">
        <v>8090</v>
      </c>
      <c r="G357" s="29" t="s">
        <v>8090</v>
      </c>
      <c r="H357" s="35" t="s">
        <v>8091</v>
      </c>
      <c r="I357" s="29"/>
      <c r="J357" s="29"/>
      <c r="K357" s="37">
        <v>1</v>
      </c>
    </row>
    <row r="358" spans="1:11">
      <c r="A358" s="31">
        <v>358</v>
      </c>
      <c r="B358" s="29" t="s">
        <v>8602</v>
      </c>
      <c r="C358" s="29" t="s">
        <v>8603</v>
      </c>
      <c r="D358" s="33">
        <v>10.381550000000001</v>
      </c>
      <c r="E358" s="33">
        <v>-72.944820000000007</v>
      </c>
      <c r="F358" s="29" t="s">
        <v>8090</v>
      </c>
      <c r="G358" s="29" t="s">
        <v>8090</v>
      </c>
      <c r="H358" s="35" t="s">
        <v>8091</v>
      </c>
      <c r="I358" s="29"/>
      <c r="J358" s="29" t="s">
        <v>8604</v>
      </c>
      <c r="K358" s="37">
        <v>0</v>
      </c>
    </row>
    <row r="359" spans="1:11">
      <c r="A359" s="31">
        <v>359</v>
      </c>
      <c r="B359" s="29" t="s">
        <v>8605</v>
      </c>
      <c r="C359" s="29" t="s">
        <v>8606</v>
      </c>
      <c r="D359" s="33">
        <v>4.8602600000000002</v>
      </c>
      <c r="E359" s="33">
        <v>-76.27122</v>
      </c>
      <c r="F359" s="29" t="s">
        <v>8090</v>
      </c>
      <c r="G359" s="29" t="s">
        <v>8090</v>
      </c>
      <c r="H359" s="35" t="s">
        <v>8091</v>
      </c>
      <c r="I359" s="29"/>
      <c r="J359" s="29" t="s">
        <v>8607</v>
      </c>
      <c r="K359" s="37">
        <v>0</v>
      </c>
    </row>
    <row r="360" spans="1:11">
      <c r="A360" s="31">
        <v>360</v>
      </c>
      <c r="B360" s="29" t="s">
        <v>8608</v>
      </c>
      <c r="C360" s="29" t="s">
        <v>8609</v>
      </c>
      <c r="D360" s="33">
        <v>5.0858800000000004</v>
      </c>
      <c r="E360" s="33">
        <v>-76.716160000000002</v>
      </c>
      <c r="F360" s="29" t="s">
        <v>8090</v>
      </c>
      <c r="G360" s="29" t="s">
        <v>8090</v>
      </c>
      <c r="H360" s="35" t="s">
        <v>8091</v>
      </c>
      <c r="I360" s="29"/>
      <c r="J360" s="29" t="s">
        <v>8610</v>
      </c>
      <c r="K360" s="37">
        <v>0</v>
      </c>
    </row>
    <row r="361" spans="1:11">
      <c r="A361" s="31">
        <v>361</v>
      </c>
      <c r="B361" s="29" t="s">
        <v>8611</v>
      </c>
      <c r="C361" s="29" t="s">
        <v>8612</v>
      </c>
      <c r="D361" s="33">
        <v>5.8775199999999996</v>
      </c>
      <c r="E361" s="33">
        <v>-76.106089999999995</v>
      </c>
      <c r="F361" s="29" t="s">
        <v>8090</v>
      </c>
      <c r="G361" s="29" t="s">
        <v>8090</v>
      </c>
      <c r="H361" s="35" t="s">
        <v>8091</v>
      </c>
      <c r="I361" s="29"/>
      <c r="J361" s="29" t="s">
        <v>8613</v>
      </c>
      <c r="K361" s="37">
        <v>0</v>
      </c>
    </row>
    <row r="362" spans="1:11">
      <c r="A362" s="31">
        <v>362</v>
      </c>
      <c r="B362" s="29" t="s">
        <v>8105</v>
      </c>
      <c r="C362" s="29" t="s">
        <v>8106</v>
      </c>
      <c r="D362" s="33">
        <v>4.41479</v>
      </c>
      <c r="E362" s="33">
        <v>-74.329689999999999</v>
      </c>
      <c r="F362" s="29" t="s">
        <v>8090</v>
      </c>
      <c r="G362" s="29" t="s">
        <v>8090</v>
      </c>
      <c r="H362" s="35" t="s">
        <v>8091</v>
      </c>
      <c r="I362" s="29"/>
      <c r="J362" s="29"/>
      <c r="K362" s="37">
        <v>1</v>
      </c>
    </row>
    <row r="363" spans="1:11">
      <c r="A363" s="31">
        <v>363</v>
      </c>
      <c r="B363" s="29" t="s">
        <v>8614</v>
      </c>
      <c r="C363" s="29" t="s">
        <v>8615</v>
      </c>
      <c r="D363" s="33">
        <v>4.3804499999999997</v>
      </c>
      <c r="E363" s="33">
        <v>-74.346580000000003</v>
      </c>
      <c r="F363" s="29" t="s">
        <v>8090</v>
      </c>
      <c r="G363" s="29" t="s">
        <v>8090</v>
      </c>
      <c r="H363" s="35" t="s">
        <v>8091</v>
      </c>
      <c r="I363" s="29"/>
      <c r="J363" s="29" t="s">
        <v>8616</v>
      </c>
      <c r="K363" s="37">
        <v>0</v>
      </c>
    </row>
    <row r="364" spans="1:11">
      <c r="A364" s="31">
        <v>364</v>
      </c>
      <c r="B364" s="29" t="s">
        <v>8617</v>
      </c>
      <c r="C364" s="29" t="s">
        <v>8618</v>
      </c>
      <c r="D364" s="33">
        <v>4.5747600000000004</v>
      </c>
      <c r="E364" s="33">
        <v>-74.293379999999999</v>
      </c>
      <c r="F364" s="29" t="s">
        <v>8090</v>
      </c>
      <c r="G364" s="29" t="s">
        <v>8090</v>
      </c>
      <c r="H364" s="35" t="s">
        <v>8091</v>
      </c>
      <c r="I364" s="29"/>
      <c r="J364" s="29" t="s">
        <v>8619</v>
      </c>
      <c r="K364" s="37">
        <v>0</v>
      </c>
    </row>
    <row r="365" spans="1:11">
      <c r="A365" s="31">
        <v>365</v>
      </c>
      <c r="B365" s="29" t="s">
        <v>8620</v>
      </c>
      <c r="C365" s="29" t="s">
        <v>8621</v>
      </c>
      <c r="D365" s="33">
        <v>4.5847499999999997</v>
      </c>
      <c r="E365" s="33">
        <v>-74.303169999999994</v>
      </c>
      <c r="F365" s="29" t="s">
        <v>8090</v>
      </c>
      <c r="G365" s="29" t="s">
        <v>8090</v>
      </c>
      <c r="H365" s="35" t="s">
        <v>8091</v>
      </c>
      <c r="I365" s="29"/>
      <c r="J365" s="29" t="s">
        <v>8622</v>
      </c>
      <c r="K365" s="37">
        <v>0</v>
      </c>
    </row>
    <row r="366" spans="1:11">
      <c r="A366" s="31">
        <v>366</v>
      </c>
      <c r="B366" s="29" t="s">
        <v>8623</v>
      </c>
      <c r="C366" s="29" t="s">
        <v>8624</v>
      </c>
      <c r="D366" s="33">
        <v>4.8465199999999999</v>
      </c>
      <c r="E366" s="33">
        <v>-73.796239999999997</v>
      </c>
      <c r="F366" s="29" t="s">
        <v>8090</v>
      </c>
      <c r="G366" s="29" t="s">
        <v>8090</v>
      </c>
      <c r="H366" s="35" t="s">
        <v>8091</v>
      </c>
      <c r="I366" s="29"/>
      <c r="J366" s="29" t="s">
        <v>8625</v>
      </c>
      <c r="K366" s="37">
        <v>0</v>
      </c>
    </row>
    <row r="367" spans="1:11">
      <c r="A367" s="31">
        <v>367</v>
      </c>
      <c r="B367" s="29" t="s">
        <v>8626</v>
      </c>
      <c r="C367" s="29" t="s">
        <v>8627</v>
      </c>
      <c r="D367" s="33">
        <v>4.4406699999999999</v>
      </c>
      <c r="E367" s="33">
        <v>-74.320670000000007</v>
      </c>
      <c r="F367" s="29" t="s">
        <v>8090</v>
      </c>
      <c r="G367" s="29" t="s">
        <v>8090</v>
      </c>
      <c r="H367" s="35" t="s">
        <v>8091</v>
      </c>
      <c r="I367" s="29"/>
      <c r="J367" s="29" t="s">
        <v>8628</v>
      </c>
      <c r="K367" s="37">
        <v>0</v>
      </c>
    </row>
    <row r="368" spans="1:11">
      <c r="A368" s="31">
        <v>368</v>
      </c>
      <c r="B368" s="29" t="s">
        <v>8172</v>
      </c>
      <c r="C368" s="29" t="s">
        <v>8173</v>
      </c>
      <c r="D368" s="33">
        <v>4.6831199999999997</v>
      </c>
      <c r="E368" s="33">
        <v>-74.389629999999997</v>
      </c>
      <c r="F368" s="29" t="s">
        <v>8090</v>
      </c>
      <c r="G368" s="29" t="s">
        <v>8090</v>
      </c>
      <c r="H368" s="35" t="s">
        <v>8091</v>
      </c>
      <c r="I368" s="29"/>
      <c r="J368" s="29"/>
      <c r="K368" s="37">
        <v>1</v>
      </c>
    </row>
    <row r="369" spans="1:11">
      <c r="A369" s="31">
        <v>369</v>
      </c>
      <c r="B369" s="29" t="s">
        <v>8172</v>
      </c>
      <c r="C369" s="29" t="s">
        <v>8173</v>
      </c>
      <c r="D369" s="33">
        <v>4.6831199999999997</v>
      </c>
      <c r="E369" s="33">
        <v>-74.389629999999997</v>
      </c>
      <c r="F369" s="29" t="s">
        <v>8090</v>
      </c>
      <c r="G369" s="29" t="s">
        <v>8090</v>
      </c>
      <c r="H369" s="35" t="s">
        <v>8091</v>
      </c>
      <c r="I369" s="29"/>
      <c r="J369" s="29"/>
      <c r="K369" s="37">
        <v>1</v>
      </c>
    </row>
    <row r="370" spans="1:11">
      <c r="A370" s="31">
        <v>370</v>
      </c>
      <c r="B370" s="29" t="s">
        <v>8135</v>
      </c>
      <c r="C370" s="29" t="s">
        <v>8136</v>
      </c>
      <c r="D370" s="33">
        <v>4.8996399999999998</v>
      </c>
      <c r="E370" s="33">
        <v>-74.424379999999999</v>
      </c>
      <c r="F370" s="29" t="s">
        <v>8090</v>
      </c>
      <c r="G370" s="29" t="s">
        <v>8090</v>
      </c>
      <c r="H370" s="35" t="s">
        <v>8091</v>
      </c>
      <c r="I370" s="29"/>
      <c r="J370" s="29"/>
      <c r="K370" s="37">
        <v>1</v>
      </c>
    </row>
    <row r="371" spans="1:11">
      <c r="A371" s="31">
        <v>371</v>
      </c>
      <c r="B371" s="29" t="s">
        <v>8629</v>
      </c>
      <c r="C371" s="29" t="s">
        <v>8630</v>
      </c>
      <c r="D371" s="33">
        <v>1.8764799999999999</v>
      </c>
      <c r="E371" s="33">
        <v>-76.259399999999999</v>
      </c>
      <c r="F371" s="29" t="s">
        <v>8090</v>
      </c>
      <c r="G371" s="29" t="s">
        <v>8090</v>
      </c>
      <c r="H371" s="35" t="s">
        <v>8091</v>
      </c>
      <c r="I371" s="29"/>
      <c r="J371" s="29" t="s">
        <v>8631</v>
      </c>
      <c r="K371" s="37">
        <v>0</v>
      </c>
    </row>
    <row r="372" spans="1:11">
      <c r="A372" s="31">
        <v>372</v>
      </c>
      <c r="B372" s="29" t="s">
        <v>8632</v>
      </c>
      <c r="C372" s="29" t="s">
        <v>8633</v>
      </c>
      <c r="D372" s="33">
        <v>2.2192799999999999</v>
      </c>
      <c r="E372" s="33">
        <v>-76.114530000000002</v>
      </c>
      <c r="F372" s="29" t="s">
        <v>8090</v>
      </c>
      <c r="G372" s="29" t="s">
        <v>8090</v>
      </c>
      <c r="H372" s="35" t="s">
        <v>8091</v>
      </c>
      <c r="I372" s="29"/>
      <c r="J372" s="29" t="s">
        <v>8634</v>
      </c>
      <c r="K372" s="37">
        <v>0</v>
      </c>
    </row>
    <row r="373" spans="1:11">
      <c r="A373" s="31">
        <v>373</v>
      </c>
      <c r="B373" s="29" t="s">
        <v>8632</v>
      </c>
      <c r="C373" s="29" t="s">
        <v>8633</v>
      </c>
      <c r="D373" s="33">
        <v>2.2192799999999999</v>
      </c>
      <c r="E373" s="33">
        <v>-76.114530000000002</v>
      </c>
      <c r="F373" s="29" t="s">
        <v>8090</v>
      </c>
      <c r="G373" s="29" t="s">
        <v>8090</v>
      </c>
      <c r="H373" s="35" t="s">
        <v>8091</v>
      </c>
      <c r="I373" s="29"/>
      <c r="J373" s="29"/>
      <c r="K373" s="37">
        <v>1</v>
      </c>
    </row>
    <row r="374" spans="1:11">
      <c r="A374" s="31">
        <v>374</v>
      </c>
      <c r="B374" s="29" t="s">
        <v>8632</v>
      </c>
      <c r="C374" s="29" t="s">
        <v>8633</v>
      </c>
      <c r="D374" s="33">
        <v>2.2192799999999999</v>
      </c>
      <c r="E374" s="33">
        <v>-76.114530000000002</v>
      </c>
      <c r="F374" s="29" t="s">
        <v>8090</v>
      </c>
      <c r="G374" s="29" t="s">
        <v>8090</v>
      </c>
      <c r="H374" s="35" t="s">
        <v>8091</v>
      </c>
      <c r="I374" s="29"/>
      <c r="J374" s="29"/>
      <c r="K374" s="37">
        <v>1</v>
      </c>
    </row>
    <row r="375" spans="1:11">
      <c r="A375" s="31">
        <v>375</v>
      </c>
      <c r="B375" s="29" t="s">
        <v>8632</v>
      </c>
      <c r="C375" s="29" t="s">
        <v>8633</v>
      </c>
      <c r="D375" s="33">
        <v>2.2192799999999999</v>
      </c>
      <c r="E375" s="33">
        <v>-76.114530000000002</v>
      </c>
      <c r="F375" s="29" t="s">
        <v>8090</v>
      </c>
      <c r="G375" s="29" t="s">
        <v>8090</v>
      </c>
      <c r="H375" s="35" t="s">
        <v>8091</v>
      </c>
      <c r="I375" s="29"/>
      <c r="J375" s="29"/>
      <c r="K375" s="37">
        <v>1</v>
      </c>
    </row>
    <row r="376" spans="1:11">
      <c r="A376" s="31">
        <v>376</v>
      </c>
      <c r="B376" s="29" t="s">
        <v>8333</v>
      </c>
      <c r="C376" s="29" t="s">
        <v>8334</v>
      </c>
      <c r="D376" s="33">
        <v>1.7346699999999999</v>
      </c>
      <c r="E376" s="33">
        <v>-76.000010000000003</v>
      </c>
      <c r="F376" s="29" t="s">
        <v>8090</v>
      </c>
      <c r="G376" s="29" t="s">
        <v>8090</v>
      </c>
      <c r="H376" s="35" t="s">
        <v>8091</v>
      </c>
      <c r="I376" s="29"/>
      <c r="J376" s="29"/>
      <c r="K376" s="37">
        <v>1</v>
      </c>
    </row>
    <row r="377" spans="1:11">
      <c r="A377" s="31">
        <v>377</v>
      </c>
      <c r="B377" s="29" t="s">
        <v>8635</v>
      </c>
      <c r="C377" s="29" t="s">
        <v>8636</v>
      </c>
      <c r="D377" s="33">
        <v>2.6093199999999999</v>
      </c>
      <c r="E377" s="33">
        <v>-75.21208</v>
      </c>
      <c r="F377" s="29" t="s">
        <v>8090</v>
      </c>
      <c r="G377" s="29" t="s">
        <v>8090</v>
      </c>
      <c r="H377" s="35" t="s">
        <v>8091</v>
      </c>
      <c r="I377" s="29"/>
      <c r="J377" s="29" t="s">
        <v>8637</v>
      </c>
      <c r="K377" s="37">
        <v>0</v>
      </c>
    </row>
    <row r="378" spans="1:11">
      <c r="A378" s="31">
        <v>378</v>
      </c>
      <c r="B378" s="29" t="s">
        <v>8223</v>
      </c>
      <c r="C378" s="29" t="s">
        <v>8224</v>
      </c>
      <c r="D378" s="33">
        <v>3.5899000000000001</v>
      </c>
      <c r="E378" s="33">
        <v>-74.709339999999997</v>
      </c>
      <c r="F378" s="29" t="s">
        <v>8090</v>
      </c>
      <c r="G378" s="29" t="s">
        <v>8090</v>
      </c>
      <c r="H378" s="35" t="s">
        <v>8091</v>
      </c>
      <c r="I378" s="29"/>
      <c r="J378" s="29"/>
      <c r="K378" s="37">
        <v>1</v>
      </c>
    </row>
    <row r="379" spans="1:11">
      <c r="A379" s="31">
        <v>379</v>
      </c>
      <c r="B379" s="29" t="s">
        <v>8638</v>
      </c>
      <c r="C379" s="29" t="s">
        <v>8639</v>
      </c>
      <c r="D379" s="33">
        <v>2.6252</v>
      </c>
      <c r="E379" s="33">
        <v>-75.235439999999997</v>
      </c>
      <c r="F379" s="29" t="s">
        <v>8090</v>
      </c>
      <c r="G379" s="29" t="s">
        <v>8090</v>
      </c>
      <c r="H379" s="35" t="s">
        <v>8091</v>
      </c>
      <c r="I379" s="29"/>
      <c r="J379" s="29" t="s">
        <v>8640</v>
      </c>
      <c r="K379" s="37">
        <v>0</v>
      </c>
    </row>
    <row r="380" spans="1:11">
      <c r="A380" s="31">
        <v>380</v>
      </c>
      <c r="B380" s="29" t="s">
        <v>8638</v>
      </c>
      <c r="C380" s="29" t="s">
        <v>8639</v>
      </c>
      <c r="D380" s="33">
        <v>2.6252</v>
      </c>
      <c r="E380" s="33">
        <v>-75.235439999999997</v>
      </c>
      <c r="F380" s="29" t="s">
        <v>8090</v>
      </c>
      <c r="G380" s="29" t="s">
        <v>8090</v>
      </c>
      <c r="H380" s="35" t="s">
        <v>8091</v>
      </c>
      <c r="I380" s="29"/>
      <c r="J380" s="29"/>
      <c r="K380" s="37">
        <v>1</v>
      </c>
    </row>
    <row r="381" spans="1:11">
      <c r="A381" s="31">
        <v>381</v>
      </c>
      <c r="B381" s="29" t="s">
        <v>8641</v>
      </c>
      <c r="C381" s="29" t="s">
        <v>8642</v>
      </c>
      <c r="D381" s="33">
        <v>1.88558</v>
      </c>
      <c r="E381" s="33">
        <v>-76.294300000000007</v>
      </c>
      <c r="F381" s="29" t="s">
        <v>8090</v>
      </c>
      <c r="G381" s="29" t="s">
        <v>8090</v>
      </c>
      <c r="H381" s="35" t="s">
        <v>8091</v>
      </c>
      <c r="I381" s="29"/>
      <c r="J381" s="29" t="s">
        <v>8643</v>
      </c>
      <c r="K381" s="37">
        <v>0</v>
      </c>
    </row>
    <row r="382" spans="1:11">
      <c r="A382" s="31">
        <v>382</v>
      </c>
      <c r="B382" s="29" t="s">
        <v>8644</v>
      </c>
      <c r="C382" s="29" t="s">
        <v>8645</v>
      </c>
      <c r="D382" s="33">
        <v>2.5473499999999998</v>
      </c>
      <c r="E382" s="33">
        <v>-75.78877</v>
      </c>
      <c r="F382" s="29" t="s">
        <v>8090</v>
      </c>
      <c r="G382" s="29" t="s">
        <v>8090</v>
      </c>
      <c r="H382" s="35" t="s">
        <v>8091</v>
      </c>
      <c r="I382" s="29"/>
      <c r="J382" s="29" t="s">
        <v>8646</v>
      </c>
      <c r="K382" s="37">
        <v>0</v>
      </c>
    </row>
    <row r="383" spans="1:11">
      <c r="A383" s="31">
        <v>383</v>
      </c>
      <c r="B383" s="29" t="s">
        <v>2958</v>
      </c>
      <c r="C383" s="29" t="s">
        <v>329</v>
      </c>
      <c r="D383" s="33">
        <v>1.7689805999999999</v>
      </c>
      <c r="E383" s="33">
        <v>-76.018733299999994</v>
      </c>
      <c r="F383" s="29" t="s">
        <v>8090</v>
      </c>
      <c r="G383" s="29" t="s">
        <v>8090</v>
      </c>
      <c r="H383" s="35" t="s">
        <v>8091</v>
      </c>
      <c r="I383" s="29"/>
      <c r="J383" s="29" t="s">
        <v>8647</v>
      </c>
      <c r="K383" s="37">
        <v>0</v>
      </c>
    </row>
    <row r="384" spans="1:11">
      <c r="A384" s="31">
        <v>384</v>
      </c>
      <c r="B384" s="29" t="s">
        <v>2958</v>
      </c>
      <c r="C384" s="29" t="s">
        <v>329</v>
      </c>
      <c r="D384" s="33">
        <v>1.7689805999999999</v>
      </c>
      <c r="E384" s="33">
        <v>-76.018733299999994</v>
      </c>
      <c r="F384" s="29" t="s">
        <v>8090</v>
      </c>
      <c r="G384" s="29" t="s">
        <v>8090</v>
      </c>
      <c r="H384" s="35" t="s">
        <v>8091</v>
      </c>
      <c r="I384" s="29"/>
      <c r="J384" s="29"/>
      <c r="K384" s="37">
        <v>1</v>
      </c>
    </row>
    <row r="385" spans="1:11">
      <c r="A385" s="31">
        <v>385</v>
      </c>
      <c r="B385" s="29" t="s">
        <v>2958</v>
      </c>
      <c r="C385" s="29" t="s">
        <v>329</v>
      </c>
      <c r="D385" s="33">
        <v>1.7689805999999999</v>
      </c>
      <c r="E385" s="33">
        <v>-76.018733299999994</v>
      </c>
      <c r="F385" s="29" t="s">
        <v>8090</v>
      </c>
      <c r="G385" s="29" t="s">
        <v>8090</v>
      </c>
      <c r="H385" s="35" t="s">
        <v>8091</v>
      </c>
      <c r="I385" s="29"/>
      <c r="J385" s="29"/>
      <c r="K385" s="37">
        <v>1</v>
      </c>
    </row>
    <row r="386" spans="1:11">
      <c r="A386" s="31">
        <v>386</v>
      </c>
      <c r="B386" s="29" t="s">
        <v>2972</v>
      </c>
      <c r="C386" s="29" t="s">
        <v>2973</v>
      </c>
      <c r="D386" s="33">
        <v>1.9833333</v>
      </c>
      <c r="E386" s="33">
        <v>-76.283333299999995</v>
      </c>
      <c r="F386" s="29" t="s">
        <v>8090</v>
      </c>
      <c r="G386" s="29" t="s">
        <v>8090</v>
      </c>
      <c r="H386" s="35" t="s">
        <v>8091</v>
      </c>
      <c r="I386" s="29"/>
      <c r="J386" s="29" t="s">
        <v>8648</v>
      </c>
      <c r="K386" s="37">
        <v>0</v>
      </c>
    </row>
    <row r="387" spans="1:11">
      <c r="A387" s="31">
        <v>387</v>
      </c>
      <c r="B387" s="29" t="s">
        <v>8649</v>
      </c>
      <c r="C387" s="29" t="s">
        <v>8650</v>
      </c>
      <c r="D387" s="33">
        <v>11.102819999999999</v>
      </c>
      <c r="E387" s="33">
        <v>-74.073269999999994</v>
      </c>
      <c r="F387" s="29" t="s">
        <v>8090</v>
      </c>
      <c r="G387" s="29" t="s">
        <v>8090</v>
      </c>
      <c r="H387" s="35" t="s">
        <v>8091</v>
      </c>
      <c r="I387" s="29"/>
      <c r="J387" s="29" t="s">
        <v>8651</v>
      </c>
      <c r="K387" s="37">
        <v>0</v>
      </c>
    </row>
    <row r="388" spans="1:11">
      <c r="A388" s="31">
        <v>388</v>
      </c>
      <c r="B388" s="29" t="s">
        <v>8652</v>
      </c>
      <c r="C388" s="29" t="s">
        <v>8653</v>
      </c>
      <c r="D388" s="33">
        <v>11.093360000000001</v>
      </c>
      <c r="E388" s="33">
        <v>-74.033559999999994</v>
      </c>
      <c r="F388" s="29" t="s">
        <v>8090</v>
      </c>
      <c r="G388" s="29" t="s">
        <v>8090</v>
      </c>
      <c r="H388" s="35" t="s">
        <v>8091</v>
      </c>
      <c r="I388" s="29"/>
      <c r="J388" s="29" t="s">
        <v>8654</v>
      </c>
      <c r="K388" s="37">
        <v>0</v>
      </c>
    </row>
    <row r="389" spans="1:11">
      <c r="A389" s="31">
        <v>389</v>
      </c>
      <c r="B389" s="29" t="s">
        <v>8649</v>
      </c>
      <c r="C389" s="29" t="s">
        <v>8650</v>
      </c>
      <c r="D389" s="33">
        <v>11.102819999999999</v>
      </c>
      <c r="E389" s="33">
        <v>-74.073269999999994</v>
      </c>
      <c r="F389" s="29" t="s">
        <v>8090</v>
      </c>
      <c r="G389" s="29" t="s">
        <v>8090</v>
      </c>
      <c r="H389" s="35" t="s">
        <v>8091</v>
      </c>
      <c r="I389" s="29"/>
      <c r="J389" s="29"/>
      <c r="K389" s="37">
        <v>1</v>
      </c>
    </row>
    <row r="390" spans="1:11">
      <c r="A390" s="31">
        <v>390</v>
      </c>
      <c r="B390" s="29" t="s">
        <v>8649</v>
      </c>
      <c r="C390" s="29" t="s">
        <v>8650</v>
      </c>
      <c r="D390" s="33">
        <v>11.102819999999999</v>
      </c>
      <c r="E390" s="33">
        <v>-74.073269999999994</v>
      </c>
      <c r="F390" s="29" t="s">
        <v>8090</v>
      </c>
      <c r="G390" s="29" t="s">
        <v>8090</v>
      </c>
      <c r="H390" s="35" t="s">
        <v>8091</v>
      </c>
      <c r="I390" s="29"/>
      <c r="J390" s="29"/>
      <c r="K390" s="37">
        <v>1</v>
      </c>
    </row>
    <row r="391" spans="1:11">
      <c r="A391" s="31">
        <v>391</v>
      </c>
      <c r="B391" s="29" t="s">
        <v>3006</v>
      </c>
      <c r="C391" s="29" t="s">
        <v>3007</v>
      </c>
      <c r="D391" s="33">
        <v>10.933333299999999</v>
      </c>
      <c r="E391" s="33">
        <v>-73.966666700000005</v>
      </c>
      <c r="F391" s="29" t="s">
        <v>8090</v>
      </c>
      <c r="G391" s="29" t="s">
        <v>8090</v>
      </c>
      <c r="H391" s="35" t="s">
        <v>8091</v>
      </c>
      <c r="I391" s="29"/>
      <c r="J391" s="29" t="s">
        <v>8655</v>
      </c>
      <c r="K391" s="37">
        <v>0</v>
      </c>
    </row>
    <row r="392" spans="1:11">
      <c r="A392" s="31">
        <v>392</v>
      </c>
      <c r="B392" s="29" t="s">
        <v>8656</v>
      </c>
      <c r="C392" s="29" t="s">
        <v>8657</v>
      </c>
      <c r="D392" s="33">
        <v>10.916600000000001</v>
      </c>
      <c r="E392" s="33">
        <v>-73.833290000000005</v>
      </c>
      <c r="F392" s="29" t="s">
        <v>8090</v>
      </c>
      <c r="G392" s="29" t="s">
        <v>8090</v>
      </c>
      <c r="H392" s="35" t="s">
        <v>8091</v>
      </c>
      <c r="I392" s="29"/>
      <c r="J392" s="29" t="s">
        <v>8658</v>
      </c>
      <c r="K392" s="37">
        <v>0</v>
      </c>
    </row>
    <row r="393" spans="1:11">
      <c r="A393" s="31">
        <v>393</v>
      </c>
      <c r="B393" s="29" t="s">
        <v>8659</v>
      </c>
      <c r="C393" s="29" t="s">
        <v>8660</v>
      </c>
      <c r="D393" s="33">
        <v>2.9626999999999999</v>
      </c>
      <c r="E393" s="33">
        <v>-73.88673</v>
      </c>
      <c r="F393" s="29" t="s">
        <v>8090</v>
      </c>
      <c r="G393" s="29" t="s">
        <v>8090</v>
      </c>
      <c r="H393" s="35" t="s">
        <v>8091</v>
      </c>
      <c r="I393" s="29"/>
      <c r="J393" s="29" t="s">
        <v>8661</v>
      </c>
      <c r="K393" s="37">
        <v>0</v>
      </c>
    </row>
    <row r="394" spans="1:11">
      <c r="A394" s="31">
        <v>394</v>
      </c>
      <c r="B394" s="29" t="s">
        <v>8662</v>
      </c>
      <c r="C394" s="29" t="s">
        <v>8663</v>
      </c>
      <c r="D394" s="33">
        <v>4.00502</v>
      </c>
      <c r="E394" s="33">
        <v>-73.779210000000006</v>
      </c>
      <c r="F394" s="29" t="s">
        <v>8090</v>
      </c>
      <c r="G394" s="29" t="s">
        <v>8090</v>
      </c>
      <c r="H394" s="35" t="s">
        <v>8091</v>
      </c>
      <c r="I394" s="29"/>
      <c r="J394" s="29" t="s">
        <v>8664</v>
      </c>
      <c r="K394" s="37">
        <v>0</v>
      </c>
    </row>
    <row r="395" spans="1:11">
      <c r="A395" s="31">
        <v>395</v>
      </c>
      <c r="B395" s="29" t="s">
        <v>8662</v>
      </c>
      <c r="C395" s="29" t="s">
        <v>8663</v>
      </c>
      <c r="D395" s="33">
        <v>4.00502</v>
      </c>
      <c r="E395" s="33">
        <v>-73.779210000000006</v>
      </c>
      <c r="F395" s="29" t="s">
        <v>8090</v>
      </c>
      <c r="G395" s="29" t="s">
        <v>8090</v>
      </c>
      <c r="H395" s="35" t="s">
        <v>8091</v>
      </c>
      <c r="I395" s="29"/>
      <c r="J395" s="29"/>
      <c r="K395" s="37">
        <v>1</v>
      </c>
    </row>
    <row r="396" spans="1:11">
      <c r="A396" s="31">
        <v>396</v>
      </c>
      <c r="B396" s="29" t="s">
        <v>8363</v>
      </c>
      <c r="C396" s="29" t="s">
        <v>8364</v>
      </c>
      <c r="D396" s="33">
        <v>0.83831</v>
      </c>
      <c r="E396" s="33">
        <v>-77.616919999999993</v>
      </c>
      <c r="F396" s="29" t="s">
        <v>8090</v>
      </c>
      <c r="G396" s="29" t="s">
        <v>8090</v>
      </c>
      <c r="H396" s="35" t="s">
        <v>8091</v>
      </c>
      <c r="I396" s="29"/>
      <c r="J396" s="29"/>
      <c r="K396" s="37">
        <v>1</v>
      </c>
    </row>
    <row r="397" spans="1:11">
      <c r="A397" s="31">
        <v>397</v>
      </c>
      <c r="B397" s="29" t="s">
        <v>8665</v>
      </c>
      <c r="C397" s="29" t="s">
        <v>8666</v>
      </c>
      <c r="D397" s="33">
        <v>1.2137800000000001</v>
      </c>
      <c r="E397" s="33">
        <v>-76.908249999999995</v>
      </c>
      <c r="F397" s="29" t="s">
        <v>8090</v>
      </c>
      <c r="G397" s="29" t="s">
        <v>8090</v>
      </c>
      <c r="H397" s="35" t="s">
        <v>8091</v>
      </c>
      <c r="I397" s="29"/>
      <c r="J397" s="29" t="s">
        <v>8667</v>
      </c>
      <c r="K397" s="37">
        <v>0</v>
      </c>
    </row>
    <row r="398" spans="1:11">
      <c r="A398" s="31">
        <v>398</v>
      </c>
      <c r="B398" s="29" t="s">
        <v>8668</v>
      </c>
      <c r="C398" s="29" t="s">
        <v>8669</v>
      </c>
      <c r="D398" s="33">
        <v>1.1157600000000001</v>
      </c>
      <c r="E398" s="33">
        <v>-76.970100000000002</v>
      </c>
      <c r="F398" s="29" t="s">
        <v>8090</v>
      </c>
      <c r="G398" s="29" t="s">
        <v>8090</v>
      </c>
      <c r="H398" s="35" t="s">
        <v>8091</v>
      </c>
      <c r="I398" s="29"/>
      <c r="J398" s="29" t="s">
        <v>8670</v>
      </c>
      <c r="K398" s="37">
        <v>0</v>
      </c>
    </row>
    <row r="399" spans="1:11">
      <c r="A399" s="31">
        <v>399</v>
      </c>
      <c r="B399" s="29" t="s">
        <v>8671</v>
      </c>
      <c r="C399" s="29" t="s">
        <v>8672</v>
      </c>
      <c r="D399" s="33">
        <v>4.6871799999999997</v>
      </c>
      <c r="E399" s="33">
        <v>-75.617509999999996</v>
      </c>
      <c r="F399" s="29" t="s">
        <v>8090</v>
      </c>
      <c r="G399" s="29" t="s">
        <v>8090</v>
      </c>
      <c r="H399" s="35" t="s">
        <v>8091</v>
      </c>
      <c r="I399" s="29"/>
      <c r="J399" s="29" t="s">
        <v>8673</v>
      </c>
      <c r="K399" s="37">
        <v>0</v>
      </c>
    </row>
    <row r="400" spans="1:11">
      <c r="A400" s="31">
        <v>400</v>
      </c>
      <c r="B400" s="29" t="s">
        <v>8671</v>
      </c>
      <c r="C400" s="29" t="s">
        <v>8672</v>
      </c>
      <c r="D400" s="33">
        <v>4.6871799999999997</v>
      </c>
      <c r="E400" s="33">
        <v>-75.617509999999996</v>
      </c>
      <c r="F400" s="29" t="s">
        <v>8090</v>
      </c>
      <c r="G400" s="29" t="s">
        <v>8090</v>
      </c>
      <c r="H400" s="35" t="s">
        <v>8091</v>
      </c>
      <c r="I400" s="29"/>
      <c r="J400" s="29"/>
      <c r="K400" s="37">
        <v>1</v>
      </c>
    </row>
    <row r="401" spans="1:11">
      <c r="A401" s="31">
        <v>401</v>
      </c>
      <c r="B401" s="29" t="s">
        <v>8674</v>
      </c>
      <c r="C401" s="29" t="s">
        <v>8675</v>
      </c>
      <c r="D401" s="33">
        <v>4.3171400000000002</v>
      </c>
      <c r="E401" s="33">
        <v>-75.726060000000004</v>
      </c>
      <c r="F401" s="29" t="s">
        <v>8090</v>
      </c>
      <c r="G401" s="29" t="s">
        <v>8090</v>
      </c>
      <c r="H401" s="35" t="s">
        <v>8091</v>
      </c>
      <c r="I401" s="29"/>
      <c r="J401" s="29" t="s">
        <v>8676</v>
      </c>
      <c r="K401" s="37">
        <v>0</v>
      </c>
    </row>
    <row r="402" spans="1:11">
      <c r="A402" s="31">
        <v>402</v>
      </c>
      <c r="B402" s="29" t="s">
        <v>8677</v>
      </c>
      <c r="C402" s="29" t="s">
        <v>8678</v>
      </c>
      <c r="D402" s="33">
        <v>4.2267200000000003</v>
      </c>
      <c r="E402" s="33">
        <v>-75.703119999999998</v>
      </c>
      <c r="F402" s="29" t="s">
        <v>8090</v>
      </c>
      <c r="G402" s="29" t="s">
        <v>8090</v>
      </c>
      <c r="H402" s="35" t="s">
        <v>8091</v>
      </c>
      <c r="I402" s="29"/>
      <c r="J402" s="29" t="s">
        <v>8679</v>
      </c>
      <c r="K402" s="37">
        <v>0</v>
      </c>
    </row>
    <row r="403" spans="1:11">
      <c r="A403" s="31">
        <v>403</v>
      </c>
      <c r="B403" s="29" t="s">
        <v>8680</v>
      </c>
      <c r="C403" s="29" t="s">
        <v>8681</v>
      </c>
      <c r="D403" s="33">
        <v>4.6252899999999997</v>
      </c>
      <c r="E403" s="33">
        <v>-75.453090000000003</v>
      </c>
      <c r="F403" s="29" t="s">
        <v>8090</v>
      </c>
      <c r="G403" s="29" t="s">
        <v>8090</v>
      </c>
      <c r="H403" s="35" t="s">
        <v>8091</v>
      </c>
      <c r="I403" s="29"/>
      <c r="J403" s="29" t="s">
        <v>8682</v>
      </c>
      <c r="K403" s="37">
        <v>0</v>
      </c>
    </row>
    <row r="404" spans="1:11">
      <c r="A404" s="31">
        <v>404</v>
      </c>
      <c r="B404" s="29" t="s">
        <v>8680</v>
      </c>
      <c r="C404" s="29" t="s">
        <v>8681</v>
      </c>
      <c r="D404" s="33">
        <v>4.6252899999999997</v>
      </c>
      <c r="E404" s="33">
        <v>-75.453090000000003</v>
      </c>
      <c r="F404" s="29" t="s">
        <v>8090</v>
      </c>
      <c r="G404" s="29" t="s">
        <v>8090</v>
      </c>
      <c r="H404" s="35" t="s">
        <v>8091</v>
      </c>
      <c r="I404" s="29"/>
      <c r="J404" s="29"/>
      <c r="K404" s="37">
        <v>1</v>
      </c>
    </row>
    <row r="405" spans="1:11">
      <c r="A405" s="31">
        <v>405</v>
      </c>
      <c r="B405" s="29" t="s">
        <v>8683</v>
      </c>
      <c r="C405" s="29" t="s">
        <v>8684</v>
      </c>
      <c r="D405" s="33">
        <v>4.4564000000000004</v>
      </c>
      <c r="E405" s="33">
        <v>-75.619630000000001</v>
      </c>
      <c r="F405" s="29" t="s">
        <v>8090</v>
      </c>
      <c r="G405" s="29" t="s">
        <v>8090</v>
      </c>
      <c r="H405" s="35" t="s">
        <v>8091</v>
      </c>
      <c r="I405" s="29"/>
      <c r="J405" s="29" t="s">
        <v>8685</v>
      </c>
      <c r="K405" s="37">
        <v>0</v>
      </c>
    </row>
    <row r="406" spans="1:11">
      <c r="A406" s="31">
        <v>406</v>
      </c>
      <c r="B406" s="29" t="s">
        <v>8686</v>
      </c>
      <c r="C406" s="29" t="s">
        <v>8687</v>
      </c>
      <c r="D406" s="33">
        <v>4.1099800000000002</v>
      </c>
      <c r="E406" s="33">
        <v>-75.808610000000002</v>
      </c>
      <c r="F406" s="29" t="s">
        <v>8090</v>
      </c>
      <c r="G406" s="29" t="s">
        <v>8090</v>
      </c>
      <c r="H406" s="35" t="s">
        <v>8091</v>
      </c>
      <c r="I406" s="29"/>
      <c r="J406" s="29" t="s">
        <v>8688</v>
      </c>
      <c r="K406" s="37">
        <v>0</v>
      </c>
    </row>
    <row r="407" spans="1:11">
      <c r="A407" s="31">
        <v>407</v>
      </c>
      <c r="B407" s="29" t="s">
        <v>2079</v>
      </c>
      <c r="C407" s="29" t="s">
        <v>2080</v>
      </c>
      <c r="D407" s="33">
        <v>4.6414999999999997</v>
      </c>
      <c r="E407" s="33">
        <v>-75.486777799999999</v>
      </c>
      <c r="F407" s="29" t="s">
        <v>8090</v>
      </c>
      <c r="G407" s="29" t="s">
        <v>8090</v>
      </c>
      <c r="H407" s="35" t="s">
        <v>8091</v>
      </c>
      <c r="I407" s="29"/>
      <c r="J407" s="29"/>
      <c r="K407" s="37">
        <v>1</v>
      </c>
    </row>
    <row r="408" spans="1:11">
      <c r="A408" s="31">
        <v>408</v>
      </c>
      <c r="B408" s="29" t="s">
        <v>8296</v>
      </c>
      <c r="C408" s="29" t="s">
        <v>8297</v>
      </c>
      <c r="D408" s="33">
        <v>4.6857300000000004</v>
      </c>
      <c r="E408" s="33">
        <v>-75.578029999999998</v>
      </c>
      <c r="F408" s="29" t="s">
        <v>8090</v>
      </c>
      <c r="G408" s="29" t="s">
        <v>8090</v>
      </c>
      <c r="H408" s="35" t="s">
        <v>8091</v>
      </c>
      <c r="I408" s="29"/>
      <c r="J408" s="29"/>
      <c r="K408" s="37">
        <v>1</v>
      </c>
    </row>
    <row r="409" spans="1:11">
      <c r="A409" s="31">
        <v>409</v>
      </c>
      <c r="B409" s="29" t="s">
        <v>2079</v>
      </c>
      <c r="C409" s="29" t="s">
        <v>2080</v>
      </c>
      <c r="D409" s="33">
        <v>4.6414999999999997</v>
      </c>
      <c r="E409" s="33">
        <v>-75.486777799999999</v>
      </c>
      <c r="F409" s="29" t="s">
        <v>8090</v>
      </c>
      <c r="G409" s="29" t="s">
        <v>8090</v>
      </c>
      <c r="H409" s="35" t="s">
        <v>8091</v>
      </c>
      <c r="I409" s="29"/>
      <c r="J409" s="29"/>
      <c r="K409" s="37">
        <v>1</v>
      </c>
    </row>
    <row r="410" spans="1:11">
      <c r="A410" s="31">
        <v>410</v>
      </c>
      <c r="B410" s="29" t="s">
        <v>8479</v>
      </c>
      <c r="C410" s="29" t="s">
        <v>8480</v>
      </c>
      <c r="D410" s="33">
        <v>5.1285999999999996</v>
      </c>
      <c r="E410" s="33">
        <v>-76.048439999999999</v>
      </c>
      <c r="F410" s="29" t="s">
        <v>8090</v>
      </c>
      <c r="G410" s="29" t="s">
        <v>8090</v>
      </c>
      <c r="H410" s="35" t="s">
        <v>8091</v>
      </c>
      <c r="I410" s="29"/>
      <c r="J410" s="29"/>
      <c r="K410" s="37">
        <v>1</v>
      </c>
    </row>
    <row r="411" spans="1:11">
      <c r="A411" s="31">
        <v>411</v>
      </c>
      <c r="B411" s="29" t="s">
        <v>8689</v>
      </c>
      <c r="C411" s="29" t="s">
        <v>8690</v>
      </c>
      <c r="D411" s="33">
        <v>5.1504300000000001</v>
      </c>
      <c r="E411" s="33">
        <v>-76.021590000000003</v>
      </c>
      <c r="F411" s="29" t="s">
        <v>8090</v>
      </c>
      <c r="G411" s="29" t="s">
        <v>8090</v>
      </c>
      <c r="H411" s="35" t="s">
        <v>8091</v>
      </c>
      <c r="I411" s="29"/>
      <c r="J411" s="29" t="s">
        <v>8691</v>
      </c>
      <c r="K411" s="37">
        <v>0</v>
      </c>
    </row>
    <row r="412" spans="1:11">
      <c r="A412" s="31">
        <v>412</v>
      </c>
      <c r="B412" s="29" t="s">
        <v>8692</v>
      </c>
      <c r="C412" s="29" t="s">
        <v>8693</v>
      </c>
      <c r="D412" s="33">
        <v>4.7076700000000002</v>
      </c>
      <c r="E412" s="33">
        <v>-75.492909999999995</v>
      </c>
      <c r="F412" s="29" t="s">
        <v>8090</v>
      </c>
      <c r="G412" s="29" t="s">
        <v>8090</v>
      </c>
      <c r="H412" s="35" t="s">
        <v>8091</v>
      </c>
      <c r="I412" s="29"/>
      <c r="J412" s="29" t="s">
        <v>8694</v>
      </c>
      <c r="K412" s="37">
        <v>0</v>
      </c>
    </row>
    <row r="413" spans="1:11">
      <c r="A413" s="31">
        <v>413</v>
      </c>
      <c r="B413" s="29" t="s">
        <v>8692</v>
      </c>
      <c r="C413" s="29" t="s">
        <v>8693</v>
      </c>
      <c r="D413" s="33">
        <v>4.7076700000000002</v>
      </c>
      <c r="E413" s="33">
        <v>-75.492909999999995</v>
      </c>
      <c r="F413" s="29" t="s">
        <v>8090</v>
      </c>
      <c r="G413" s="29" t="s">
        <v>8090</v>
      </c>
      <c r="H413" s="35" t="s">
        <v>8091</v>
      </c>
      <c r="I413" s="29"/>
      <c r="J413" s="29"/>
      <c r="K413" s="37">
        <v>1</v>
      </c>
    </row>
    <row r="414" spans="1:11">
      <c r="A414" s="31">
        <v>414</v>
      </c>
      <c r="B414" s="29" t="s">
        <v>8163</v>
      </c>
      <c r="C414" s="29" t="s">
        <v>8164</v>
      </c>
      <c r="D414" s="33">
        <v>4.72879</v>
      </c>
      <c r="E414" s="33">
        <v>-75.5779</v>
      </c>
      <c r="F414" s="29" t="s">
        <v>8090</v>
      </c>
      <c r="G414" s="29" t="s">
        <v>8090</v>
      </c>
      <c r="H414" s="35" t="s">
        <v>8091</v>
      </c>
      <c r="I414" s="29"/>
      <c r="J414" s="29"/>
      <c r="K414" s="37">
        <v>1</v>
      </c>
    </row>
    <row r="415" spans="1:11">
      <c r="A415" s="31">
        <v>415</v>
      </c>
      <c r="B415" s="29" t="s">
        <v>8692</v>
      </c>
      <c r="C415" s="29" t="s">
        <v>8693</v>
      </c>
      <c r="D415" s="33">
        <v>4.7076700000000002</v>
      </c>
      <c r="E415" s="33">
        <v>-75.492909999999995</v>
      </c>
      <c r="F415" s="29" t="s">
        <v>8090</v>
      </c>
      <c r="G415" s="29" t="s">
        <v>8090</v>
      </c>
      <c r="H415" s="35" t="s">
        <v>8091</v>
      </c>
      <c r="I415" s="29"/>
      <c r="J415" s="29"/>
      <c r="K415" s="37">
        <v>1</v>
      </c>
    </row>
    <row r="416" spans="1:11">
      <c r="A416" s="31">
        <v>416</v>
      </c>
      <c r="B416" s="29" t="s">
        <v>8163</v>
      </c>
      <c r="C416" s="29" t="s">
        <v>8164</v>
      </c>
      <c r="D416" s="33">
        <v>4.72879</v>
      </c>
      <c r="E416" s="33">
        <v>-75.5779</v>
      </c>
      <c r="F416" s="29" t="s">
        <v>8090</v>
      </c>
      <c r="G416" s="29" t="s">
        <v>8090</v>
      </c>
      <c r="H416" s="35" t="s">
        <v>8091</v>
      </c>
      <c r="I416" s="29"/>
      <c r="J416" s="29"/>
      <c r="K416" s="37">
        <v>1</v>
      </c>
    </row>
    <row r="417" spans="1:11">
      <c r="A417" s="31">
        <v>417</v>
      </c>
      <c r="B417" s="29" t="s">
        <v>8695</v>
      </c>
      <c r="C417" s="29" t="s">
        <v>8696</v>
      </c>
      <c r="D417" s="33">
        <v>4.8191499999999996</v>
      </c>
      <c r="E417" s="33">
        <v>-75.545216670000002</v>
      </c>
      <c r="F417" s="29" t="s">
        <v>8090</v>
      </c>
      <c r="G417" s="29" t="s">
        <v>8090</v>
      </c>
      <c r="H417" s="35" t="s">
        <v>8091</v>
      </c>
      <c r="I417" s="29"/>
      <c r="J417" s="29" t="s">
        <v>8697</v>
      </c>
      <c r="K417" s="37">
        <v>0</v>
      </c>
    </row>
    <row r="418" spans="1:11">
      <c r="A418" s="31">
        <v>418</v>
      </c>
      <c r="B418" s="29" t="s">
        <v>8698</v>
      </c>
      <c r="C418" s="29" t="s">
        <v>8699</v>
      </c>
      <c r="D418" s="33">
        <v>4.8134166670000003</v>
      </c>
      <c r="E418" s="33">
        <v>-75.532716669999999</v>
      </c>
      <c r="F418" s="29" t="s">
        <v>8090</v>
      </c>
      <c r="G418" s="29" t="s">
        <v>8090</v>
      </c>
      <c r="H418" s="35" t="s">
        <v>8091</v>
      </c>
      <c r="I418" s="29"/>
      <c r="J418" s="29" t="s">
        <v>8700</v>
      </c>
      <c r="K418" s="37">
        <v>0</v>
      </c>
    </row>
    <row r="419" spans="1:11">
      <c r="A419" s="31">
        <v>419</v>
      </c>
      <c r="B419" s="29" t="s">
        <v>8698</v>
      </c>
      <c r="C419" s="29" t="s">
        <v>8699</v>
      </c>
      <c r="D419" s="33">
        <v>4.8134166670000003</v>
      </c>
      <c r="E419" s="33">
        <v>-75.532716669999999</v>
      </c>
      <c r="F419" s="29" t="s">
        <v>8090</v>
      </c>
      <c r="G419" s="29" t="s">
        <v>8090</v>
      </c>
      <c r="H419" s="35" t="s">
        <v>8091</v>
      </c>
      <c r="I419" s="29"/>
      <c r="J419" s="29"/>
      <c r="K419" s="37">
        <v>1</v>
      </c>
    </row>
    <row r="420" spans="1:11">
      <c r="A420" s="31">
        <v>420</v>
      </c>
      <c r="B420" s="29" t="s">
        <v>8701</v>
      </c>
      <c r="C420" s="29" t="s">
        <v>8702</v>
      </c>
      <c r="D420" s="33">
        <v>5.1244243999999997</v>
      </c>
      <c r="E420" s="33">
        <v>-76.041665399999999</v>
      </c>
      <c r="F420" s="29" t="s">
        <v>8090</v>
      </c>
      <c r="G420" s="29" t="s">
        <v>8090</v>
      </c>
      <c r="H420" s="35" t="s">
        <v>8091</v>
      </c>
      <c r="I420" s="29"/>
      <c r="J420" s="29" t="s">
        <v>8703</v>
      </c>
      <c r="K420" s="37">
        <v>0</v>
      </c>
    </row>
    <row r="421" spans="1:11">
      <c r="A421" s="31">
        <v>421</v>
      </c>
      <c r="B421" s="29" t="s">
        <v>8163</v>
      </c>
      <c r="C421" s="29" t="s">
        <v>8164</v>
      </c>
      <c r="D421" s="33">
        <v>4.72879</v>
      </c>
      <c r="E421" s="33">
        <v>-75.5779</v>
      </c>
      <c r="F421" s="29" t="s">
        <v>8090</v>
      </c>
      <c r="G421" s="29" t="s">
        <v>8090</v>
      </c>
      <c r="H421" s="35" t="s">
        <v>8091</v>
      </c>
      <c r="I421" s="29"/>
      <c r="J421" s="29"/>
      <c r="K421" s="37">
        <v>1</v>
      </c>
    </row>
    <row r="422" spans="1:11">
      <c r="A422" s="31">
        <v>422</v>
      </c>
      <c r="B422" s="29" t="s">
        <v>8163</v>
      </c>
      <c r="C422" s="29" t="s">
        <v>8164</v>
      </c>
      <c r="D422" s="33">
        <v>4.72879</v>
      </c>
      <c r="E422" s="33">
        <v>-75.5779</v>
      </c>
      <c r="F422" s="29" t="s">
        <v>8090</v>
      </c>
      <c r="G422" s="29" t="s">
        <v>8090</v>
      </c>
      <c r="H422" s="35" t="s">
        <v>8091</v>
      </c>
      <c r="I422" s="29"/>
      <c r="J422" s="29"/>
      <c r="K422" s="37">
        <v>1</v>
      </c>
    </row>
    <row r="423" spans="1:11">
      <c r="A423" s="31">
        <v>423</v>
      </c>
      <c r="B423" s="29" t="s">
        <v>8482</v>
      </c>
      <c r="C423" s="29" t="s">
        <v>8483</v>
      </c>
      <c r="D423" s="33">
        <v>5.1208051000000001</v>
      </c>
      <c r="E423" s="33">
        <v>-76.059453199999993</v>
      </c>
      <c r="F423" s="29" t="s">
        <v>8090</v>
      </c>
      <c r="G423" s="29" t="s">
        <v>8090</v>
      </c>
      <c r="H423" s="35" t="s">
        <v>8091</v>
      </c>
      <c r="I423" s="29"/>
      <c r="J423" s="29"/>
      <c r="K423" s="37">
        <v>1</v>
      </c>
    </row>
    <row r="424" spans="1:11">
      <c r="A424" s="31">
        <v>424</v>
      </c>
      <c r="B424" s="29" t="s">
        <v>8704</v>
      </c>
      <c r="C424" s="29" t="s">
        <v>8705</v>
      </c>
      <c r="D424" s="33">
        <v>5.1225912999999998</v>
      </c>
      <c r="E424" s="33">
        <v>-76.045968400000007</v>
      </c>
      <c r="F424" s="29" t="s">
        <v>8090</v>
      </c>
      <c r="G424" s="29" t="s">
        <v>8090</v>
      </c>
      <c r="H424" s="35" t="s">
        <v>8091</v>
      </c>
      <c r="I424" s="29"/>
      <c r="J424" s="29" t="s">
        <v>8706</v>
      </c>
      <c r="K424" s="37">
        <v>0</v>
      </c>
    </row>
    <row r="425" spans="1:11">
      <c r="A425" s="31">
        <v>425</v>
      </c>
      <c r="B425" s="29" t="s">
        <v>8707</v>
      </c>
      <c r="C425" s="29" t="s">
        <v>8708</v>
      </c>
      <c r="D425" s="33">
        <v>6.3198699999999999</v>
      </c>
      <c r="E425" s="33">
        <v>-73.885490000000004</v>
      </c>
      <c r="F425" s="29" t="s">
        <v>8090</v>
      </c>
      <c r="G425" s="29" t="s">
        <v>8090</v>
      </c>
      <c r="H425" s="35" t="s">
        <v>8091</v>
      </c>
      <c r="I425" s="29"/>
      <c r="J425" s="29" t="s">
        <v>8709</v>
      </c>
      <c r="K425" s="37">
        <v>0</v>
      </c>
    </row>
    <row r="426" spans="1:11">
      <c r="A426" s="31">
        <v>426</v>
      </c>
      <c r="B426" s="29" t="s">
        <v>8710</v>
      </c>
      <c r="C426" s="29" t="s">
        <v>8711</v>
      </c>
      <c r="D426" s="33">
        <v>6.1062900000000004</v>
      </c>
      <c r="E426" s="33">
        <v>-73.197119999999998</v>
      </c>
      <c r="F426" s="29" t="s">
        <v>8090</v>
      </c>
      <c r="G426" s="29" t="s">
        <v>8090</v>
      </c>
      <c r="H426" s="35" t="s">
        <v>8091</v>
      </c>
      <c r="I426" s="29"/>
      <c r="J426" s="29" t="s">
        <v>8712</v>
      </c>
      <c r="K426" s="37">
        <v>0</v>
      </c>
    </row>
    <row r="427" spans="1:11">
      <c r="A427" s="31">
        <v>427</v>
      </c>
      <c r="B427" s="29" t="s">
        <v>8713</v>
      </c>
      <c r="C427" s="29" t="s">
        <v>8714</v>
      </c>
      <c r="D427" s="33">
        <v>7.2782799999999996</v>
      </c>
      <c r="E427" s="33">
        <v>-72.967309999999998</v>
      </c>
      <c r="F427" s="29" t="s">
        <v>8090</v>
      </c>
      <c r="G427" s="29" t="s">
        <v>8090</v>
      </c>
      <c r="H427" s="35" t="s">
        <v>8091</v>
      </c>
      <c r="I427" s="29"/>
      <c r="J427" s="29" t="s">
        <v>8715</v>
      </c>
      <c r="K427" s="37">
        <v>0</v>
      </c>
    </row>
    <row r="428" spans="1:11">
      <c r="A428" s="31">
        <v>428</v>
      </c>
      <c r="B428" s="29" t="s">
        <v>3214</v>
      </c>
      <c r="C428" s="29" t="s">
        <v>3215</v>
      </c>
      <c r="D428" s="33">
        <v>6.0166667</v>
      </c>
      <c r="E428" s="33">
        <v>-73.150000000000006</v>
      </c>
      <c r="F428" s="29" t="s">
        <v>8090</v>
      </c>
      <c r="G428" s="29" t="s">
        <v>8090</v>
      </c>
      <c r="H428" s="35" t="s">
        <v>8091</v>
      </c>
      <c r="I428" s="29"/>
      <c r="J428" s="29" t="s">
        <v>8716</v>
      </c>
      <c r="K428" s="37">
        <v>0</v>
      </c>
    </row>
    <row r="429" spans="1:11">
      <c r="A429" s="31">
        <v>429</v>
      </c>
      <c r="B429" s="29" t="s">
        <v>8717</v>
      </c>
      <c r="C429" s="29" t="s">
        <v>8718</v>
      </c>
      <c r="D429" s="33">
        <v>4.7154400000000001</v>
      </c>
      <c r="E429" s="33">
        <v>-75.136899999999997</v>
      </c>
      <c r="F429" s="29" t="s">
        <v>8090</v>
      </c>
      <c r="G429" s="29" t="s">
        <v>8090</v>
      </c>
      <c r="H429" s="35" t="s">
        <v>8091</v>
      </c>
      <c r="I429" s="29"/>
      <c r="J429" s="29" t="s">
        <v>8719</v>
      </c>
      <c r="K429" s="37">
        <v>0</v>
      </c>
    </row>
    <row r="430" spans="1:11">
      <c r="A430" s="31">
        <v>430</v>
      </c>
      <c r="B430" s="29" t="s">
        <v>8720</v>
      </c>
      <c r="C430" s="29" t="s">
        <v>8721</v>
      </c>
      <c r="D430" s="33">
        <v>4.7177100000000003</v>
      </c>
      <c r="E430" s="33">
        <v>-75.104140000000001</v>
      </c>
      <c r="F430" s="29" t="s">
        <v>8090</v>
      </c>
      <c r="G430" s="29" t="s">
        <v>8090</v>
      </c>
      <c r="H430" s="35" t="s">
        <v>8091</v>
      </c>
      <c r="I430" s="29"/>
      <c r="J430" s="29" t="s">
        <v>8722</v>
      </c>
      <c r="K430" s="37">
        <v>0</v>
      </c>
    </row>
    <row r="431" spans="1:11">
      <c r="A431" s="31">
        <v>431</v>
      </c>
      <c r="B431" s="29" t="s">
        <v>8720</v>
      </c>
      <c r="C431" s="29" t="s">
        <v>8721</v>
      </c>
      <c r="D431" s="33">
        <v>4.7177100000000003</v>
      </c>
      <c r="E431" s="33">
        <v>-75.104140000000001</v>
      </c>
      <c r="F431" s="29" t="s">
        <v>8090</v>
      </c>
      <c r="G431" s="29" t="s">
        <v>8090</v>
      </c>
      <c r="H431" s="35" t="s">
        <v>8091</v>
      </c>
      <c r="I431" s="29"/>
      <c r="J431" s="29"/>
      <c r="K431" s="37">
        <v>1</v>
      </c>
    </row>
    <row r="432" spans="1:11">
      <c r="A432" s="31">
        <v>432</v>
      </c>
      <c r="B432" s="29" t="s">
        <v>8723</v>
      </c>
      <c r="C432" s="29" t="s">
        <v>8724</v>
      </c>
      <c r="D432" s="33">
        <v>4.8928500000000001</v>
      </c>
      <c r="E432" s="33">
        <v>-75.127200000000002</v>
      </c>
      <c r="F432" s="29" t="s">
        <v>8090</v>
      </c>
      <c r="G432" s="29" t="s">
        <v>8090</v>
      </c>
      <c r="H432" s="35" t="s">
        <v>8091</v>
      </c>
      <c r="I432" s="29"/>
      <c r="J432" s="29" t="s">
        <v>8725</v>
      </c>
      <c r="K432" s="37">
        <v>0</v>
      </c>
    </row>
    <row r="433" spans="1:11">
      <c r="A433" s="31">
        <v>433</v>
      </c>
      <c r="B433" s="29" t="s">
        <v>8160</v>
      </c>
      <c r="C433" s="29" t="s">
        <v>8161</v>
      </c>
      <c r="D433" s="33">
        <v>4.5583499999999999</v>
      </c>
      <c r="E433" s="33">
        <v>-75.320210000000003</v>
      </c>
      <c r="F433" s="29" t="s">
        <v>8090</v>
      </c>
      <c r="G433" s="29" t="s">
        <v>8090</v>
      </c>
      <c r="H433" s="35" t="s">
        <v>8091</v>
      </c>
      <c r="I433" s="29"/>
      <c r="J433" s="29"/>
      <c r="K433" s="37">
        <v>1</v>
      </c>
    </row>
    <row r="434" spans="1:11">
      <c r="A434" s="31">
        <v>434</v>
      </c>
      <c r="B434" s="29" t="s">
        <v>8160</v>
      </c>
      <c r="C434" s="29" t="s">
        <v>8161</v>
      </c>
      <c r="D434" s="33">
        <v>4.5583499999999999</v>
      </c>
      <c r="E434" s="33">
        <v>-75.320210000000003</v>
      </c>
      <c r="F434" s="29" t="s">
        <v>8090</v>
      </c>
      <c r="G434" s="29" t="s">
        <v>8090</v>
      </c>
      <c r="H434" s="35" t="s">
        <v>8091</v>
      </c>
      <c r="I434" s="29"/>
      <c r="J434" s="29"/>
      <c r="K434" s="37">
        <v>1</v>
      </c>
    </row>
    <row r="435" spans="1:11">
      <c r="A435" s="31">
        <v>435</v>
      </c>
      <c r="B435" s="29" t="s">
        <v>8726</v>
      </c>
      <c r="C435" s="29" t="s">
        <v>8727</v>
      </c>
      <c r="D435" s="33">
        <v>3.43452</v>
      </c>
      <c r="E435" s="33">
        <v>-76.602419999999995</v>
      </c>
      <c r="F435" s="29" t="s">
        <v>8090</v>
      </c>
      <c r="G435" s="29" t="s">
        <v>8090</v>
      </c>
      <c r="H435" s="35" t="s">
        <v>8091</v>
      </c>
      <c r="I435" s="29"/>
      <c r="J435" s="29" t="s">
        <v>8728</v>
      </c>
      <c r="K435" s="37">
        <v>0</v>
      </c>
    </row>
    <row r="436" spans="1:11">
      <c r="A436" s="31">
        <v>436</v>
      </c>
      <c r="B436" s="29" t="s">
        <v>3260</v>
      </c>
      <c r="C436" s="29" t="s">
        <v>3261</v>
      </c>
      <c r="D436" s="33">
        <v>3.5</v>
      </c>
      <c r="E436" s="33">
        <v>-76.866666699999996</v>
      </c>
      <c r="F436" s="29" t="s">
        <v>8090</v>
      </c>
      <c r="G436" s="29" t="s">
        <v>8090</v>
      </c>
      <c r="H436" s="35" t="s">
        <v>8091</v>
      </c>
      <c r="I436" s="29"/>
      <c r="J436" s="29" t="s">
        <v>8729</v>
      </c>
      <c r="K436" s="37">
        <v>0</v>
      </c>
    </row>
    <row r="437" spans="1:11">
      <c r="A437" s="31">
        <v>437</v>
      </c>
      <c r="B437" s="29" t="s">
        <v>8730</v>
      </c>
      <c r="C437" s="29" t="s">
        <v>8731</v>
      </c>
      <c r="D437" s="33">
        <v>3.4614400000000001</v>
      </c>
      <c r="E437" s="33">
        <v>-76.637479999999996</v>
      </c>
      <c r="F437" s="29" t="s">
        <v>8090</v>
      </c>
      <c r="G437" s="29" t="s">
        <v>8090</v>
      </c>
      <c r="H437" s="35" t="s">
        <v>8091</v>
      </c>
      <c r="I437" s="29"/>
      <c r="J437" s="29" t="s">
        <v>8732</v>
      </c>
      <c r="K437" s="37">
        <v>0</v>
      </c>
    </row>
    <row r="438" spans="1:11">
      <c r="A438" s="31">
        <v>438</v>
      </c>
      <c r="B438" s="29" t="s">
        <v>8733</v>
      </c>
      <c r="C438" s="29" t="s">
        <v>8734</v>
      </c>
      <c r="D438" s="33">
        <v>3.7411400000000001</v>
      </c>
      <c r="E438" s="33">
        <v>-76.967410000000001</v>
      </c>
      <c r="F438" s="29" t="s">
        <v>8090</v>
      </c>
      <c r="G438" s="29" t="s">
        <v>8090</v>
      </c>
      <c r="H438" s="35" t="s">
        <v>8091</v>
      </c>
      <c r="I438" s="29"/>
      <c r="J438" s="29" t="s">
        <v>8735</v>
      </c>
      <c r="K438" s="37">
        <v>0</v>
      </c>
    </row>
    <row r="439" spans="1:11">
      <c r="A439" s="31">
        <v>439</v>
      </c>
      <c r="B439" s="29" t="s">
        <v>8736</v>
      </c>
      <c r="C439" s="29" t="s">
        <v>8737</v>
      </c>
      <c r="D439" s="33">
        <v>3.4358</v>
      </c>
      <c r="E439" s="33">
        <v>-76.640969999999996</v>
      </c>
      <c r="F439" s="29" t="s">
        <v>8090</v>
      </c>
      <c r="G439" s="29" t="s">
        <v>8090</v>
      </c>
      <c r="H439" s="35" t="s">
        <v>8091</v>
      </c>
      <c r="I439" s="29"/>
      <c r="J439" s="29" t="s">
        <v>8738</v>
      </c>
      <c r="K439" s="37">
        <v>0</v>
      </c>
    </row>
    <row r="440" spans="1:11">
      <c r="A440" s="31">
        <v>440</v>
      </c>
      <c r="B440" s="29" t="s">
        <v>8739</v>
      </c>
      <c r="C440" s="29" t="s">
        <v>8740</v>
      </c>
      <c r="D440" s="33">
        <v>3.5057900000000002</v>
      </c>
      <c r="E440" s="33">
        <v>-76.104259999999996</v>
      </c>
      <c r="F440" s="29" t="s">
        <v>8090</v>
      </c>
      <c r="G440" s="29" t="s">
        <v>8090</v>
      </c>
      <c r="H440" s="35" t="s">
        <v>8091</v>
      </c>
      <c r="I440" s="29"/>
      <c r="J440" s="29" t="s">
        <v>8741</v>
      </c>
      <c r="K440" s="37">
        <v>0</v>
      </c>
    </row>
    <row r="441" spans="1:11">
      <c r="A441" s="31">
        <v>441</v>
      </c>
      <c r="B441" s="29" t="s">
        <v>8742</v>
      </c>
      <c r="C441" s="29" t="s">
        <v>8743</v>
      </c>
      <c r="D441" s="33">
        <v>3.34415</v>
      </c>
      <c r="E441" s="33">
        <v>-76.695809999999994</v>
      </c>
      <c r="F441" s="29" t="s">
        <v>8090</v>
      </c>
      <c r="G441" s="29" t="s">
        <v>8090</v>
      </c>
      <c r="H441" s="35" t="s">
        <v>8091</v>
      </c>
      <c r="I441" s="29"/>
      <c r="J441" s="29" t="s">
        <v>8744</v>
      </c>
      <c r="K441" s="37">
        <v>0</v>
      </c>
    </row>
    <row r="442" spans="1:11">
      <c r="A442" s="31">
        <v>442</v>
      </c>
      <c r="B442" s="29" t="s">
        <v>8742</v>
      </c>
      <c r="C442" s="29" t="s">
        <v>8743</v>
      </c>
      <c r="D442" s="33">
        <v>3.34415</v>
      </c>
      <c r="E442" s="33">
        <v>-76.695809999999994</v>
      </c>
      <c r="F442" s="29" t="s">
        <v>8090</v>
      </c>
      <c r="G442" s="29" t="s">
        <v>8090</v>
      </c>
      <c r="H442" s="35" t="s">
        <v>8091</v>
      </c>
      <c r="I442" s="29"/>
      <c r="J442" s="29"/>
      <c r="K442" s="37">
        <v>1</v>
      </c>
    </row>
    <row r="443" spans="1:11">
      <c r="A443" s="31">
        <v>443</v>
      </c>
      <c r="B443" s="29" t="s">
        <v>2309</v>
      </c>
      <c r="C443" s="29" t="s">
        <v>2310</v>
      </c>
      <c r="D443" s="33">
        <v>5.6833333000000001</v>
      </c>
      <c r="E443" s="33">
        <v>-75.233333299999998</v>
      </c>
      <c r="F443" s="29" t="s">
        <v>8090</v>
      </c>
      <c r="G443" s="29" t="s">
        <v>8090</v>
      </c>
      <c r="H443" s="35" t="s">
        <v>8091</v>
      </c>
      <c r="I443" s="29"/>
      <c r="J443" s="29"/>
      <c r="K443" s="37">
        <v>1</v>
      </c>
    </row>
    <row r="444" spans="1:11">
      <c r="A444" s="31">
        <v>444</v>
      </c>
      <c r="B444" s="29" t="s">
        <v>3314</v>
      </c>
      <c r="C444" s="29" t="s">
        <v>3315</v>
      </c>
      <c r="D444" s="33">
        <v>6.9876667000000001</v>
      </c>
      <c r="E444" s="33">
        <v>-75.143222199999997</v>
      </c>
      <c r="F444" s="29" t="s">
        <v>8090</v>
      </c>
      <c r="G444" s="29" t="s">
        <v>8090</v>
      </c>
      <c r="H444" s="35" t="s">
        <v>8091</v>
      </c>
      <c r="I444" s="29"/>
      <c r="J444" s="29" t="s">
        <v>8745</v>
      </c>
      <c r="K444" s="37">
        <v>0</v>
      </c>
    </row>
    <row r="445" spans="1:11">
      <c r="A445" s="31">
        <v>445</v>
      </c>
      <c r="B445" s="29" t="s">
        <v>3327</v>
      </c>
      <c r="C445" s="29" t="s">
        <v>3328</v>
      </c>
      <c r="D445" s="33">
        <v>6.4627777999999996</v>
      </c>
      <c r="E445" s="33">
        <v>-75.556388900000002</v>
      </c>
      <c r="F445" s="29" t="s">
        <v>8090</v>
      </c>
      <c r="G445" s="29" t="s">
        <v>8090</v>
      </c>
      <c r="H445" s="35" t="s">
        <v>8091</v>
      </c>
      <c r="I445" s="29"/>
      <c r="J445" s="29" t="s">
        <v>8746</v>
      </c>
      <c r="K445" s="37">
        <v>0</v>
      </c>
    </row>
    <row r="446" spans="1:11">
      <c r="A446" s="31">
        <v>446</v>
      </c>
      <c r="B446" s="29" t="s">
        <v>8506</v>
      </c>
      <c r="C446" s="29" t="s">
        <v>8507</v>
      </c>
      <c r="D446" s="33">
        <v>6.3112199999999996</v>
      </c>
      <c r="E446" s="33">
        <v>-75.146090000000001</v>
      </c>
      <c r="F446" s="29" t="s">
        <v>8090</v>
      </c>
      <c r="G446" s="29" t="s">
        <v>8090</v>
      </c>
      <c r="H446" s="35" t="s">
        <v>8091</v>
      </c>
      <c r="I446" s="29"/>
      <c r="J446" s="29"/>
      <c r="K446" s="37">
        <v>1</v>
      </c>
    </row>
    <row r="447" spans="1:11">
      <c r="A447" s="31">
        <v>447</v>
      </c>
      <c r="B447" s="29" t="s">
        <v>3343</v>
      </c>
      <c r="C447" s="29" t="s">
        <v>3344</v>
      </c>
      <c r="D447" s="33">
        <v>6.1470000000000002</v>
      </c>
      <c r="E447" s="33">
        <v>-75.188000000000002</v>
      </c>
      <c r="F447" s="29" t="s">
        <v>8090</v>
      </c>
      <c r="G447" s="29" t="s">
        <v>8090</v>
      </c>
      <c r="H447" s="35" t="s">
        <v>8091</v>
      </c>
      <c r="I447" s="29"/>
      <c r="J447" s="29" t="s">
        <v>8747</v>
      </c>
      <c r="K447" s="37">
        <v>0</v>
      </c>
    </row>
    <row r="448" spans="1:11">
      <c r="A448" s="31">
        <v>448</v>
      </c>
      <c r="B448" s="29" t="s">
        <v>3343</v>
      </c>
      <c r="C448" s="29" t="s">
        <v>3344</v>
      </c>
      <c r="D448" s="33">
        <v>6.1470000000000002</v>
      </c>
      <c r="E448" s="33">
        <v>-75.188000000000002</v>
      </c>
      <c r="F448" s="29" t="s">
        <v>8090</v>
      </c>
      <c r="G448" s="29" t="s">
        <v>8090</v>
      </c>
      <c r="H448" s="35" t="s">
        <v>8091</v>
      </c>
      <c r="I448" s="29"/>
      <c r="J448" s="29"/>
      <c r="K448" s="37">
        <v>1</v>
      </c>
    </row>
    <row r="449" spans="1:11">
      <c r="A449" s="31">
        <v>449</v>
      </c>
      <c r="B449" s="29" t="s">
        <v>8748</v>
      </c>
      <c r="C449" s="29" t="s">
        <v>8749</v>
      </c>
      <c r="D449" s="33">
        <v>5.42103</v>
      </c>
      <c r="E449" s="33">
        <v>-73.544179999999997</v>
      </c>
      <c r="F449" s="29" t="s">
        <v>8090</v>
      </c>
      <c r="G449" s="29" t="s">
        <v>8090</v>
      </c>
      <c r="H449" s="35" t="s">
        <v>8091</v>
      </c>
      <c r="I449" s="29"/>
      <c r="J449" s="29" t="s">
        <v>8750</v>
      </c>
      <c r="K449" s="37">
        <v>0</v>
      </c>
    </row>
    <row r="450" spans="1:11">
      <c r="A450" s="31">
        <v>450</v>
      </c>
      <c r="B450" s="29" t="s">
        <v>8187</v>
      </c>
      <c r="C450" s="29" t="s">
        <v>8188</v>
      </c>
      <c r="D450" s="33">
        <v>6.17624</v>
      </c>
      <c r="E450" s="33">
        <v>-75.457849999999993</v>
      </c>
      <c r="F450" s="29" t="s">
        <v>8090</v>
      </c>
      <c r="G450" s="29" t="s">
        <v>8090</v>
      </c>
      <c r="H450" s="35" t="s">
        <v>8091</v>
      </c>
      <c r="I450" s="29"/>
      <c r="J450" s="29"/>
      <c r="K450" s="37">
        <v>1</v>
      </c>
    </row>
    <row r="451" spans="1:11">
      <c r="A451" s="31">
        <v>451</v>
      </c>
      <c r="B451" s="29" t="s">
        <v>8187</v>
      </c>
      <c r="C451" s="29" t="s">
        <v>8188</v>
      </c>
      <c r="D451" s="33">
        <v>6.17624</v>
      </c>
      <c r="E451" s="33">
        <v>-75.457849999999993</v>
      </c>
      <c r="F451" s="29" t="s">
        <v>8090</v>
      </c>
      <c r="G451" s="29" t="s">
        <v>8090</v>
      </c>
      <c r="H451" s="35" t="s">
        <v>8091</v>
      </c>
      <c r="I451" s="29"/>
      <c r="J451" s="29"/>
      <c r="K451" s="37">
        <v>1</v>
      </c>
    </row>
    <row r="452" spans="1:11">
      <c r="A452" s="31">
        <v>452</v>
      </c>
      <c r="B452" s="29" t="s">
        <v>8751</v>
      </c>
      <c r="C452" s="29" t="s">
        <v>8752</v>
      </c>
      <c r="D452" s="33">
        <v>4.1172199999999997</v>
      </c>
      <c r="E452" s="33">
        <v>-74.440619999999996</v>
      </c>
      <c r="F452" s="29" t="s">
        <v>8090</v>
      </c>
      <c r="G452" s="29" t="s">
        <v>8090</v>
      </c>
      <c r="H452" s="35" t="s">
        <v>8091</v>
      </c>
      <c r="I452" s="29"/>
      <c r="J452" s="29" t="s">
        <v>8753</v>
      </c>
      <c r="K452" s="37">
        <v>0</v>
      </c>
    </row>
    <row r="453" spans="1:11">
      <c r="A453" s="31">
        <v>453</v>
      </c>
      <c r="B453" s="29" t="s">
        <v>8506</v>
      </c>
      <c r="C453" s="29" t="s">
        <v>8507</v>
      </c>
      <c r="D453" s="33">
        <v>6.3112199999999996</v>
      </c>
      <c r="E453" s="33">
        <v>-75.146090000000001</v>
      </c>
      <c r="F453" s="29" t="s">
        <v>8090</v>
      </c>
      <c r="G453" s="29" t="s">
        <v>8090</v>
      </c>
      <c r="H453" s="35" t="s">
        <v>8091</v>
      </c>
      <c r="I453" s="29"/>
      <c r="J453" s="29"/>
      <c r="K453" s="37">
        <v>1</v>
      </c>
    </row>
    <row r="454" spans="1:11">
      <c r="A454" s="31">
        <v>454</v>
      </c>
      <c r="B454" s="29" t="s">
        <v>8506</v>
      </c>
      <c r="C454" s="29" t="s">
        <v>8507</v>
      </c>
      <c r="D454" s="33">
        <v>6.3112199999999996</v>
      </c>
      <c r="E454" s="33">
        <v>-75.146090000000001</v>
      </c>
      <c r="F454" s="29" t="s">
        <v>8090</v>
      </c>
      <c r="G454" s="29" t="s">
        <v>8090</v>
      </c>
      <c r="H454" s="35" t="s">
        <v>8091</v>
      </c>
      <c r="I454" s="29"/>
      <c r="J454" s="29"/>
      <c r="K454" s="37">
        <v>1</v>
      </c>
    </row>
    <row r="455" spans="1:11">
      <c r="A455" s="31">
        <v>455</v>
      </c>
      <c r="B455" s="29" t="s">
        <v>8506</v>
      </c>
      <c r="C455" s="29" t="s">
        <v>8507</v>
      </c>
      <c r="D455" s="33">
        <v>6.3112199999999996</v>
      </c>
      <c r="E455" s="33">
        <v>-75.146090000000001</v>
      </c>
      <c r="F455" s="29" t="s">
        <v>8090</v>
      </c>
      <c r="G455" s="29" t="s">
        <v>8090</v>
      </c>
      <c r="H455" s="35" t="s">
        <v>8091</v>
      </c>
      <c r="I455" s="29"/>
      <c r="J455" s="29"/>
      <c r="K455" s="37">
        <v>1</v>
      </c>
    </row>
    <row r="456" spans="1:11">
      <c r="A456" s="31">
        <v>456</v>
      </c>
      <c r="B456" s="29" t="s">
        <v>8754</v>
      </c>
      <c r="C456" s="29" t="s">
        <v>8755</v>
      </c>
      <c r="D456" s="33">
        <v>7.4399300000000004</v>
      </c>
      <c r="E456" s="33">
        <v>-72.450950000000006</v>
      </c>
      <c r="F456" s="29" t="s">
        <v>8090</v>
      </c>
      <c r="G456" s="29" t="s">
        <v>8090</v>
      </c>
      <c r="H456" s="35" t="s">
        <v>8091</v>
      </c>
      <c r="I456" s="29"/>
      <c r="J456" s="29" t="s">
        <v>8756</v>
      </c>
      <c r="K456" s="37">
        <v>0</v>
      </c>
    </row>
    <row r="457" spans="1:11">
      <c r="A457" s="31">
        <v>457</v>
      </c>
      <c r="B457" s="29" t="s">
        <v>8530</v>
      </c>
      <c r="C457" s="29" t="s">
        <v>8531</v>
      </c>
      <c r="D457" s="33">
        <v>6.2615299999999996</v>
      </c>
      <c r="E457" s="33">
        <v>-75.522369999999995</v>
      </c>
      <c r="F457" s="29" t="s">
        <v>8090</v>
      </c>
      <c r="G457" s="29" t="s">
        <v>8090</v>
      </c>
      <c r="H457" s="35" t="s">
        <v>8091</v>
      </c>
      <c r="I457" s="29"/>
      <c r="J457" s="29"/>
      <c r="K457" s="37">
        <v>1</v>
      </c>
    </row>
    <row r="458" spans="1:11">
      <c r="A458" s="31">
        <v>458</v>
      </c>
      <c r="B458" s="29" t="s">
        <v>8211</v>
      </c>
      <c r="C458" s="29" t="s">
        <v>8212</v>
      </c>
      <c r="D458" s="33">
        <v>5.9228800000000001</v>
      </c>
      <c r="E458" s="33">
        <v>-75.303579999999997</v>
      </c>
      <c r="F458" s="29" t="s">
        <v>8090</v>
      </c>
      <c r="G458" s="29" t="s">
        <v>8090</v>
      </c>
      <c r="H458" s="35" t="s">
        <v>8091</v>
      </c>
      <c r="I458" s="29"/>
      <c r="J458" s="29"/>
      <c r="K458" s="37">
        <v>1</v>
      </c>
    </row>
    <row r="459" spans="1:11">
      <c r="A459" s="31">
        <v>459</v>
      </c>
      <c r="B459" s="29" t="s">
        <v>8211</v>
      </c>
      <c r="C459" s="29" t="s">
        <v>8212</v>
      </c>
      <c r="D459" s="33">
        <v>5.9228800000000001</v>
      </c>
      <c r="E459" s="33">
        <v>-75.303579999999997</v>
      </c>
      <c r="F459" s="29" t="s">
        <v>8090</v>
      </c>
      <c r="G459" s="29" t="s">
        <v>8090</v>
      </c>
      <c r="H459" s="35" t="s">
        <v>8091</v>
      </c>
      <c r="I459" s="29"/>
      <c r="J459" s="29"/>
      <c r="K459" s="37">
        <v>1</v>
      </c>
    </row>
    <row r="460" spans="1:11">
      <c r="A460" s="31">
        <v>460</v>
      </c>
      <c r="B460" s="29" t="s">
        <v>8211</v>
      </c>
      <c r="C460" s="29" t="s">
        <v>8212</v>
      </c>
      <c r="D460" s="33">
        <v>5.9228800000000001</v>
      </c>
      <c r="E460" s="33">
        <v>-75.303579999999997</v>
      </c>
      <c r="F460" s="29" t="s">
        <v>8090</v>
      </c>
      <c r="G460" s="29" t="s">
        <v>8090</v>
      </c>
      <c r="H460" s="35" t="s">
        <v>8091</v>
      </c>
      <c r="I460" s="29"/>
      <c r="J460" s="29"/>
      <c r="K460" s="37">
        <v>1</v>
      </c>
    </row>
    <row r="461" spans="1:11">
      <c r="A461" s="31">
        <v>461</v>
      </c>
      <c r="B461" s="29" t="s">
        <v>3429</v>
      </c>
      <c r="C461" s="29" t="s">
        <v>3430</v>
      </c>
      <c r="D461" s="33">
        <v>5.2277056000000002</v>
      </c>
      <c r="E461" s="33">
        <v>-76.030474999999996</v>
      </c>
      <c r="F461" s="29" t="s">
        <v>8090</v>
      </c>
      <c r="G461" s="29" t="s">
        <v>8090</v>
      </c>
      <c r="H461" s="35" t="s">
        <v>8091</v>
      </c>
      <c r="I461" s="29"/>
      <c r="J461" s="29" t="s">
        <v>8757</v>
      </c>
      <c r="K461" s="37">
        <v>0</v>
      </c>
    </row>
    <row r="462" spans="1:11">
      <c r="A462" s="31">
        <v>462</v>
      </c>
      <c r="B462" s="29" t="s">
        <v>3443</v>
      </c>
      <c r="C462" s="29" t="s">
        <v>3444</v>
      </c>
      <c r="D462" s="33">
        <v>6.9166667000000004</v>
      </c>
      <c r="E462" s="33">
        <v>-75.083333300000007</v>
      </c>
      <c r="F462" s="29" t="s">
        <v>8090</v>
      </c>
      <c r="G462" s="29" t="s">
        <v>8090</v>
      </c>
      <c r="H462" s="35" t="s">
        <v>8091</v>
      </c>
      <c r="I462" s="29"/>
      <c r="J462" s="29" t="s">
        <v>8758</v>
      </c>
      <c r="K462" s="37">
        <v>0</v>
      </c>
    </row>
    <row r="463" spans="1:11">
      <c r="A463" s="31">
        <v>463</v>
      </c>
      <c r="B463" s="29" t="s">
        <v>3456</v>
      </c>
      <c r="C463" s="29" t="s">
        <v>3457</v>
      </c>
      <c r="D463" s="33">
        <v>6.9097222</v>
      </c>
      <c r="E463" s="33">
        <v>-75.134500000000003</v>
      </c>
      <c r="F463" s="29" t="s">
        <v>8090</v>
      </c>
      <c r="G463" s="29" t="s">
        <v>8090</v>
      </c>
      <c r="H463" s="35" t="s">
        <v>8091</v>
      </c>
      <c r="I463" s="29"/>
      <c r="J463" s="29" t="s">
        <v>8759</v>
      </c>
      <c r="K463" s="37">
        <v>0</v>
      </c>
    </row>
    <row r="464" spans="1:11">
      <c r="A464" s="31">
        <v>464</v>
      </c>
      <c r="B464" s="29" t="s">
        <v>8342</v>
      </c>
      <c r="C464" s="29" t="s">
        <v>8343</v>
      </c>
      <c r="D464" s="33">
        <v>6.7441800000000001</v>
      </c>
      <c r="E464" s="33">
        <v>-76.368160000000003</v>
      </c>
      <c r="F464" s="29" t="s">
        <v>8090</v>
      </c>
      <c r="G464" s="29" t="s">
        <v>8090</v>
      </c>
      <c r="H464" s="35" t="s">
        <v>8091</v>
      </c>
      <c r="I464" s="29"/>
      <c r="J464" s="29"/>
      <c r="K464" s="37">
        <v>1</v>
      </c>
    </row>
    <row r="465" spans="1:11">
      <c r="A465" s="31">
        <v>465</v>
      </c>
      <c r="B465" s="29" t="s">
        <v>8506</v>
      </c>
      <c r="C465" s="29" t="s">
        <v>8507</v>
      </c>
      <c r="D465" s="33">
        <v>6.3112199999999996</v>
      </c>
      <c r="E465" s="33">
        <v>-75.146090000000001</v>
      </c>
      <c r="F465" s="29" t="s">
        <v>8090</v>
      </c>
      <c r="G465" s="29" t="s">
        <v>8090</v>
      </c>
      <c r="H465" s="35" t="s">
        <v>8091</v>
      </c>
      <c r="I465" s="29"/>
      <c r="J465" s="29"/>
      <c r="K465" s="37">
        <v>1</v>
      </c>
    </row>
    <row r="466" spans="1:11">
      <c r="A466" s="31">
        <v>466</v>
      </c>
      <c r="B466" s="29" t="s">
        <v>8506</v>
      </c>
      <c r="C466" s="29" t="s">
        <v>8507</v>
      </c>
      <c r="D466" s="33">
        <v>6.3112199999999996</v>
      </c>
      <c r="E466" s="33">
        <v>-75.146090000000001</v>
      </c>
      <c r="F466" s="29" t="s">
        <v>8090</v>
      </c>
      <c r="G466" s="29" t="s">
        <v>8090</v>
      </c>
      <c r="H466" s="35" t="s">
        <v>8091</v>
      </c>
      <c r="I466" s="29"/>
      <c r="J466" s="29"/>
      <c r="K466" s="37">
        <v>1</v>
      </c>
    </row>
    <row r="467" spans="1:11">
      <c r="A467" s="31">
        <v>467</v>
      </c>
      <c r="B467" s="29" t="s">
        <v>8506</v>
      </c>
      <c r="C467" s="29" t="s">
        <v>8507</v>
      </c>
      <c r="D467" s="33">
        <v>6.3112199999999996</v>
      </c>
      <c r="E467" s="33">
        <v>-75.146090000000001</v>
      </c>
      <c r="F467" s="29" t="s">
        <v>8090</v>
      </c>
      <c r="G467" s="29" t="s">
        <v>8090</v>
      </c>
      <c r="H467" s="35" t="s">
        <v>8091</v>
      </c>
      <c r="I467" s="29"/>
      <c r="J467" s="29"/>
      <c r="K467" s="37">
        <v>1</v>
      </c>
    </row>
    <row r="468" spans="1:11">
      <c r="A468" s="31">
        <v>468</v>
      </c>
      <c r="B468" s="29" t="s">
        <v>8506</v>
      </c>
      <c r="C468" s="29" t="s">
        <v>8507</v>
      </c>
      <c r="D468" s="33">
        <v>6.3112199999999996</v>
      </c>
      <c r="E468" s="33">
        <v>-75.146090000000001</v>
      </c>
      <c r="F468" s="29" t="s">
        <v>8090</v>
      </c>
      <c r="G468" s="29" t="s">
        <v>8090</v>
      </c>
      <c r="H468" s="35" t="s">
        <v>8091</v>
      </c>
      <c r="I468" s="29"/>
      <c r="J468" s="29"/>
      <c r="K468" s="37">
        <v>1</v>
      </c>
    </row>
    <row r="469" spans="1:11">
      <c r="A469" s="31">
        <v>469</v>
      </c>
      <c r="B469" s="29" t="s">
        <v>8506</v>
      </c>
      <c r="C469" s="29" t="s">
        <v>8507</v>
      </c>
      <c r="D469" s="33">
        <v>6.3112199999999996</v>
      </c>
      <c r="E469" s="33">
        <v>-75.146090000000001</v>
      </c>
      <c r="F469" s="29" t="s">
        <v>8090</v>
      </c>
      <c r="G469" s="29" t="s">
        <v>8090</v>
      </c>
      <c r="H469" s="35" t="s">
        <v>8091</v>
      </c>
      <c r="I469" s="29"/>
      <c r="J469" s="29"/>
      <c r="K469" s="37">
        <v>1</v>
      </c>
    </row>
    <row r="470" spans="1:11">
      <c r="A470" s="31">
        <v>470</v>
      </c>
      <c r="B470" s="29" t="s">
        <v>8506</v>
      </c>
      <c r="C470" s="29" t="s">
        <v>8507</v>
      </c>
      <c r="D470" s="33">
        <v>6.3112199999999996</v>
      </c>
      <c r="E470" s="33">
        <v>-75.146090000000001</v>
      </c>
      <c r="F470" s="29" t="s">
        <v>8090</v>
      </c>
      <c r="G470" s="29" t="s">
        <v>8090</v>
      </c>
      <c r="H470" s="35" t="s">
        <v>8091</v>
      </c>
      <c r="I470" s="29"/>
      <c r="J470" s="29"/>
      <c r="K470" s="37">
        <v>1</v>
      </c>
    </row>
    <row r="471" spans="1:11">
      <c r="A471" s="31">
        <v>471</v>
      </c>
      <c r="B471" s="29" t="s">
        <v>8506</v>
      </c>
      <c r="C471" s="29" t="s">
        <v>8507</v>
      </c>
      <c r="D471" s="33">
        <v>6.3112199999999996</v>
      </c>
      <c r="E471" s="33">
        <v>-75.146090000000001</v>
      </c>
      <c r="F471" s="29" t="s">
        <v>8090</v>
      </c>
      <c r="G471" s="29" t="s">
        <v>8090</v>
      </c>
      <c r="H471" s="35" t="s">
        <v>8091</v>
      </c>
      <c r="I471" s="29"/>
      <c r="J471" s="29"/>
      <c r="K471" s="37">
        <v>1</v>
      </c>
    </row>
    <row r="472" spans="1:11">
      <c r="A472" s="31">
        <v>472</v>
      </c>
      <c r="B472" s="29" t="s">
        <v>8506</v>
      </c>
      <c r="C472" s="29" t="s">
        <v>8507</v>
      </c>
      <c r="D472" s="33">
        <v>6.3112199999999996</v>
      </c>
      <c r="E472" s="33">
        <v>-75.146090000000001</v>
      </c>
      <c r="F472" s="29" t="s">
        <v>8090</v>
      </c>
      <c r="G472" s="29" t="s">
        <v>8090</v>
      </c>
      <c r="H472" s="35" t="s">
        <v>8091</v>
      </c>
      <c r="I472" s="29"/>
      <c r="J472" s="29"/>
      <c r="K472" s="37">
        <v>1</v>
      </c>
    </row>
    <row r="473" spans="1:11">
      <c r="A473" s="31">
        <v>473</v>
      </c>
      <c r="B473" s="29" t="s">
        <v>8506</v>
      </c>
      <c r="C473" s="29" t="s">
        <v>8507</v>
      </c>
      <c r="D473" s="33">
        <v>6.3112199999999996</v>
      </c>
      <c r="E473" s="33">
        <v>-75.146090000000001</v>
      </c>
      <c r="F473" s="29" t="s">
        <v>8090</v>
      </c>
      <c r="G473" s="29" t="s">
        <v>8090</v>
      </c>
      <c r="H473" s="35" t="s">
        <v>8091</v>
      </c>
      <c r="I473" s="29"/>
      <c r="J473" s="29"/>
      <c r="K473" s="37">
        <v>1</v>
      </c>
    </row>
    <row r="474" spans="1:11">
      <c r="A474" s="31">
        <v>474</v>
      </c>
      <c r="B474" s="29" t="s">
        <v>8506</v>
      </c>
      <c r="C474" s="29" t="s">
        <v>8507</v>
      </c>
      <c r="D474" s="33">
        <v>6.3112199999999996</v>
      </c>
      <c r="E474" s="33">
        <v>-75.146090000000001</v>
      </c>
      <c r="F474" s="29" t="s">
        <v>8090</v>
      </c>
      <c r="G474" s="29" t="s">
        <v>8090</v>
      </c>
      <c r="H474" s="35" t="s">
        <v>8091</v>
      </c>
      <c r="I474" s="29"/>
      <c r="J474" s="29"/>
      <c r="K474" s="37">
        <v>1</v>
      </c>
    </row>
    <row r="475" spans="1:11">
      <c r="A475" s="31">
        <v>475</v>
      </c>
      <c r="B475" s="29" t="s">
        <v>8506</v>
      </c>
      <c r="C475" s="29" t="s">
        <v>8507</v>
      </c>
      <c r="D475" s="33">
        <v>6.3112199999999996</v>
      </c>
      <c r="E475" s="33">
        <v>-75.146090000000001</v>
      </c>
      <c r="F475" s="29" t="s">
        <v>8090</v>
      </c>
      <c r="G475" s="29" t="s">
        <v>8090</v>
      </c>
      <c r="H475" s="35" t="s">
        <v>8091</v>
      </c>
      <c r="I475" s="29"/>
      <c r="J475" s="29"/>
      <c r="K475" s="37">
        <v>1</v>
      </c>
    </row>
    <row r="476" spans="1:11">
      <c r="A476" s="31">
        <v>476</v>
      </c>
      <c r="B476" s="29" t="s">
        <v>8760</v>
      </c>
      <c r="C476" s="29" t="s">
        <v>8761</v>
      </c>
      <c r="D476" s="33">
        <v>6.1695399999999996</v>
      </c>
      <c r="E476" s="33">
        <v>-75.460819999999998</v>
      </c>
      <c r="F476" s="29" t="s">
        <v>8090</v>
      </c>
      <c r="G476" s="29" t="s">
        <v>8090</v>
      </c>
      <c r="H476" s="35" t="s">
        <v>8091</v>
      </c>
      <c r="I476" s="29"/>
      <c r="J476" s="29" t="s">
        <v>8762</v>
      </c>
      <c r="K476" s="37">
        <v>0</v>
      </c>
    </row>
    <row r="477" spans="1:11">
      <c r="A477" s="31">
        <v>477</v>
      </c>
      <c r="B477" s="29" t="s">
        <v>3519</v>
      </c>
      <c r="C477" s="29" t="s">
        <v>3520</v>
      </c>
      <c r="D477" s="33">
        <v>6.2359249999999999</v>
      </c>
      <c r="E477" s="33">
        <v>-75.575136099999995</v>
      </c>
      <c r="F477" s="29" t="s">
        <v>8090</v>
      </c>
      <c r="G477" s="29" t="s">
        <v>8090</v>
      </c>
      <c r="H477" s="35" t="s">
        <v>8091</v>
      </c>
      <c r="I477" s="29"/>
      <c r="J477" s="29" t="s">
        <v>8763</v>
      </c>
      <c r="K477" s="37">
        <v>0</v>
      </c>
    </row>
    <row r="478" spans="1:11">
      <c r="A478" s="31">
        <v>478</v>
      </c>
      <c r="B478" s="29" t="s">
        <v>3519</v>
      </c>
      <c r="C478" s="29" t="s">
        <v>3520</v>
      </c>
      <c r="D478" s="33">
        <v>6.2359249999999999</v>
      </c>
      <c r="E478" s="33">
        <v>-75.575136099999995</v>
      </c>
      <c r="F478" s="29" t="s">
        <v>8090</v>
      </c>
      <c r="G478" s="29" t="s">
        <v>8090</v>
      </c>
      <c r="H478" s="35" t="s">
        <v>8091</v>
      </c>
      <c r="I478" s="29"/>
      <c r="J478" s="29"/>
      <c r="K478" s="37">
        <v>1</v>
      </c>
    </row>
    <row r="479" spans="1:11">
      <c r="A479" s="31">
        <v>479</v>
      </c>
      <c r="B479" s="29" t="s">
        <v>8146</v>
      </c>
      <c r="C479" s="29" t="s">
        <v>8147</v>
      </c>
      <c r="D479" s="33">
        <v>2.51058</v>
      </c>
      <c r="E479" s="33">
        <v>-76.984210000000004</v>
      </c>
      <c r="F479" s="29" t="s">
        <v>8090</v>
      </c>
      <c r="G479" s="29" t="s">
        <v>8090</v>
      </c>
      <c r="H479" s="35" t="s">
        <v>8091</v>
      </c>
      <c r="I479" s="29"/>
      <c r="J479" s="29"/>
      <c r="K479" s="37">
        <v>1</v>
      </c>
    </row>
    <row r="480" spans="1:11">
      <c r="A480" s="31">
        <v>480</v>
      </c>
      <c r="B480" s="29" t="s">
        <v>3543</v>
      </c>
      <c r="C480" s="29" t="s">
        <v>3544</v>
      </c>
      <c r="D480" s="33">
        <v>6.4563056000000003</v>
      </c>
      <c r="E480" s="33">
        <v>-75.268111099999999</v>
      </c>
      <c r="F480" s="29" t="s">
        <v>8090</v>
      </c>
      <c r="G480" s="29" t="s">
        <v>8090</v>
      </c>
      <c r="H480" s="35" t="s">
        <v>8091</v>
      </c>
      <c r="I480" s="29"/>
      <c r="J480" s="29" t="s">
        <v>8764</v>
      </c>
      <c r="K480" s="37">
        <v>0</v>
      </c>
    </row>
    <row r="481" spans="1:11">
      <c r="A481" s="31">
        <v>481</v>
      </c>
      <c r="B481" s="29" t="s">
        <v>3557</v>
      </c>
      <c r="C481" s="29" t="s">
        <v>3558</v>
      </c>
      <c r="D481" s="33">
        <v>6.3055555999999999</v>
      </c>
      <c r="E481" s="33">
        <v>-75.515166699999995</v>
      </c>
      <c r="F481" s="29" t="s">
        <v>8090</v>
      </c>
      <c r="G481" s="29" t="s">
        <v>8090</v>
      </c>
      <c r="H481" s="35" t="s">
        <v>8091</v>
      </c>
      <c r="I481" s="29"/>
      <c r="J481" s="29" t="s">
        <v>8765</v>
      </c>
      <c r="K481" s="37">
        <v>0</v>
      </c>
    </row>
    <row r="482" spans="1:11">
      <c r="A482" s="31">
        <v>482</v>
      </c>
      <c r="B482" s="29" t="s">
        <v>3557</v>
      </c>
      <c r="C482" s="29" t="s">
        <v>3558</v>
      </c>
      <c r="D482" s="33">
        <v>6.3055555999999999</v>
      </c>
      <c r="E482" s="33">
        <v>-75.515166699999995</v>
      </c>
      <c r="F482" s="29" t="s">
        <v>8090</v>
      </c>
      <c r="G482" s="29" t="s">
        <v>8090</v>
      </c>
      <c r="H482" s="35" t="s">
        <v>8091</v>
      </c>
      <c r="I482" s="29"/>
      <c r="J482" s="29"/>
      <c r="K482" s="37">
        <v>1</v>
      </c>
    </row>
    <row r="483" spans="1:11">
      <c r="A483" s="31">
        <v>483</v>
      </c>
      <c r="B483" s="29" t="s">
        <v>3557</v>
      </c>
      <c r="C483" s="29" t="s">
        <v>3558</v>
      </c>
      <c r="D483" s="33">
        <v>6.3055555999999999</v>
      </c>
      <c r="E483" s="33">
        <v>-75.515166699999995</v>
      </c>
      <c r="F483" s="29" t="s">
        <v>8090</v>
      </c>
      <c r="G483" s="29" t="s">
        <v>8090</v>
      </c>
      <c r="H483" s="35" t="s">
        <v>8091</v>
      </c>
      <c r="I483" s="29"/>
      <c r="J483" s="29"/>
      <c r="K483" s="37">
        <v>1</v>
      </c>
    </row>
    <row r="484" spans="1:11">
      <c r="A484" s="31">
        <v>484</v>
      </c>
      <c r="B484" s="29" t="s">
        <v>8255</v>
      </c>
      <c r="C484" s="29" t="s">
        <v>8256</v>
      </c>
      <c r="D484" s="33">
        <v>6.6040799999999997</v>
      </c>
      <c r="E484" s="33">
        <v>-75.736109999999996</v>
      </c>
      <c r="F484" s="29" t="s">
        <v>8090</v>
      </c>
      <c r="G484" s="29" t="s">
        <v>8090</v>
      </c>
      <c r="H484" s="35" t="s">
        <v>8091</v>
      </c>
      <c r="I484" s="29"/>
      <c r="J484" s="29"/>
      <c r="K484" s="37">
        <v>1</v>
      </c>
    </row>
    <row r="485" spans="1:11">
      <c r="A485" s="31">
        <v>485</v>
      </c>
      <c r="B485" s="29" t="s">
        <v>8255</v>
      </c>
      <c r="C485" s="29" t="s">
        <v>8256</v>
      </c>
      <c r="D485" s="33">
        <v>6.6040799999999997</v>
      </c>
      <c r="E485" s="33">
        <v>-75.736109999999996</v>
      </c>
      <c r="F485" s="29" t="s">
        <v>8090</v>
      </c>
      <c r="G485" s="29" t="s">
        <v>8090</v>
      </c>
      <c r="H485" s="35" t="s">
        <v>8091</v>
      </c>
      <c r="I485" s="29"/>
      <c r="J485" s="29"/>
      <c r="K485" s="37">
        <v>1</v>
      </c>
    </row>
    <row r="486" spans="1:11">
      <c r="A486" s="31">
        <v>486</v>
      </c>
      <c r="B486" s="29" t="s">
        <v>8255</v>
      </c>
      <c r="C486" s="29" t="s">
        <v>8256</v>
      </c>
      <c r="D486" s="33">
        <v>6.6040799999999997</v>
      </c>
      <c r="E486" s="33">
        <v>-75.736109999999996</v>
      </c>
      <c r="F486" s="29" t="s">
        <v>8090</v>
      </c>
      <c r="G486" s="29" t="s">
        <v>8090</v>
      </c>
      <c r="H486" s="35" t="s">
        <v>8091</v>
      </c>
      <c r="I486" s="29"/>
      <c r="J486" s="29"/>
      <c r="K486" s="37">
        <v>1</v>
      </c>
    </row>
    <row r="487" spans="1:11">
      <c r="A487" s="31">
        <v>487</v>
      </c>
      <c r="B487" s="29" t="s">
        <v>3583</v>
      </c>
      <c r="C487" s="29" t="s">
        <v>3584</v>
      </c>
      <c r="D487" s="33">
        <v>7.133</v>
      </c>
      <c r="E487" s="33">
        <v>-75.159694400000006</v>
      </c>
      <c r="F487" s="29" t="s">
        <v>8090</v>
      </c>
      <c r="G487" s="29" t="s">
        <v>8090</v>
      </c>
      <c r="H487" s="35" t="s">
        <v>8091</v>
      </c>
      <c r="I487" s="29"/>
      <c r="J487" s="29" t="s">
        <v>8766</v>
      </c>
      <c r="K487" s="37">
        <v>0</v>
      </c>
    </row>
    <row r="488" spans="1:11">
      <c r="A488" s="31">
        <v>488</v>
      </c>
      <c r="B488" s="29" t="s">
        <v>3583</v>
      </c>
      <c r="C488" s="29" t="s">
        <v>3584</v>
      </c>
      <c r="D488" s="33">
        <v>7.133</v>
      </c>
      <c r="E488" s="33">
        <v>-75.159694400000006</v>
      </c>
      <c r="F488" s="29" t="s">
        <v>8090</v>
      </c>
      <c r="G488" s="29" t="s">
        <v>8090</v>
      </c>
      <c r="H488" s="35" t="s">
        <v>8091</v>
      </c>
      <c r="I488" s="29"/>
      <c r="J488" s="29"/>
      <c r="K488" s="37">
        <v>1</v>
      </c>
    </row>
    <row r="489" spans="1:11">
      <c r="A489" s="31">
        <v>489</v>
      </c>
      <c r="B489" s="29" t="s">
        <v>1030</v>
      </c>
      <c r="C489" s="29" t="s">
        <v>1031</v>
      </c>
      <c r="D489" s="33">
        <v>5.9836111000000001</v>
      </c>
      <c r="E489" s="33">
        <v>-75.641194400000003</v>
      </c>
      <c r="F489" s="29" t="s">
        <v>8090</v>
      </c>
      <c r="G489" s="29" t="s">
        <v>8090</v>
      </c>
      <c r="H489" s="35" t="s">
        <v>8091</v>
      </c>
      <c r="I489" s="29"/>
      <c r="J489" s="29" t="s">
        <v>8767</v>
      </c>
      <c r="K489" s="37">
        <v>0</v>
      </c>
    </row>
    <row r="490" spans="1:11">
      <c r="A490" s="31">
        <v>490</v>
      </c>
      <c r="B490" s="29" t="s">
        <v>8146</v>
      </c>
      <c r="C490" s="29" t="s">
        <v>8147</v>
      </c>
      <c r="D490" s="33">
        <v>2.51058</v>
      </c>
      <c r="E490" s="33">
        <v>-76.984210000000004</v>
      </c>
      <c r="F490" s="29" t="s">
        <v>8090</v>
      </c>
      <c r="G490" s="29" t="s">
        <v>8090</v>
      </c>
      <c r="H490" s="35" t="s">
        <v>8091</v>
      </c>
      <c r="I490" s="29"/>
      <c r="J490" s="29"/>
      <c r="K490" s="37">
        <v>1</v>
      </c>
    </row>
    <row r="491" spans="1:11">
      <c r="A491" s="31">
        <v>491</v>
      </c>
      <c r="B491" s="29" t="s">
        <v>2647</v>
      </c>
      <c r="C491" s="29" t="s">
        <v>2648</v>
      </c>
      <c r="D491" s="33">
        <v>6.2110278000000001</v>
      </c>
      <c r="E491" s="33">
        <v>-75.655138899999997</v>
      </c>
      <c r="F491" s="29" t="s">
        <v>8090</v>
      </c>
      <c r="G491" s="29" t="s">
        <v>8090</v>
      </c>
      <c r="H491" s="35" t="s">
        <v>8091</v>
      </c>
      <c r="I491" s="29"/>
      <c r="J491" s="29"/>
      <c r="K491" s="37">
        <v>1</v>
      </c>
    </row>
    <row r="492" spans="1:11">
      <c r="A492" s="31">
        <v>492</v>
      </c>
      <c r="B492" s="29" t="s">
        <v>3615</v>
      </c>
      <c r="C492" s="29" t="s">
        <v>3616</v>
      </c>
      <c r="D492" s="33">
        <v>6.5125555999999998</v>
      </c>
      <c r="E492" s="33">
        <v>-76.261499999999998</v>
      </c>
      <c r="F492" s="29" t="s">
        <v>8090</v>
      </c>
      <c r="G492" s="29" t="s">
        <v>8090</v>
      </c>
      <c r="H492" s="35" t="s">
        <v>8091</v>
      </c>
      <c r="I492" s="29"/>
      <c r="J492" s="29" t="s">
        <v>8768</v>
      </c>
      <c r="K492" s="37">
        <v>0</v>
      </c>
    </row>
    <row r="493" spans="1:11">
      <c r="A493" s="31">
        <v>493</v>
      </c>
      <c r="B493" s="29" t="s">
        <v>3615</v>
      </c>
      <c r="C493" s="29" t="s">
        <v>3616</v>
      </c>
      <c r="D493" s="33">
        <v>6.5125555999999998</v>
      </c>
      <c r="E493" s="33">
        <v>-76.261499999999998</v>
      </c>
      <c r="F493" s="29" t="s">
        <v>8090</v>
      </c>
      <c r="G493" s="29" t="s">
        <v>8090</v>
      </c>
      <c r="H493" s="35" t="s">
        <v>8091</v>
      </c>
      <c r="I493" s="29"/>
      <c r="J493" s="29"/>
      <c r="K493" s="37">
        <v>1</v>
      </c>
    </row>
    <row r="494" spans="1:11">
      <c r="A494" s="31">
        <v>494</v>
      </c>
      <c r="B494" s="29" t="s">
        <v>3633</v>
      </c>
      <c r="C494" s="29" t="s">
        <v>3634</v>
      </c>
      <c r="D494" s="33">
        <v>6.5503610999999999</v>
      </c>
      <c r="E494" s="33">
        <v>-76.315083299999998</v>
      </c>
      <c r="F494" s="29" t="s">
        <v>8090</v>
      </c>
      <c r="G494" s="29" t="s">
        <v>8090</v>
      </c>
      <c r="H494" s="35" t="s">
        <v>8091</v>
      </c>
      <c r="I494" s="29"/>
      <c r="J494" s="29" t="s">
        <v>8769</v>
      </c>
      <c r="K494" s="37">
        <v>0</v>
      </c>
    </row>
    <row r="495" spans="1:11">
      <c r="A495" s="31">
        <v>495</v>
      </c>
      <c r="B495" s="29" t="s">
        <v>3645</v>
      </c>
      <c r="C495" s="29" t="s">
        <v>3646</v>
      </c>
      <c r="D495" s="33">
        <v>6.2035</v>
      </c>
      <c r="E495" s="33">
        <v>-75.487250000000003</v>
      </c>
      <c r="F495" s="29" t="s">
        <v>8090</v>
      </c>
      <c r="G495" s="29" t="s">
        <v>8090</v>
      </c>
      <c r="H495" s="35" t="s">
        <v>8091</v>
      </c>
      <c r="I495" s="29"/>
      <c r="J495" s="29" t="s">
        <v>8770</v>
      </c>
      <c r="K495" s="37">
        <v>0</v>
      </c>
    </row>
    <row r="496" spans="1:11">
      <c r="A496" s="31">
        <v>496</v>
      </c>
      <c r="B496" s="29" t="s">
        <v>8771</v>
      </c>
      <c r="C496" s="29" t="s">
        <v>8772</v>
      </c>
      <c r="D496" s="33">
        <v>4.8782800000000002</v>
      </c>
      <c r="E496" s="33">
        <v>-76.233530000000002</v>
      </c>
      <c r="F496" s="29" t="s">
        <v>8090</v>
      </c>
      <c r="G496" s="29" t="s">
        <v>8090</v>
      </c>
      <c r="H496" s="35" t="s">
        <v>8091</v>
      </c>
      <c r="I496" s="29"/>
      <c r="J496" s="29" t="s">
        <v>8773</v>
      </c>
      <c r="K496" s="37">
        <v>0</v>
      </c>
    </row>
    <row r="497" spans="1:11">
      <c r="A497" s="31">
        <v>497</v>
      </c>
      <c r="B497" s="29" t="s">
        <v>8568</v>
      </c>
      <c r="C497" s="29" t="s">
        <v>8569</v>
      </c>
      <c r="D497" s="33">
        <v>6.2927</v>
      </c>
      <c r="E497" s="33">
        <v>-75.507090000000005</v>
      </c>
      <c r="F497" s="29" t="s">
        <v>8090</v>
      </c>
      <c r="G497" s="29" t="s">
        <v>8090</v>
      </c>
      <c r="H497" s="35" t="s">
        <v>8091</v>
      </c>
      <c r="I497" s="29"/>
      <c r="J497" s="29"/>
      <c r="K497" s="37">
        <v>1</v>
      </c>
    </row>
    <row r="498" spans="1:11">
      <c r="A498" s="31">
        <v>498</v>
      </c>
      <c r="B498" s="29" t="s">
        <v>811</v>
      </c>
      <c r="C498" s="29" t="s">
        <v>422</v>
      </c>
      <c r="D498" s="33">
        <v>6.2833332999999998</v>
      </c>
      <c r="E498" s="33">
        <v>-75.5</v>
      </c>
      <c r="F498" s="29" t="s">
        <v>8090</v>
      </c>
      <c r="G498" s="29" t="s">
        <v>8090</v>
      </c>
      <c r="H498" s="35" t="s">
        <v>8091</v>
      </c>
      <c r="I498" s="29"/>
      <c r="J498" s="29" t="s">
        <v>8774</v>
      </c>
      <c r="K498" s="37">
        <v>0</v>
      </c>
    </row>
    <row r="499" spans="1:11">
      <c r="A499" s="31">
        <v>499</v>
      </c>
      <c r="B499" s="29" t="s">
        <v>532</v>
      </c>
      <c r="C499" s="29" t="s">
        <v>2365</v>
      </c>
      <c r="D499" s="33">
        <v>6.25</v>
      </c>
      <c r="E499" s="33">
        <v>-75.166666699999993</v>
      </c>
      <c r="F499" s="29" t="s">
        <v>8090</v>
      </c>
      <c r="G499" s="29" t="s">
        <v>8090</v>
      </c>
      <c r="H499" s="35" t="s">
        <v>8091</v>
      </c>
      <c r="I499" s="29"/>
      <c r="J499" s="29" t="s">
        <v>8775</v>
      </c>
      <c r="K499" s="37">
        <v>0</v>
      </c>
    </row>
    <row r="500" spans="1:11">
      <c r="A500" s="31">
        <v>500</v>
      </c>
      <c r="B500" s="29" t="s">
        <v>532</v>
      </c>
      <c r="C500" s="29" t="s">
        <v>2365</v>
      </c>
      <c r="D500" s="33">
        <v>6.25</v>
      </c>
      <c r="E500" s="33">
        <v>-75.166666699999993</v>
      </c>
      <c r="F500" s="29" t="s">
        <v>8090</v>
      </c>
      <c r="G500" s="29" t="s">
        <v>8090</v>
      </c>
      <c r="H500" s="35" t="s">
        <v>8091</v>
      </c>
      <c r="I500" s="29"/>
      <c r="J500" s="29"/>
      <c r="K500" s="37">
        <v>1</v>
      </c>
    </row>
    <row r="501" spans="1:11">
      <c r="A501" s="31">
        <v>501</v>
      </c>
      <c r="B501" s="29" t="s">
        <v>3694</v>
      </c>
      <c r="C501" s="29" t="s">
        <v>3695</v>
      </c>
      <c r="D501" s="33">
        <v>6.2007778</v>
      </c>
      <c r="E501" s="33">
        <v>-75.466222200000004</v>
      </c>
      <c r="F501" s="29" t="s">
        <v>8090</v>
      </c>
      <c r="G501" s="29" t="s">
        <v>8090</v>
      </c>
      <c r="H501" s="35" t="s">
        <v>8091</v>
      </c>
      <c r="I501" s="29"/>
      <c r="J501" s="29" t="s">
        <v>8776</v>
      </c>
      <c r="K501" s="37">
        <v>0</v>
      </c>
    </row>
    <row r="502" spans="1:11">
      <c r="A502" s="31">
        <v>502</v>
      </c>
      <c r="B502" s="29" t="s">
        <v>3694</v>
      </c>
      <c r="C502" s="29" t="s">
        <v>3695</v>
      </c>
      <c r="D502" s="33">
        <v>6.2007778</v>
      </c>
      <c r="E502" s="33">
        <v>-75.466222200000004</v>
      </c>
      <c r="F502" s="29" t="s">
        <v>8090</v>
      </c>
      <c r="G502" s="29" t="s">
        <v>8090</v>
      </c>
      <c r="H502" s="35" t="s">
        <v>8091</v>
      </c>
      <c r="I502" s="29"/>
      <c r="J502" s="29"/>
      <c r="K502" s="37">
        <v>1</v>
      </c>
    </row>
    <row r="503" spans="1:11">
      <c r="A503" s="31">
        <v>503</v>
      </c>
      <c r="B503" s="29" t="s">
        <v>3694</v>
      </c>
      <c r="C503" s="29" t="s">
        <v>3695</v>
      </c>
      <c r="D503" s="33">
        <v>6.2007778</v>
      </c>
      <c r="E503" s="33">
        <v>-75.466222200000004</v>
      </c>
      <c r="F503" s="29" t="s">
        <v>8090</v>
      </c>
      <c r="G503" s="29" t="s">
        <v>8090</v>
      </c>
      <c r="H503" s="35" t="s">
        <v>8091</v>
      </c>
      <c r="I503" s="29"/>
      <c r="J503" s="29"/>
      <c r="K503" s="37">
        <v>1</v>
      </c>
    </row>
    <row r="504" spans="1:11">
      <c r="A504" s="31">
        <v>504</v>
      </c>
      <c r="B504" s="29" t="s">
        <v>8777</v>
      </c>
      <c r="C504" s="29" t="s">
        <v>8778</v>
      </c>
      <c r="D504" s="33">
        <v>2.5747399999999998</v>
      </c>
      <c r="E504" s="33">
        <v>-76.548209999999997</v>
      </c>
      <c r="F504" s="29" t="s">
        <v>8090</v>
      </c>
      <c r="G504" s="29" t="s">
        <v>8090</v>
      </c>
      <c r="H504" s="35" t="s">
        <v>8091</v>
      </c>
      <c r="I504" s="29"/>
      <c r="J504" s="29" t="s">
        <v>8779</v>
      </c>
      <c r="K504" s="37">
        <v>0</v>
      </c>
    </row>
    <row r="505" spans="1:11">
      <c r="A505" s="31">
        <v>505</v>
      </c>
      <c r="B505" s="29" t="s">
        <v>3721</v>
      </c>
      <c r="C505" s="29" t="s">
        <v>3722</v>
      </c>
      <c r="D505" s="33">
        <v>2.5</v>
      </c>
      <c r="E505" s="33">
        <v>-76.583333300000007</v>
      </c>
      <c r="F505" s="29" t="s">
        <v>8090</v>
      </c>
      <c r="G505" s="29" t="s">
        <v>8090</v>
      </c>
      <c r="H505" s="35" t="s">
        <v>8091</v>
      </c>
      <c r="I505" s="29"/>
      <c r="J505" s="29" t="s">
        <v>8780</v>
      </c>
      <c r="K505" s="37">
        <v>0</v>
      </c>
    </row>
    <row r="506" spans="1:11">
      <c r="A506" s="31">
        <v>506</v>
      </c>
      <c r="B506" s="29" t="s">
        <v>3721</v>
      </c>
      <c r="C506" s="29" t="s">
        <v>3722</v>
      </c>
      <c r="D506" s="33">
        <v>2.5</v>
      </c>
      <c r="E506" s="33">
        <v>-76.583333300000007</v>
      </c>
      <c r="F506" s="29" t="s">
        <v>8090</v>
      </c>
      <c r="G506" s="29" t="s">
        <v>8090</v>
      </c>
      <c r="H506" s="35" t="s">
        <v>8091</v>
      </c>
      <c r="I506" s="29"/>
      <c r="J506" s="29"/>
      <c r="K506" s="37">
        <v>1</v>
      </c>
    </row>
    <row r="507" spans="1:11">
      <c r="A507" s="31">
        <v>507</v>
      </c>
      <c r="B507" s="29" t="s">
        <v>3721</v>
      </c>
      <c r="C507" s="29" t="s">
        <v>3722</v>
      </c>
      <c r="D507" s="33">
        <v>2.5</v>
      </c>
      <c r="E507" s="33">
        <v>-76.583333300000007</v>
      </c>
      <c r="F507" s="29" t="s">
        <v>8090</v>
      </c>
      <c r="G507" s="29" t="s">
        <v>8090</v>
      </c>
      <c r="H507" s="35" t="s">
        <v>8091</v>
      </c>
      <c r="I507" s="29"/>
      <c r="J507" s="29"/>
      <c r="K507" s="37">
        <v>1</v>
      </c>
    </row>
    <row r="508" spans="1:11">
      <c r="A508" s="31">
        <v>508</v>
      </c>
      <c r="B508" s="29" t="s">
        <v>3721</v>
      </c>
      <c r="C508" s="29" t="s">
        <v>3722</v>
      </c>
      <c r="D508" s="33">
        <v>2.5</v>
      </c>
      <c r="E508" s="33">
        <v>-76.583333300000007</v>
      </c>
      <c r="F508" s="29" t="s">
        <v>8090</v>
      </c>
      <c r="G508" s="29" t="s">
        <v>8090</v>
      </c>
      <c r="H508" s="35" t="s">
        <v>8091</v>
      </c>
      <c r="I508" s="29"/>
      <c r="J508" s="29"/>
      <c r="K508" s="37">
        <v>1</v>
      </c>
    </row>
    <row r="509" spans="1:11">
      <c r="A509" s="31">
        <v>509</v>
      </c>
      <c r="B509" s="29" t="s">
        <v>773</v>
      </c>
      <c r="C509" s="29" t="s">
        <v>3734</v>
      </c>
      <c r="D509" s="33">
        <v>2.4500000000000002</v>
      </c>
      <c r="E509" s="33">
        <v>-76.483333299999998</v>
      </c>
      <c r="F509" s="29" t="s">
        <v>8090</v>
      </c>
      <c r="G509" s="29" t="s">
        <v>8090</v>
      </c>
      <c r="H509" s="35" t="s">
        <v>8091</v>
      </c>
      <c r="I509" s="29"/>
      <c r="J509" s="29" t="s">
        <v>8781</v>
      </c>
      <c r="K509" s="37">
        <v>0</v>
      </c>
    </row>
    <row r="510" spans="1:11">
      <c r="A510" s="31">
        <v>510</v>
      </c>
      <c r="B510" s="29" t="s">
        <v>3745</v>
      </c>
      <c r="C510" s="29" t="s">
        <v>3746</v>
      </c>
      <c r="D510" s="33">
        <v>2.4441666999999998</v>
      </c>
      <c r="E510" s="33">
        <v>-76.590277799999996</v>
      </c>
      <c r="F510" s="29" t="s">
        <v>8090</v>
      </c>
      <c r="G510" s="29" t="s">
        <v>8090</v>
      </c>
      <c r="H510" s="35" t="s">
        <v>8091</v>
      </c>
      <c r="I510" s="29"/>
      <c r="J510" s="29" t="s">
        <v>8782</v>
      </c>
      <c r="K510" s="37">
        <v>0</v>
      </c>
    </row>
    <row r="511" spans="1:11">
      <c r="A511" s="31">
        <v>511</v>
      </c>
      <c r="B511" s="29" t="s">
        <v>3721</v>
      </c>
      <c r="C511" s="29" t="s">
        <v>3722</v>
      </c>
      <c r="D511" s="33">
        <v>2.5</v>
      </c>
      <c r="E511" s="33">
        <v>-76.583333300000007</v>
      </c>
      <c r="F511" s="29" t="s">
        <v>8090</v>
      </c>
      <c r="G511" s="29" t="s">
        <v>8090</v>
      </c>
      <c r="H511" s="35" t="s">
        <v>8091</v>
      </c>
      <c r="I511" s="29"/>
      <c r="J511" s="29"/>
      <c r="K511" s="37">
        <v>1</v>
      </c>
    </row>
    <row r="512" spans="1:11">
      <c r="A512" s="31">
        <v>512</v>
      </c>
      <c r="B512" s="29" t="s">
        <v>8783</v>
      </c>
      <c r="C512" s="29" t="s">
        <v>8784</v>
      </c>
      <c r="D512" s="33">
        <v>2.45228</v>
      </c>
      <c r="E512" s="33">
        <v>-76.522459999999995</v>
      </c>
      <c r="F512" s="29" t="s">
        <v>8090</v>
      </c>
      <c r="G512" s="29" t="s">
        <v>8090</v>
      </c>
      <c r="H512" s="35" t="s">
        <v>8091</v>
      </c>
      <c r="I512" s="29"/>
      <c r="J512" s="29" t="s">
        <v>8785</v>
      </c>
      <c r="K512" s="37">
        <v>0</v>
      </c>
    </row>
    <row r="513" spans="1:11">
      <c r="A513" s="31">
        <v>513</v>
      </c>
      <c r="B513" s="29" t="s">
        <v>8777</v>
      </c>
      <c r="C513" s="29" t="s">
        <v>8778</v>
      </c>
      <c r="D513" s="33">
        <v>2.5747399999999998</v>
      </c>
      <c r="E513" s="33">
        <v>-76.548209999999997</v>
      </c>
      <c r="F513" s="29" t="s">
        <v>8090</v>
      </c>
      <c r="G513" s="29" t="s">
        <v>8090</v>
      </c>
      <c r="H513" s="35" t="s">
        <v>8091</v>
      </c>
      <c r="I513" s="29"/>
      <c r="J513" s="29"/>
      <c r="K513" s="37">
        <v>1</v>
      </c>
    </row>
    <row r="514" spans="1:11">
      <c r="A514" s="31">
        <v>514</v>
      </c>
      <c r="B514" s="29" t="s">
        <v>8786</v>
      </c>
      <c r="C514" s="29" t="s">
        <v>8787</v>
      </c>
      <c r="D514" s="33">
        <v>5.1131000000000002</v>
      </c>
      <c r="E514" s="33">
        <v>-73.844949999999997</v>
      </c>
      <c r="F514" s="29" t="s">
        <v>8090</v>
      </c>
      <c r="G514" s="29" t="s">
        <v>8090</v>
      </c>
      <c r="H514" s="35" t="s">
        <v>8091</v>
      </c>
      <c r="I514" s="29"/>
      <c r="J514" s="29" t="s">
        <v>8788</v>
      </c>
      <c r="K514" s="37">
        <v>0</v>
      </c>
    </row>
    <row r="515" spans="1:11">
      <c r="A515" s="31">
        <v>515</v>
      </c>
      <c r="B515" s="29" t="s">
        <v>8789</v>
      </c>
      <c r="C515" s="29" t="s">
        <v>8790</v>
      </c>
      <c r="D515" s="33">
        <v>4.8207700000000004</v>
      </c>
      <c r="E515" s="33">
        <v>-73.639340000000004</v>
      </c>
      <c r="F515" s="29" t="s">
        <v>8090</v>
      </c>
      <c r="G515" s="29" t="s">
        <v>8090</v>
      </c>
      <c r="H515" s="35" t="s">
        <v>8091</v>
      </c>
      <c r="I515" s="29"/>
      <c r="J515" s="29" t="s">
        <v>8791</v>
      </c>
      <c r="K515" s="37">
        <v>0</v>
      </c>
    </row>
    <row r="516" spans="1:11">
      <c r="A516" s="31">
        <v>516</v>
      </c>
      <c r="B516" s="29" t="s">
        <v>8792</v>
      </c>
      <c r="C516" s="29" t="s">
        <v>8793</v>
      </c>
      <c r="D516" s="33">
        <v>5.1205499999999997</v>
      </c>
      <c r="E516" s="33">
        <v>-73.836889999999997</v>
      </c>
      <c r="F516" s="29" t="s">
        <v>8090</v>
      </c>
      <c r="G516" s="29" t="s">
        <v>8090</v>
      </c>
      <c r="H516" s="35" t="s">
        <v>8091</v>
      </c>
      <c r="I516" s="29"/>
      <c r="J516" s="29" t="s">
        <v>8794</v>
      </c>
      <c r="K516" s="37">
        <v>0</v>
      </c>
    </row>
    <row r="517" spans="1:11">
      <c r="A517" s="31">
        <v>517</v>
      </c>
      <c r="B517" s="29" t="s">
        <v>8795</v>
      </c>
      <c r="C517" s="29" t="s">
        <v>8796</v>
      </c>
      <c r="D517" s="33">
        <v>4.4999099999999999</v>
      </c>
      <c r="E517" s="33">
        <v>-73.936779999999999</v>
      </c>
      <c r="F517" s="29" t="s">
        <v>8090</v>
      </c>
      <c r="G517" s="29" t="s">
        <v>8090</v>
      </c>
      <c r="H517" s="35" t="s">
        <v>8091</v>
      </c>
      <c r="I517" s="29"/>
      <c r="J517" s="29" t="s">
        <v>8797</v>
      </c>
      <c r="K517" s="37">
        <v>0</v>
      </c>
    </row>
    <row r="518" spans="1:11">
      <c r="A518" s="31">
        <v>518</v>
      </c>
      <c r="B518" s="29" t="s">
        <v>8798</v>
      </c>
      <c r="C518" s="29" t="s">
        <v>8799</v>
      </c>
      <c r="D518" s="33">
        <v>5.3037799999999997</v>
      </c>
      <c r="E518" s="33">
        <v>-74.086870000000005</v>
      </c>
      <c r="F518" s="29" t="s">
        <v>8090</v>
      </c>
      <c r="G518" s="29" t="s">
        <v>8090</v>
      </c>
      <c r="H518" s="35" t="s">
        <v>8091</v>
      </c>
      <c r="I518" s="29"/>
      <c r="J518" s="29" t="s">
        <v>8800</v>
      </c>
      <c r="K518" s="37">
        <v>0</v>
      </c>
    </row>
    <row r="519" spans="1:11">
      <c r="A519" s="31">
        <v>519</v>
      </c>
      <c r="B519" s="29" t="s">
        <v>8786</v>
      </c>
      <c r="C519" s="29" t="s">
        <v>8787</v>
      </c>
      <c r="D519" s="33">
        <v>5.1131000000000002</v>
      </c>
      <c r="E519" s="33">
        <v>-73.844949999999997</v>
      </c>
      <c r="F519" s="29" t="s">
        <v>8090</v>
      </c>
      <c r="G519" s="29" t="s">
        <v>8090</v>
      </c>
      <c r="H519" s="35" t="s">
        <v>8091</v>
      </c>
      <c r="I519" s="29"/>
      <c r="J519" s="29"/>
      <c r="K519" s="37">
        <v>1</v>
      </c>
    </row>
    <row r="520" spans="1:11">
      <c r="A520" s="31">
        <v>520</v>
      </c>
      <c r="B520" s="29" t="s">
        <v>8801</v>
      </c>
      <c r="C520" s="29" t="s">
        <v>8802</v>
      </c>
      <c r="D520" s="33">
        <v>4.6896800000000001</v>
      </c>
      <c r="E520" s="33">
        <v>-74.279679999999999</v>
      </c>
      <c r="F520" s="29" t="s">
        <v>8090</v>
      </c>
      <c r="G520" s="29" t="s">
        <v>8090</v>
      </c>
      <c r="H520" s="35" t="s">
        <v>8091</v>
      </c>
      <c r="I520" s="29"/>
      <c r="J520" s="29" t="s">
        <v>8803</v>
      </c>
      <c r="K520" s="37">
        <v>0</v>
      </c>
    </row>
    <row r="521" spans="1:11">
      <c r="A521" s="31">
        <v>521</v>
      </c>
      <c r="B521" s="29" t="s">
        <v>8172</v>
      </c>
      <c r="C521" s="29" t="s">
        <v>8173</v>
      </c>
      <c r="D521" s="33">
        <v>4.6831199999999997</v>
      </c>
      <c r="E521" s="33">
        <v>-74.389629999999997</v>
      </c>
      <c r="F521" s="29" t="s">
        <v>8090</v>
      </c>
      <c r="G521" s="29" t="s">
        <v>8090</v>
      </c>
      <c r="H521" s="35" t="s">
        <v>8091</v>
      </c>
      <c r="I521" s="29"/>
      <c r="J521" s="29"/>
      <c r="K521" s="37">
        <v>1</v>
      </c>
    </row>
    <row r="522" spans="1:11">
      <c r="A522" s="31">
        <v>522</v>
      </c>
      <c r="B522" s="29" t="s">
        <v>8804</v>
      </c>
      <c r="C522" s="29" t="s">
        <v>8805</v>
      </c>
      <c r="D522" s="33">
        <v>-0.99199999999999999</v>
      </c>
      <c r="E522" s="33">
        <v>-70.443610000000007</v>
      </c>
      <c r="F522" s="29" t="s">
        <v>8090</v>
      </c>
      <c r="G522" s="29" t="s">
        <v>8090</v>
      </c>
      <c r="H522" s="35" t="s">
        <v>8091</v>
      </c>
      <c r="I522" s="29"/>
      <c r="J522" s="29" t="s">
        <v>8806</v>
      </c>
      <c r="K522" s="37">
        <v>0</v>
      </c>
    </row>
    <row r="523" spans="1:11">
      <c r="A523" s="31">
        <v>523</v>
      </c>
      <c r="B523" s="29" t="s">
        <v>8807</v>
      </c>
      <c r="C523" s="29" t="s">
        <v>8808</v>
      </c>
      <c r="D523" s="33">
        <v>7.3167600000000004</v>
      </c>
      <c r="E523" s="33">
        <v>-75.056430000000006</v>
      </c>
      <c r="F523" s="29" t="s">
        <v>8090</v>
      </c>
      <c r="G523" s="29" t="s">
        <v>8090</v>
      </c>
      <c r="H523" s="35" t="s">
        <v>8091</v>
      </c>
      <c r="I523" s="29"/>
      <c r="J523" s="29" t="s">
        <v>8809</v>
      </c>
      <c r="K523" s="37">
        <v>0</v>
      </c>
    </row>
    <row r="524" spans="1:11">
      <c r="A524" s="31">
        <v>524</v>
      </c>
      <c r="B524" s="29" t="s">
        <v>8807</v>
      </c>
      <c r="C524" s="29" t="s">
        <v>8808</v>
      </c>
      <c r="D524" s="33">
        <v>7.3167600000000004</v>
      </c>
      <c r="E524" s="33">
        <v>-75.056430000000006</v>
      </c>
      <c r="F524" s="29" t="s">
        <v>8090</v>
      </c>
      <c r="G524" s="29" t="s">
        <v>8090</v>
      </c>
      <c r="H524" s="35" t="s">
        <v>8091</v>
      </c>
      <c r="I524" s="29"/>
      <c r="J524" s="29"/>
      <c r="K524" s="37">
        <v>1</v>
      </c>
    </row>
    <row r="525" spans="1:11">
      <c r="A525" s="31">
        <v>525</v>
      </c>
      <c r="B525" s="29" t="s">
        <v>1181</v>
      </c>
      <c r="C525" s="29" t="s">
        <v>1182</v>
      </c>
      <c r="D525" s="33">
        <v>7.0764389000000003</v>
      </c>
      <c r="E525" s="33">
        <v>-75.156538900000001</v>
      </c>
      <c r="F525" s="29" t="s">
        <v>8090</v>
      </c>
      <c r="G525" s="29" t="s">
        <v>8090</v>
      </c>
      <c r="H525" s="35" t="s">
        <v>8091</v>
      </c>
      <c r="I525" s="29"/>
      <c r="J525" s="29" t="s">
        <v>8810</v>
      </c>
      <c r="K525" s="37">
        <v>0</v>
      </c>
    </row>
    <row r="526" spans="1:11">
      <c r="A526" s="31">
        <v>526</v>
      </c>
      <c r="B526" s="29" t="s">
        <v>1181</v>
      </c>
      <c r="C526" s="29" t="s">
        <v>1182</v>
      </c>
      <c r="D526" s="33">
        <v>7.0764389000000003</v>
      </c>
      <c r="E526" s="33">
        <v>-75.156538900000001</v>
      </c>
      <c r="F526" s="29" t="s">
        <v>8090</v>
      </c>
      <c r="G526" s="29" t="s">
        <v>8090</v>
      </c>
      <c r="H526" s="35" t="s">
        <v>8091</v>
      </c>
      <c r="I526" s="29"/>
      <c r="J526" s="29"/>
      <c r="K526" s="37">
        <v>1</v>
      </c>
    </row>
    <row r="527" spans="1:11">
      <c r="A527" s="31">
        <v>527</v>
      </c>
      <c r="B527" s="29" t="s">
        <v>1181</v>
      </c>
      <c r="C527" s="29" t="s">
        <v>1182</v>
      </c>
      <c r="D527" s="33">
        <v>7.0764389000000003</v>
      </c>
      <c r="E527" s="33">
        <v>-75.156538900000001</v>
      </c>
      <c r="F527" s="29" t="s">
        <v>8090</v>
      </c>
      <c r="G527" s="29" t="s">
        <v>8090</v>
      </c>
      <c r="H527" s="35" t="s">
        <v>8091</v>
      </c>
      <c r="I527" s="29"/>
      <c r="J527" s="29"/>
      <c r="K527" s="37">
        <v>1</v>
      </c>
    </row>
    <row r="528" spans="1:11">
      <c r="A528" s="31">
        <v>528</v>
      </c>
      <c r="B528" s="29" t="s">
        <v>1181</v>
      </c>
      <c r="C528" s="29" t="s">
        <v>1182</v>
      </c>
      <c r="D528" s="33">
        <v>7.0764389000000003</v>
      </c>
      <c r="E528" s="33">
        <v>-75.156538900000001</v>
      </c>
      <c r="F528" s="29" t="s">
        <v>8090</v>
      </c>
      <c r="G528" s="29" t="s">
        <v>8090</v>
      </c>
      <c r="H528" s="35" t="s">
        <v>8091</v>
      </c>
      <c r="I528" s="29"/>
      <c r="J528" s="29"/>
      <c r="K528" s="37">
        <v>1</v>
      </c>
    </row>
    <row r="529" spans="1:11">
      <c r="A529" s="31">
        <v>529</v>
      </c>
      <c r="B529" s="29" t="s">
        <v>3847</v>
      </c>
      <c r="C529" s="29" t="s">
        <v>1266</v>
      </c>
      <c r="D529" s="33">
        <v>7.2166667000000002</v>
      </c>
      <c r="E529" s="33">
        <v>-75.05</v>
      </c>
      <c r="F529" s="29" t="s">
        <v>8090</v>
      </c>
      <c r="G529" s="29" t="s">
        <v>8090</v>
      </c>
      <c r="H529" s="35" t="s">
        <v>8091</v>
      </c>
      <c r="I529" s="29"/>
      <c r="J529" s="29" t="s">
        <v>8811</v>
      </c>
      <c r="K529" s="37">
        <v>0</v>
      </c>
    </row>
    <row r="530" spans="1:11">
      <c r="A530" s="31">
        <v>530</v>
      </c>
      <c r="B530" s="29" t="s">
        <v>3847</v>
      </c>
      <c r="C530" s="29" t="s">
        <v>1266</v>
      </c>
      <c r="D530" s="33">
        <v>7.2166667000000002</v>
      </c>
      <c r="E530" s="33">
        <v>-75.05</v>
      </c>
      <c r="F530" s="29" t="s">
        <v>8090</v>
      </c>
      <c r="G530" s="29" t="s">
        <v>8090</v>
      </c>
      <c r="H530" s="35" t="s">
        <v>8091</v>
      </c>
      <c r="I530" s="29"/>
      <c r="J530" s="29"/>
      <c r="K530" s="37">
        <v>1</v>
      </c>
    </row>
    <row r="531" spans="1:11">
      <c r="A531" s="31">
        <v>531</v>
      </c>
      <c r="B531" s="29" t="s">
        <v>3859</v>
      </c>
      <c r="C531" s="29" t="s">
        <v>3860</v>
      </c>
      <c r="D531" s="33">
        <v>7.5783889000000002</v>
      </c>
      <c r="E531" s="33">
        <v>-75.348505599999996</v>
      </c>
      <c r="F531" s="29" t="s">
        <v>8090</v>
      </c>
      <c r="G531" s="29" t="s">
        <v>8090</v>
      </c>
      <c r="H531" s="35" t="s">
        <v>8091</v>
      </c>
      <c r="I531" s="29"/>
      <c r="J531" s="29" t="s">
        <v>8812</v>
      </c>
      <c r="K531" s="37">
        <v>0</v>
      </c>
    </row>
    <row r="532" spans="1:11">
      <c r="A532" s="31">
        <v>532</v>
      </c>
      <c r="B532" s="29" t="s">
        <v>3872</v>
      </c>
      <c r="C532" s="29" t="s">
        <v>3873</v>
      </c>
      <c r="D532" s="33">
        <v>5.5998333000000002</v>
      </c>
      <c r="E532" s="33">
        <v>-75.819833299999999</v>
      </c>
      <c r="F532" s="29" t="s">
        <v>8090</v>
      </c>
      <c r="G532" s="29" t="s">
        <v>8090</v>
      </c>
      <c r="H532" s="35" t="s">
        <v>8091</v>
      </c>
      <c r="I532" s="29"/>
      <c r="J532" s="29" t="s">
        <v>8813</v>
      </c>
      <c r="K532" s="37">
        <v>0</v>
      </c>
    </row>
    <row r="533" spans="1:11">
      <c r="A533" s="31">
        <v>533</v>
      </c>
      <c r="B533" s="29" t="s">
        <v>3859</v>
      </c>
      <c r="C533" s="29" t="s">
        <v>3860</v>
      </c>
      <c r="D533" s="33">
        <v>7.5783889000000002</v>
      </c>
      <c r="E533" s="33">
        <v>-75.348505599999996</v>
      </c>
      <c r="F533" s="29" t="s">
        <v>8090</v>
      </c>
      <c r="G533" s="29" t="s">
        <v>8090</v>
      </c>
      <c r="H533" s="35" t="s">
        <v>8091</v>
      </c>
      <c r="I533" s="29"/>
      <c r="J533" s="29"/>
      <c r="K533" s="37">
        <v>1</v>
      </c>
    </row>
    <row r="534" spans="1:11">
      <c r="A534" s="31">
        <v>534</v>
      </c>
      <c r="B534" s="29" t="s">
        <v>3859</v>
      </c>
      <c r="C534" s="29" t="s">
        <v>3860</v>
      </c>
      <c r="D534" s="33">
        <v>7.5783889000000002</v>
      </c>
      <c r="E534" s="33">
        <v>-75.348505599999996</v>
      </c>
      <c r="F534" s="29" t="s">
        <v>8090</v>
      </c>
      <c r="G534" s="29" t="s">
        <v>8090</v>
      </c>
      <c r="H534" s="35" t="s">
        <v>8091</v>
      </c>
      <c r="I534" s="29"/>
      <c r="J534" s="29"/>
      <c r="K534" s="37">
        <v>1</v>
      </c>
    </row>
    <row r="535" spans="1:11">
      <c r="A535" s="31">
        <v>535</v>
      </c>
      <c r="B535" s="29" t="s">
        <v>3872</v>
      </c>
      <c r="C535" s="29" t="s">
        <v>3873</v>
      </c>
      <c r="D535" s="33">
        <v>5.5998333000000002</v>
      </c>
      <c r="E535" s="33">
        <v>-75.819833299999999</v>
      </c>
      <c r="F535" s="29" t="s">
        <v>8090</v>
      </c>
      <c r="G535" s="29" t="s">
        <v>8090</v>
      </c>
      <c r="H535" s="35" t="s">
        <v>8091</v>
      </c>
      <c r="I535" s="29"/>
      <c r="J535" s="29"/>
      <c r="K535" s="37">
        <v>1</v>
      </c>
    </row>
    <row r="536" spans="1:11">
      <c r="A536" s="31">
        <v>536</v>
      </c>
      <c r="B536" s="29" t="s">
        <v>3894</v>
      </c>
      <c r="C536" s="29" t="s">
        <v>3895</v>
      </c>
      <c r="D536" s="33">
        <v>6.1067138999999999</v>
      </c>
      <c r="E536" s="33">
        <v>-74.960852799999998</v>
      </c>
      <c r="F536" s="29" t="s">
        <v>8090</v>
      </c>
      <c r="G536" s="29" t="s">
        <v>8090</v>
      </c>
      <c r="H536" s="35" t="s">
        <v>8091</v>
      </c>
      <c r="I536" s="29"/>
      <c r="J536" s="29" t="s">
        <v>8814</v>
      </c>
      <c r="K536" s="37">
        <v>0</v>
      </c>
    </row>
    <row r="537" spans="1:11">
      <c r="A537" s="31">
        <v>537</v>
      </c>
      <c r="B537" s="29" t="s">
        <v>3908</v>
      </c>
      <c r="C537" s="29" t="s">
        <v>3909</v>
      </c>
      <c r="D537" s="33">
        <v>7.25</v>
      </c>
      <c r="E537" s="33">
        <v>-75.2</v>
      </c>
      <c r="F537" s="29" t="s">
        <v>8090</v>
      </c>
      <c r="G537" s="29" t="s">
        <v>8090</v>
      </c>
      <c r="H537" s="35" t="s">
        <v>8091</v>
      </c>
      <c r="I537" s="29"/>
      <c r="J537" s="29" t="s">
        <v>8815</v>
      </c>
      <c r="K537" s="37">
        <v>0</v>
      </c>
    </row>
    <row r="538" spans="1:11">
      <c r="A538" s="31">
        <v>538</v>
      </c>
      <c r="B538" s="29" t="s">
        <v>3920</v>
      </c>
      <c r="C538" s="29" t="s">
        <v>3921</v>
      </c>
      <c r="D538" s="33">
        <v>7.2668055999999996</v>
      </c>
      <c r="E538" s="33">
        <v>-75.064416699999995</v>
      </c>
      <c r="F538" s="29" t="s">
        <v>8090</v>
      </c>
      <c r="G538" s="29" t="s">
        <v>8090</v>
      </c>
      <c r="H538" s="35" t="s">
        <v>8091</v>
      </c>
      <c r="I538" s="29"/>
      <c r="J538" s="29" t="s">
        <v>8816</v>
      </c>
      <c r="K538" s="37">
        <v>0</v>
      </c>
    </row>
    <row r="539" spans="1:11">
      <c r="A539" s="31">
        <v>539</v>
      </c>
      <c r="B539" s="29" t="s">
        <v>3920</v>
      </c>
      <c r="C539" s="29" t="s">
        <v>3921</v>
      </c>
      <c r="D539" s="33">
        <v>7.2668055999999996</v>
      </c>
      <c r="E539" s="33">
        <v>-75.064416699999995</v>
      </c>
      <c r="F539" s="29" t="s">
        <v>8090</v>
      </c>
      <c r="G539" s="29" t="s">
        <v>8090</v>
      </c>
      <c r="H539" s="35" t="s">
        <v>8091</v>
      </c>
      <c r="I539" s="29"/>
      <c r="J539" s="29"/>
      <c r="K539" s="37">
        <v>1</v>
      </c>
    </row>
    <row r="540" spans="1:11">
      <c r="A540" s="31">
        <v>540</v>
      </c>
      <c r="B540" s="29" t="s">
        <v>3920</v>
      </c>
      <c r="C540" s="29" t="s">
        <v>3921</v>
      </c>
      <c r="D540" s="33">
        <v>7.2668055999999996</v>
      </c>
      <c r="E540" s="33">
        <v>-75.064416699999995</v>
      </c>
      <c r="F540" s="29" t="s">
        <v>8090</v>
      </c>
      <c r="G540" s="29" t="s">
        <v>8090</v>
      </c>
      <c r="H540" s="35" t="s">
        <v>8091</v>
      </c>
      <c r="I540" s="29"/>
      <c r="J540" s="29"/>
      <c r="K540" s="37">
        <v>1</v>
      </c>
    </row>
    <row r="541" spans="1:11">
      <c r="A541" s="31">
        <v>541</v>
      </c>
      <c r="B541" s="29" t="s">
        <v>1226</v>
      </c>
      <c r="C541" s="29" t="s">
        <v>1227</v>
      </c>
      <c r="D541" s="33">
        <v>7.2662778000000001</v>
      </c>
      <c r="E541" s="33">
        <v>-75.074166700000006</v>
      </c>
      <c r="F541" s="29" t="s">
        <v>8090</v>
      </c>
      <c r="G541" s="29" t="s">
        <v>8090</v>
      </c>
      <c r="H541" s="35" t="s">
        <v>8091</v>
      </c>
      <c r="I541" s="29"/>
      <c r="J541" s="29"/>
      <c r="K541" s="37">
        <v>1</v>
      </c>
    </row>
    <row r="542" spans="1:11">
      <c r="A542" s="31">
        <v>542</v>
      </c>
      <c r="B542" s="29" t="s">
        <v>1226</v>
      </c>
      <c r="C542" s="29" t="s">
        <v>1227</v>
      </c>
      <c r="D542" s="33">
        <v>7.2662778000000001</v>
      </c>
      <c r="E542" s="33">
        <v>-75.074166700000006</v>
      </c>
      <c r="F542" s="29" t="s">
        <v>8090</v>
      </c>
      <c r="G542" s="29" t="s">
        <v>8090</v>
      </c>
      <c r="H542" s="35" t="s">
        <v>8091</v>
      </c>
      <c r="I542" s="29"/>
      <c r="J542" s="29"/>
      <c r="K542" s="37">
        <v>1</v>
      </c>
    </row>
    <row r="543" spans="1:11">
      <c r="A543" s="31">
        <v>543</v>
      </c>
      <c r="B543" s="29" t="s">
        <v>3937</v>
      </c>
      <c r="C543" s="29" t="s">
        <v>3938</v>
      </c>
      <c r="D543" s="33">
        <v>7.2836667000000004</v>
      </c>
      <c r="E543" s="33">
        <v>-75.088083299999994</v>
      </c>
      <c r="F543" s="29" t="s">
        <v>8090</v>
      </c>
      <c r="G543" s="29" t="s">
        <v>8090</v>
      </c>
      <c r="H543" s="35" t="s">
        <v>8091</v>
      </c>
      <c r="I543" s="29"/>
      <c r="J543" s="29" t="s">
        <v>8817</v>
      </c>
      <c r="K543" s="37">
        <v>0</v>
      </c>
    </row>
    <row r="544" spans="1:11">
      <c r="A544" s="31">
        <v>544</v>
      </c>
      <c r="B544" s="29" t="s">
        <v>3937</v>
      </c>
      <c r="C544" s="29" t="s">
        <v>3938</v>
      </c>
      <c r="D544" s="33">
        <v>7.2836667000000004</v>
      </c>
      <c r="E544" s="33">
        <v>-75.088083299999994</v>
      </c>
      <c r="F544" s="29" t="s">
        <v>8090</v>
      </c>
      <c r="G544" s="29" t="s">
        <v>8090</v>
      </c>
      <c r="H544" s="35" t="s">
        <v>8091</v>
      </c>
      <c r="I544" s="29"/>
      <c r="J544" s="29"/>
      <c r="K544" s="37">
        <v>1</v>
      </c>
    </row>
    <row r="545" spans="1:11">
      <c r="A545" s="31">
        <v>545</v>
      </c>
      <c r="B545" s="29" t="s">
        <v>1251</v>
      </c>
      <c r="C545" s="29" t="s">
        <v>1252</v>
      </c>
      <c r="D545" s="33">
        <v>7.2534999999999998</v>
      </c>
      <c r="E545" s="33">
        <v>-75.043277799999998</v>
      </c>
      <c r="F545" s="29" t="s">
        <v>8090</v>
      </c>
      <c r="G545" s="29" t="s">
        <v>8090</v>
      </c>
      <c r="H545" s="35" t="s">
        <v>8091</v>
      </c>
      <c r="I545" s="29"/>
      <c r="J545" s="29" t="s">
        <v>8818</v>
      </c>
      <c r="K545" s="37">
        <v>0</v>
      </c>
    </row>
    <row r="546" spans="1:11">
      <c r="A546" s="31">
        <v>546</v>
      </c>
      <c r="B546" s="29" t="s">
        <v>1181</v>
      </c>
      <c r="C546" s="29" t="s">
        <v>1182</v>
      </c>
      <c r="D546" s="33">
        <v>7.0764389000000003</v>
      </c>
      <c r="E546" s="33">
        <v>-75.156538900000001</v>
      </c>
      <c r="F546" s="29" t="s">
        <v>8090</v>
      </c>
      <c r="G546" s="29" t="s">
        <v>8090</v>
      </c>
      <c r="H546" s="35" t="s">
        <v>8091</v>
      </c>
      <c r="I546" s="29"/>
      <c r="J546" s="29"/>
      <c r="K546" s="37">
        <v>1</v>
      </c>
    </row>
    <row r="547" spans="1:11">
      <c r="A547" s="31">
        <v>547</v>
      </c>
      <c r="B547" s="29" t="s">
        <v>1498</v>
      </c>
      <c r="C547" s="29" t="s">
        <v>3958</v>
      </c>
      <c r="D547" s="33">
        <v>6.5398611000000004</v>
      </c>
      <c r="E547" s="33">
        <v>-76.319361099999995</v>
      </c>
      <c r="F547" s="29" t="s">
        <v>8090</v>
      </c>
      <c r="G547" s="29" t="s">
        <v>8090</v>
      </c>
      <c r="H547" s="35" t="s">
        <v>8091</v>
      </c>
      <c r="I547" s="29"/>
      <c r="J547" s="29" t="s">
        <v>8819</v>
      </c>
      <c r="K547" s="37">
        <v>0</v>
      </c>
    </row>
    <row r="548" spans="1:11">
      <c r="A548" s="31">
        <v>548</v>
      </c>
      <c r="B548" s="29" t="s">
        <v>1498</v>
      </c>
      <c r="C548" s="29" t="s">
        <v>3958</v>
      </c>
      <c r="D548" s="33">
        <v>6.5398611000000004</v>
      </c>
      <c r="E548" s="33">
        <v>-76.319361099999995</v>
      </c>
      <c r="F548" s="29" t="s">
        <v>8090</v>
      </c>
      <c r="G548" s="29" t="s">
        <v>8090</v>
      </c>
      <c r="H548" s="35" t="s">
        <v>8091</v>
      </c>
      <c r="I548" s="29"/>
      <c r="J548" s="29"/>
      <c r="K548" s="37">
        <v>1</v>
      </c>
    </row>
    <row r="549" spans="1:11">
      <c r="A549" s="31">
        <v>549</v>
      </c>
      <c r="B549" s="29" t="s">
        <v>3970</v>
      </c>
      <c r="C549" s="29" t="s">
        <v>3971</v>
      </c>
      <c r="D549" s="33">
        <v>6.5352221999999998</v>
      </c>
      <c r="E549" s="33">
        <v>-76.312861100000006</v>
      </c>
      <c r="F549" s="29" t="s">
        <v>8090</v>
      </c>
      <c r="G549" s="29" t="s">
        <v>8090</v>
      </c>
      <c r="H549" s="35" t="s">
        <v>8091</v>
      </c>
      <c r="I549" s="29"/>
      <c r="J549" s="29" t="s">
        <v>8820</v>
      </c>
      <c r="K549" s="37">
        <v>0</v>
      </c>
    </row>
    <row r="550" spans="1:11">
      <c r="A550" s="31">
        <v>550</v>
      </c>
      <c r="B550" s="29" t="s">
        <v>8821</v>
      </c>
      <c r="C550" s="29" t="s">
        <v>8822</v>
      </c>
      <c r="D550" s="33">
        <v>2.6783899999999998</v>
      </c>
      <c r="E550" s="33">
        <v>-77.907740000000004</v>
      </c>
      <c r="F550" s="29" t="s">
        <v>8090</v>
      </c>
      <c r="G550" s="29" t="s">
        <v>8090</v>
      </c>
      <c r="H550" s="35" t="s">
        <v>8091</v>
      </c>
      <c r="I550" s="29"/>
      <c r="J550" s="29" t="s">
        <v>8823</v>
      </c>
      <c r="K550" s="37">
        <v>0</v>
      </c>
    </row>
    <row r="551" spans="1:11">
      <c r="A551" s="31">
        <v>551</v>
      </c>
      <c r="B551" s="29" t="s">
        <v>8821</v>
      </c>
      <c r="C551" s="29" t="s">
        <v>8822</v>
      </c>
      <c r="D551" s="33">
        <v>2.6783899999999998</v>
      </c>
      <c r="E551" s="33">
        <v>-77.907740000000004</v>
      </c>
      <c r="F551" s="29" t="s">
        <v>8090</v>
      </c>
      <c r="G551" s="29" t="s">
        <v>8090</v>
      </c>
      <c r="H551" s="35" t="s">
        <v>8091</v>
      </c>
      <c r="I551" s="29"/>
      <c r="J551" s="29"/>
      <c r="K551" s="37">
        <v>1</v>
      </c>
    </row>
    <row r="552" spans="1:11">
      <c r="A552" s="31">
        <v>552</v>
      </c>
      <c r="B552" s="29" t="s">
        <v>8821</v>
      </c>
      <c r="C552" s="29" t="s">
        <v>8822</v>
      </c>
      <c r="D552" s="33">
        <v>2.6783899999999998</v>
      </c>
      <c r="E552" s="33">
        <v>-77.907740000000004</v>
      </c>
      <c r="F552" s="29" t="s">
        <v>8090</v>
      </c>
      <c r="G552" s="29" t="s">
        <v>8090</v>
      </c>
      <c r="H552" s="35" t="s">
        <v>8091</v>
      </c>
      <c r="I552" s="29"/>
      <c r="J552" s="29"/>
      <c r="K552" s="37">
        <v>1</v>
      </c>
    </row>
    <row r="553" spans="1:11">
      <c r="A553" s="31">
        <v>553</v>
      </c>
      <c r="B553" s="29" t="s">
        <v>8824</v>
      </c>
      <c r="C553" s="29" t="s">
        <v>8825</v>
      </c>
      <c r="D553" s="33">
        <v>6.2150699999999999</v>
      </c>
      <c r="E553" s="33">
        <v>-77.357709999999997</v>
      </c>
      <c r="F553" s="29" t="s">
        <v>8090</v>
      </c>
      <c r="G553" s="29" t="s">
        <v>8090</v>
      </c>
      <c r="H553" s="35" t="s">
        <v>8091</v>
      </c>
      <c r="I553" s="29"/>
      <c r="J553" s="29" t="s">
        <v>8826</v>
      </c>
      <c r="K553" s="37">
        <v>0</v>
      </c>
    </row>
    <row r="554" spans="1:11">
      <c r="A554" s="31">
        <v>554</v>
      </c>
      <c r="B554" s="29" t="s">
        <v>8827</v>
      </c>
      <c r="C554" s="29" t="s">
        <v>8828</v>
      </c>
      <c r="D554" s="33">
        <v>5.7326899999999998</v>
      </c>
      <c r="E554" s="33">
        <v>-76.630170000000007</v>
      </c>
      <c r="F554" s="29" t="s">
        <v>8090</v>
      </c>
      <c r="G554" s="29" t="s">
        <v>8090</v>
      </c>
      <c r="H554" s="35" t="s">
        <v>8091</v>
      </c>
      <c r="I554" s="29"/>
      <c r="J554" s="29" t="s">
        <v>8829</v>
      </c>
      <c r="K554" s="37">
        <v>0</v>
      </c>
    </row>
    <row r="555" spans="1:11">
      <c r="A555" s="31">
        <v>555</v>
      </c>
      <c r="B555" s="29" t="s">
        <v>8330</v>
      </c>
      <c r="C555" s="29" t="s">
        <v>8331</v>
      </c>
      <c r="D555" s="33">
        <v>4.1569000000000003</v>
      </c>
      <c r="E555" s="33">
        <v>-77.137039999999999</v>
      </c>
      <c r="F555" s="29" t="s">
        <v>8090</v>
      </c>
      <c r="G555" s="29" t="s">
        <v>8090</v>
      </c>
      <c r="H555" s="35" t="s">
        <v>8091</v>
      </c>
      <c r="I555" s="29"/>
      <c r="J555" s="29"/>
      <c r="K555" s="37">
        <v>1</v>
      </c>
    </row>
    <row r="556" spans="1:11">
      <c r="A556" s="31">
        <v>556</v>
      </c>
      <c r="B556" s="29" t="s">
        <v>4009</v>
      </c>
      <c r="C556" s="29" t="s">
        <v>4010</v>
      </c>
      <c r="D556" s="33">
        <v>5</v>
      </c>
      <c r="E556" s="33">
        <v>-76.733333299999998</v>
      </c>
      <c r="F556" s="29" t="s">
        <v>8090</v>
      </c>
      <c r="G556" s="29" t="s">
        <v>8090</v>
      </c>
      <c r="H556" s="35" t="s">
        <v>8091</v>
      </c>
      <c r="I556" s="29"/>
      <c r="J556" s="29" t="s">
        <v>8830</v>
      </c>
      <c r="K556" s="37">
        <v>0</v>
      </c>
    </row>
    <row r="557" spans="1:11">
      <c r="A557" s="31">
        <v>557</v>
      </c>
      <c r="B557" s="29" t="s">
        <v>4021</v>
      </c>
      <c r="C557" s="29" t="s">
        <v>8831</v>
      </c>
      <c r="D557" s="33">
        <v>5.0999999999999996</v>
      </c>
      <c r="E557" s="33">
        <v>-76.7</v>
      </c>
      <c r="F557" s="29" t="s">
        <v>8090</v>
      </c>
      <c r="G557" s="29" t="s">
        <v>8090</v>
      </c>
      <c r="H557" s="35" t="s">
        <v>8091</v>
      </c>
      <c r="I557" s="29"/>
      <c r="J557" s="29" t="s">
        <v>8832</v>
      </c>
      <c r="K557" s="37">
        <v>0</v>
      </c>
    </row>
    <row r="558" spans="1:11">
      <c r="A558" s="31">
        <v>558</v>
      </c>
      <c r="B558" s="29" t="s">
        <v>8833</v>
      </c>
      <c r="C558" s="29" t="s">
        <v>8834</v>
      </c>
      <c r="D558" s="33">
        <v>7.9695499999999999</v>
      </c>
      <c r="E558" s="33">
        <v>-77.160709999999995</v>
      </c>
      <c r="F558" s="29" t="s">
        <v>8090</v>
      </c>
      <c r="G558" s="29" t="s">
        <v>8090</v>
      </c>
      <c r="H558" s="35" t="s">
        <v>8091</v>
      </c>
      <c r="I558" s="29"/>
      <c r="J558" s="29" t="s">
        <v>8835</v>
      </c>
      <c r="K558" s="37">
        <v>0</v>
      </c>
    </row>
    <row r="559" spans="1:11">
      <c r="A559" s="31">
        <v>559</v>
      </c>
      <c r="B559" s="29" t="s">
        <v>8836</v>
      </c>
      <c r="C559" s="29" t="s">
        <v>8837</v>
      </c>
      <c r="D559" s="33">
        <v>6.0291199999999998</v>
      </c>
      <c r="E559" s="33">
        <v>-77.364859999999993</v>
      </c>
      <c r="F559" s="29" t="s">
        <v>8090</v>
      </c>
      <c r="G559" s="29" t="s">
        <v>8090</v>
      </c>
      <c r="H559" s="35" t="s">
        <v>8091</v>
      </c>
      <c r="I559" s="29"/>
      <c r="J559" s="29" t="s">
        <v>8838</v>
      </c>
      <c r="K559" s="37">
        <v>0</v>
      </c>
    </row>
    <row r="560" spans="1:11">
      <c r="A560" s="31">
        <v>560</v>
      </c>
      <c r="B560" s="29" t="s">
        <v>1371</v>
      </c>
      <c r="C560" s="29" t="s">
        <v>1372</v>
      </c>
      <c r="D560" s="33">
        <v>4.8692722000000002</v>
      </c>
      <c r="E560" s="33">
        <v>-76.250647200000003</v>
      </c>
      <c r="F560" s="29" t="s">
        <v>8090</v>
      </c>
      <c r="G560" s="29" t="s">
        <v>8090</v>
      </c>
      <c r="H560" s="35" t="s">
        <v>8091</v>
      </c>
      <c r="I560" s="29"/>
      <c r="J560" s="29"/>
      <c r="K560" s="37">
        <v>1</v>
      </c>
    </row>
    <row r="561" spans="1:11">
      <c r="A561" s="31">
        <v>561</v>
      </c>
      <c r="B561" s="29" t="s">
        <v>1371</v>
      </c>
      <c r="C561" s="29" t="s">
        <v>1372</v>
      </c>
      <c r="D561" s="33">
        <v>4.8692722000000002</v>
      </c>
      <c r="E561" s="33">
        <v>-76.250647200000003</v>
      </c>
      <c r="F561" s="29" t="s">
        <v>8090</v>
      </c>
      <c r="G561" s="29" t="s">
        <v>8090</v>
      </c>
      <c r="H561" s="35" t="s">
        <v>8091</v>
      </c>
      <c r="I561" s="29"/>
      <c r="J561" s="29"/>
      <c r="K561" s="37">
        <v>1</v>
      </c>
    </row>
    <row r="562" spans="1:11">
      <c r="A562" s="31">
        <v>562</v>
      </c>
      <c r="B562" s="29" t="s">
        <v>1371</v>
      </c>
      <c r="C562" s="29" t="s">
        <v>1372</v>
      </c>
      <c r="D562" s="33">
        <v>4.8692722000000002</v>
      </c>
      <c r="E562" s="33">
        <v>-76.250647200000003</v>
      </c>
      <c r="F562" s="29" t="s">
        <v>8090</v>
      </c>
      <c r="G562" s="29" t="s">
        <v>8090</v>
      </c>
      <c r="H562" s="35" t="s">
        <v>8091</v>
      </c>
      <c r="I562" s="29"/>
      <c r="J562" s="29"/>
      <c r="K562" s="37">
        <v>1</v>
      </c>
    </row>
    <row r="563" spans="1:11">
      <c r="A563" s="31">
        <v>563</v>
      </c>
      <c r="B563" s="29" t="s">
        <v>1371</v>
      </c>
      <c r="C563" s="29" t="s">
        <v>1372</v>
      </c>
      <c r="D563" s="33">
        <v>4.8692722000000002</v>
      </c>
      <c r="E563" s="33">
        <v>-76.250647200000003</v>
      </c>
      <c r="F563" s="29" t="s">
        <v>8090</v>
      </c>
      <c r="G563" s="29" t="s">
        <v>8090</v>
      </c>
      <c r="H563" s="35" t="s">
        <v>8091</v>
      </c>
      <c r="I563" s="29"/>
      <c r="J563" s="29"/>
      <c r="K563" s="37">
        <v>1</v>
      </c>
    </row>
    <row r="564" spans="1:11">
      <c r="A564" s="31">
        <v>564</v>
      </c>
      <c r="B564" s="29" t="s">
        <v>4052</v>
      </c>
      <c r="C564" s="29" t="s">
        <v>4053</v>
      </c>
      <c r="D564" s="33">
        <v>5.2177806000000002</v>
      </c>
      <c r="E564" s="33">
        <v>-76.634866700000003</v>
      </c>
      <c r="F564" s="29" t="s">
        <v>8090</v>
      </c>
      <c r="G564" s="29" t="s">
        <v>8090</v>
      </c>
      <c r="H564" s="35" t="s">
        <v>8091</v>
      </c>
      <c r="I564" s="29"/>
      <c r="J564" s="29" t="s">
        <v>8839</v>
      </c>
      <c r="K564" s="37">
        <v>0</v>
      </c>
    </row>
    <row r="565" spans="1:11">
      <c r="A565" s="31">
        <v>565</v>
      </c>
      <c r="B565" s="29" t="s">
        <v>8840</v>
      </c>
      <c r="C565" s="29" t="s">
        <v>8841</v>
      </c>
      <c r="D565" s="33">
        <v>5.4216499999999996</v>
      </c>
      <c r="E565" s="33">
        <v>-76.745069999999998</v>
      </c>
      <c r="F565" s="29" t="s">
        <v>8090</v>
      </c>
      <c r="G565" s="29" t="s">
        <v>8090</v>
      </c>
      <c r="H565" s="35" t="s">
        <v>8091</v>
      </c>
      <c r="I565" s="29"/>
      <c r="J565" s="29" t="s">
        <v>8842</v>
      </c>
      <c r="K565" s="37">
        <v>0</v>
      </c>
    </row>
    <row r="566" spans="1:11">
      <c r="A566" s="31">
        <v>566</v>
      </c>
      <c r="B566" s="29" t="s">
        <v>7997</v>
      </c>
      <c r="C566" s="29" t="s">
        <v>294</v>
      </c>
      <c r="D566" s="33">
        <v>1.9998610999999999</v>
      </c>
      <c r="E566" s="33">
        <v>-76.285502800000003</v>
      </c>
      <c r="F566" s="29" t="s">
        <v>8090</v>
      </c>
      <c r="G566" s="29" t="s">
        <v>8090</v>
      </c>
      <c r="H566" s="35" t="s">
        <v>8091</v>
      </c>
      <c r="I566" s="29"/>
      <c r="J566" s="29" t="s">
        <v>8843</v>
      </c>
      <c r="K566" s="37">
        <v>0</v>
      </c>
    </row>
    <row r="567" spans="1:11">
      <c r="A567" s="31">
        <v>567</v>
      </c>
      <c r="B567" s="29" t="s">
        <v>4080</v>
      </c>
      <c r="C567" s="29" t="s">
        <v>4081</v>
      </c>
      <c r="D567" s="33">
        <v>1.25</v>
      </c>
      <c r="E567" s="33">
        <v>-78.116666699999996</v>
      </c>
      <c r="F567" s="29" t="s">
        <v>8090</v>
      </c>
      <c r="G567" s="29" t="s">
        <v>8090</v>
      </c>
      <c r="H567" s="35" t="s">
        <v>8091</v>
      </c>
      <c r="I567" s="29"/>
      <c r="J567" s="29" t="s">
        <v>8844</v>
      </c>
      <c r="K567" s="37">
        <v>0</v>
      </c>
    </row>
    <row r="568" spans="1:11">
      <c r="A568" s="31">
        <v>568</v>
      </c>
      <c r="B568" s="29" t="s">
        <v>8845</v>
      </c>
      <c r="C568" s="29" t="s">
        <v>8846</v>
      </c>
      <c r="D568" s="33">
        <v>1.7738</v>
      </c>
      <c r="E568" s="33">
        <v>-78.833299999999994</v>
      </c>
      <c r="F568" s="29" t="s">
        <v>8090</v>
      </c>
      <c r="G568" s="29" t="s">
        <v>8090</v>
      </c>
      <c r="H568" s="35" t="s">
        <v>8091</v>
      </c>
      <c r="I568" s="29"/>
      <c r="J568" s="29" t="s">
        <v>8847</v>
      </c>
      <c r="K568" s="37">
        <v>0</v>
      </c>
    </row>
    <row r="569" spans="1:11">
      <c r="A569" s="31">
        <v>569</v>
      </c>
      <c r="B569" s="29" t="s">
        <v>8845</v>
      </c>
      <c r="C569" s="29" t="s">
        <v>8846</v>
      </c>
      <c r="D569" s="33">
        <v>1.7738</v>
      </c>
      <c r="E569" s="33">
        <v>-78.833299999999994</v>
      </c>
      <c r="F569" s="29" t="s">
        <v>8090</v>
      </c>
      <c r="G569" s="29" t="s">
        <v>8090</v>
      </c>
      <c r="H569" s="35" t="s">
        <v>8091</v>
      </c>
      <c r="I569" s="29"/>
      <c r="J569" s="29"/>
      <c r="K569" s="37">
        <v>1</v>
      </c>
    </row>
    <row r="570" spans="1:11">
      <c r="A570" s="31">
        <v>570</v>
      </c>
      <c r="B570" s="29" t="s">
        <v>8848</v>
      </c>
      <c r="C570" s="29" t="s">
        <v>8849</v>
      </c>
      <c r="D570" s="33">
        <v>-0.49492999999999998</v>
      </c>
      <c r="E570" s="33">
        <v>-74.419409999999999</v>
      </c>
      <c r="F570" s="29" t="s">
        <v>8090</v>
      </c>
      <c r="G570" s="29" t="s">
        <v>8090</v>
      </c>
      <c r="H570" s="35" t="s">
        <v>8091</v>
      </c>
      <c r="I570" s="29"/>
      <c r="J570" s="29" t="s">
        <v>8850</v>
      </c>
      <c r="K570" s="37">
        <v>0</v>
      </c>
    </row>
    <row r="571" spans="1:11">
      <c r="A571" s="31">
        <v>571</v>
      </c>
      <c r="B571" s="29" t="s">
        <v>4105</v>
      </c>
      <c r="C571" s="29" t="s">
        <v>4106</v>
      </c>
      <c r="D571" s="33">
        <v>0.65795000000000003</v>
      </c>
      <c r="E571" s="33">
        <v>-76.692986099999999</v>
      </c>
      <c r="F571" s="29" t="s">
        <v>8090</v>
      </c>
      <c r="G571" s="29" t="s">
        <v>8090</v>
      </c>
      <c r="H571" s="35" t="s">
        <v>8091</v>
      </c>
      <c r="I571" s="29"/>
      <c r="J571" s="29" t="s">
        <v>8851</v>
      </c>
      <c r="K571" s="37">
        <v>0</v>
      </c>
    </row>
    <row r="572" spans="1:11">
      <c r="A572" s="31">
        <v>572</v>
      </c>
      <c r="B572" s="29" t="s">
        <v>649</v>
      </c>
      <c r="C572" s="29" t="s">
        <v>4115</v>
      </c>
      <c r="D572" s="33">
        <v>1.1666666999999999</v>
      </c>
      <c r="E572" s="33">
        <v>-76.55</v>
      </c>
      <c r="F572" s="29" t="s">
        <v>8090</v>
      </c>
      <c r="G572" s="29" t="s">
        <v>8090</v>
      </c>
      <c r="H572" s="35" t="s">
        <v>8091</v>
      </c>
      <c r="I572" s="29"/>
      <c r="J572" s="29" t="s">
        <v>8852</v>
      </c>
      <c r="K572" s="37">
        <v>0</v>
      </c>
    </row>
    <row r="573" spans="1:11">
      <c r="A573" s="31">
        <v>573</v>
      </c>
      <c r="B573" s="29" t="s">
        <v>8853</v>
      </c>
      <c r="C573" s="29" t="s">
        <v>8854</v>
      </c>
      <c r="D573" s="33">
        <v>6.75739</v>
      </c>
      <c r="E573" s="33">
        <v>-74.121799999999993</v>
      </c>
      <c r="F573" s="29" t="s">
        <v>8090</v>
      </c>
      <c r="G573" s="29" t="s">
        <v>8090</v>
      </c>
      <c r="H573" s="35" t="s">
        <v>8091</v>
      </c>
      <c r="I573" s="29"/>
      <c r="J573" s="29" t="s">
        <v>8855</v>
      </c>
      <c r="K573" s="37">
        <v>0</v>
      </c>
    </row>
    <row r="574" spans="1:11">
      <c r="A574" s="31">
        <v>574</v>
      </c>
      <c r="B574" s="29" t="s">
        <v>8856</v>
      </c>
      <c r="C574" s="29" t="s">
        <v>8857</v>
      </c>
      <c r="D574" s="33">
        <v>4.0020600000000002</v>
      </c>
      <c r="E574" s="33">
        <v>-76.978319999999997</v>
      </c>
      <c r="F574" s="29" t="s">
        <v>8090</v>
      </c>
      <c r="G574" s="29" t="s">
        <v>8090</v>
      </c>
      <c r="H574" s="35" t="s">
        <v>8091</v>
      </c>
      <c r="I574" s="29"/>
      <c r="J574" s="29" t="s">
        <v>8858</v>
      </c>
      <c r="K574" s="37">
        <v>0</v>
      </c>
    </row>
    <row r="575" spans="1:11">
      <c r="A575" s="31">
        <v>575</v>
      </c>
      <c r="B575" s="29" t="s">
        <v>8859</v>
      </c>
      <c r="C575" s="29" t="s">
        <v>8860</v>
      </c>
      <c r="D575" s="33">
        <v>6.6288</v>
      </c>
      <c r="E575" s="33">
        <v>-75.688969999999998</v>
      </c>
      <c r="F575" s="29" t="s">
        <v>8090</v>
      </c>
      <c r="G575" s="29" t="s">
        <v>8090</v>
      </c>
      <c r="H575" s="35" t="s">
        <v>8091</v>
      </c>
      <c r="I575" s="29"/>
      <c r="J575" s="29" t="s">
        <v>8861</v>
      </c>
      <c r="K575" s="37">
        <v>0</v>
      </c>
    </row>
    <row r="576" spans="1:11">
      <c r="A576" s="31">
        <v>576</v>
      </c>
      <c r="B576" s="29" t="s">
        <v>8859</v>
      </c>
      <c r="C576" s="29" t="s">
        <v>8860</v>
      </c>
      <c r="D576" s="33">
        <v>6.6288</v>
      </c>
      <c r="E576" s="33">
        <v>-75.688969999999998</v>
      </c>
      <c r="F576" s="29" t="s">
        <v>8090</v>
      </c>
      <c r="G576" s="29" t="s">
        <v>8090</v>
      </c>
      <c r="H576" s="35" t="s">
        <v>8091</v>
      </c>
      <c r="I576" s="29"/>
      <c r="J576" s="29"/>
      <c r="K576" s="37">
        <v>1</v>
      </c>
    </row>
    <row r="577" spans="1:11">
      <c r="A577" s="31">
        <v>577</v>
      </c>
      <c r="B577" s="29" t="s">
        <v>8521</v>
      </c>
      <c r="C577" s="29" t="s">
        <v>8522</v>
      </c>
      <c r="D577" s="33">
        <v>6.3337599999999998</v>
      </c>
      <c r="E577" s="33">
        <v>-75.643929999999997</v>
      </c>
      <c r="F577" s="29" t="s">
        <v>8090</v>
      </c>
      <c r="G577" s="29" t="s">
        <v>8090</v>
      </c>
      <c r="H577" s="35" t="s">
        <v>8091</v>
      </c>
      <c r="I577" s="29"/>
      <c r="J577" s="29"/>
      <c r="K577" s="37">
        <v>1</v>
      </c>
    </row>
    <row r="578" spans="1:11">
      <c r="A578" s="31">
        <v>578</v>
      </c>
      <c r="B578" s="29" t="s">
        <v>4169</v>
      </c>
      <c r="C578" s="29" t="s">
        <v>4170</v>
      </c>
      <c r="D578" s="33">
        <v>5.9280194000000002</v>
      </c>
      <c r="E578" s="33">
        <v>-75.671719400000001</v>
      </c>
      <c r="F578" s="29" t="s">
        <v>8090</v>
      </c>
      <c r="G578" s="29" t="s">
        <v>8090</v>
      </c>
      <c r="H578" s="35" t="s">
        <v>8091</v>
      </c>
      <c r="I578" s="29"/>
      <c r="J578" s="29" t="s">
        <v>8862</v>
      </c>
      <c r="K578" s="37">
        <v>0</v>
      </c>
    </row>
    <row r="579" spans="1:11">
      <c r="A579" s="31">
        <v>579</v>
      </c>
      <c r="B579" s="29" t="s">
        <v>4181</v>
      </c>
      <c r="C579" s="29" t="s">
        <v>4182</v>
      </c>
      <c r="D579" s="33">
        <v>6.0572222</v>
      </c>
      <c r="E579" s="33">
        <v>-75.502499999999998</v>
      </c>
      <c r="F579" s="29" t="s">
        <v>8090</v>
      </c>
      <c r="G579" s="29" t="s">
        <v>8090</v>
      </c>
      <c r="H579" s="35" t="s">
        <v>8091</v>
      </c>
      <c r="I579" s="29"/>
      <c r="J579" s="29" t="s">
        <v>8863</v>
      </c>
      <c r="K579" s="37">
        <v>0</v>
      </c>
    </row>
    <row r="580" spans="1:11">
      <c r="A580" s="31">
        <v>580</v>
      </c>
      <c r="B580" s="29" t="s">
        <v>754</v>
      </c>
      <c r="C580" s="29" t="s">
        <v>4194</v>
      </c>
      <c r="D580" s="33">
        <v>6.3</v>
      </c>
      <c r="E580" s="33">
        <v>-75.683333300000001</v>
      </c>
      <c r="F580" s="29" t="s">
        <v>8090</v>
      </c>
      <c r="G580" s="29" t="s">
        <v>8090</v>
      </c>
      <c r="H580" s="35" t="s">
        <v>8091</v>
      </c>
      <c r="I580" s="29"/>
      <c r="J580" s="29" t="s">
        <v>8864</v>
      </c>
      <c r="K580" s="37">
        <v>0</v>
      </c>
    </row>
    <row r="581" spans="1:11">
      <c r="A581" s="31">
        <v>581</v>
      </c>
      <c r="B581" s="29" t="s">
        <v>8865</v>
      </c>
      <c r="C581" s="29" t="s">
        <v>8866</v>
      </c>
      <c r="D581" s="33">
        <v>6.3343499999999997</v>
      </c>
      <c r="E581" s="33">
        <v>-75.656909999999996</v>
      </c>
      <c r="F581" s="29" t="s">
        <v>8090</v>
      </c>
      <c r="G581" s="29" t="s">
        <v>8090</v>
      </c>
      <c r="H581" s="35" t="s">
        <v>8091</v>
      </c>
      <c r="I581" s="29"/>
      <c r="J581" s="29" t="s">
        <v>8867</v>
      </c>
      <c r="K581" s="37">
        <v>0</v>
      </c>
    </row>
    <row r="582" spans="1:11">
      <c r="A582" s="31">
        <v>582</v>
      </c>
      <c r="B582" s="29" t="s">
        <v>4212</v>
      </c>
      <c r="C582" s="29" t="s">
        <v>4213</v>
      </c>
      <c r="D582" s="33">
        <v>6.9616832999999998</v>
      </c>
      <c r="E582" s="33">
        <v>-75.426824999999994</v>
      </c>
      <c r="F582" s="29" t="s">
        <v>8090</v>
      </c>
      <c r="G582" s="29" t="s">
        <v>8090</v>
      </c>
      <c r="H582" s="35" t="s">
        <v>8091</v>
      </c>
      <c r="I582" s="29"/>
      <c r="J582" s="29" t="s">
        <v>8868</v>
      </c>
      <c r="K582" s="37">
        <v>0</v>
      </c>
    </row>
    <row r="583" spans="1:11">
      <c r="A583" s="31">
        <v>583</v>
      </c>
      <c r="B583" s="29" t="s">
        <v>4212</v>
      </c>
      <c r="C583" s="29" t="s">
        <v>4213</v>
      </c>
      <c r="D583" s="33">
        <v>6.9616832999999998</v>
      </c>
      <c r="E583" s="33">
        <v>-75.426824999999994</v>
      </c>
      <c r="F583" s="29" t="s">
        <v>8090</v>
      </c>
      <c r="G583" s="29" t="s">
        <v>8090</v>
      </c>
      <c r="H583" s="35" t="s">
        <v>8091</v>
      </c>
      <c r="I583" s="29"/>
      <c r="J583" s="29"/>
      <c r="K583" s="37">
        <v>1</v>
      </c>
    </row>
    <row r="584" spans="1:11">
      <c r="A584" s="31">
        <v>584</v>
      </c>
      <c r="B584" s="29" t="s">
        <v>4212</v>
      </c>
      <c r="C584" s="29" t="s">
        <v>4213</v>
      </c>
      <c r="D584" s="33">
        <v>6.9616832999999998</v>
      </c>
      <c r="E584" s="33">
        <v>-75.426824999999994</v>
      </c>
      <c r="F584" s="29" t="s">
        <v>8090</v>
      </c>
      <c r="G584" s="29" t="s">
        <v>8090</v>
      </c>
      <c r="H584" s="35" t="s">
        <v>8091</v>
      </c>
      <c r="I584" s="29"/>
      <c r="J584" s="29"/>
      <c r="K584" s="37">
        <v>1</v>
      </c>
    </row>
    <row r="585" spans="1:11">
      <c r="A585" s="31">
        <v>585</v>
      </c>
      <c r="B585" s="29" t="s">
        <v>811</v>
      </c>
      <c r="C585" s="29" t="s">
        <v>2437</v>
      </c>
      <c r="D585" s="33">
        <v>6.2833332999999998</v>
      </c>
      <c r="E585" s="33">
        <v>-75.633333300000004</v>
      </c>
      <c r="F585" s="29" t="s">
        <v>8090</v>
      </c>
      <c r="G585" s="29" t="s">
        <v>8090</v>
      </c>
      <c r="H585" s="35" t="s">
        <v>8091</v>
      </c>
      <c r="I585" s="29"/>
      <c r="J585" s="29" t="s">
        <v>8869</v>
      </c>
      <c r="K585" s="37">
        <v>0</v>
      </c>
    </row>
    <row r="586" spans="1:11">
      <c r="A586" s="31">
        <v>586</v>
      </c>
      <c r="B586" s="29" t="s">
        <v>546</v>
      </c>
      <c r="C586" s="29" t="s">
        <v>547</v>
      </c>
      <c r="D586" s="33">
        <v>6.2800111000000003</v>
      </c>
      <c r="E586" s="33">
        <v>-75.4427333</v>
      </c>
      <c r="F586" s="29" t="s">
        <v>8090</v>
      </c>
      <c r="G586" s="29" t="s">
        <v>8090</v>
      </c>
      <c r="H586" s="35" t="s">
        <v>8091</v>
      </c>
      <c r="I586" s="29"/>
      <c r="J586" s="29" t="s">
        <v>8870</v>
      </c>
      <c r="K586" s="37">
        <v>0</v>
      </c>
    </row>
    <row r="587" spans="1:11">
      <c r="A587" s="31">
        <v>587</v>
      </c>
      <c r="B587" s="29" t="s">
        <v>546</v>
      </c>
      <c r="C587" s="29" t="s">
        <v>547</v>
      </c>
      <c r="D587" s="33">
        <v>6.2800111000000003</v>
      </c>
      <c r="E587" s="33">
        <v>-75.4427333</v>
      </c>
      <c r="F587" s="29" t="s">
        <v>8090</v>
      </c>
      <c r="G587" s="29" t="s">
        <v>8090</v>
      </c>
      <c r="H587" s="35" t="s">
        <v>8091</v>
      </c>
      <c r="I587" s="29"/>
      <c r="J587" s="29"/>
      <c r="K587" s="37">
        <v>1</v>
      </c>
    </row>
    <row r="588" spans="1:11">
      <c r="A588" s="31">
        <v>588</v>
      </c>
      <c r="B588" s="29" t="s">
        <v>560</v>
      </c>
      <c r="C588" s="29" t="s">
        <v>561</v>
      </c>
      <c r="D588" s="33">
        <v>6.09</v>
      </c>
      <c r="E588" s="33">
        <v>-75.638000000000005</v>
      </c>
      <c r="F588" s="29" t="s">
        <v>8090</v>
      </c>
      <c r="G588" s="29" t="s">
        <v>8090</v>
      </c>
      <c r="H588" s="35" t="s">
        <v>8091</v>
      </c>
      <c r="I588" s="29"/>
      <c r="J588" s="29" t="s">
        <v>8871</v>
      </c>
      <c r="K588" s="37">
        <v>0</v>
      </c>
    </row>
    <row r="589" spans="1:11">
      <c r="A589" s="31">
        <v>589</v>
      </c>
      <c r="B589" s="29" t="s">
        <v>560</v>
      </c>
      <c r="C589" s="29" t="s">
        <v>561</v>
      </c>
      <c r="D589" s="33">
        <v>6.09</v>
      </c>
      <c r="E589" s="33">
        <v>-75.638000000000005</v>
      </c>
      <c r="F589" s="29" t="s">
        <v>8090</v>
      </c>
      <c r="G589" s="29" t="s">
        <v>8090</v>
      </c>
      <c r="H589" s="35" t="s">
        <v>8091</v>
      </c>
      <c r="I589" s="29"/>
      <c r="J589" s="29"/>
      <c r="K589" s="37">
        <v>1</v>
      </c>
    </row>
    <row r="590" spans="1:11">
      <c r="A590" s="31">
        <v>590</v>
      </c>
      <c r="B590" s="29" t="s">
        <v>560</v>
      </c>
      <c r="C590" s="29" t="s">
        <v>561</v>
      </c>
      <c r="D590" s="33">
        <v>6.09</v>
      </c>
      <c r="E590" s="33">
        <v>-75.638000000000005</v>
      </c>
      <c r="F590" s="29" t="s">
        <v>8090</v>
      </c>
      <c r="G590" s="29" t="s">
        <v>8090</v>
      </c>
      <c r="H590" s="35" t="s">
        <v>8091</v>
      </c>
      <c r="I590" s="29"/>
      <c r="J590" s="29"/>
      <c r="K590" s="37">
        <v>1</v>
      </c>
    </row>
    <row r="591" spans="1:11">
      <c r="A591" s="31">
        <v>591</v>
      </c>
      <c r="B591" s="29" t="s">
        <v>560</v>
      </c>
      <c r="C591" s="29" t="s">
        <v>561</v>
      </c>
      <c r="D591" s="33">
        <v>6.09</v>
      </c>
      <c r="E591" s="33">
        <v>-75.638000000000005</v>
      </c>
      <c r="F591" s="29" t="s">
        <v>8090</v>
      </c>
      <c r="G591" s="29" t="s">
        <v>8090</v>
      </c>
      <c r="H591" s="35" t="s">
        <v>8091</v>
      </c>
      <c r="I591" s="29"/>
      <c r="J591" s="29"/>
      <c r="K591" s="37">
        <v>1</v>
      </c>
    </row>
    <row r="592" spans="1:11">
      <c r="A592" s="31">
        <v>592</v>
      </c>
      <c r="B592" s="29" t="s">
        <v>560</v>
      </c>
      <c r="C592" s="29" t="s">
        <v>561</v>
      </c>
      <c r="D592" s="33">
        <v>6.09</v>
      </c>
      <c r="E592" s="33">
        <v>-75.638000000000005</v>
      </c>
      <c r="F592" s="29" t="s">
        <v>8090</v>
      </c>
      <c r="G592" s="29" t="s">
        <v>8090</v>
      </c>
      <c r="H592" s="35" t="s">
        <v>8091</v>
      </c>
      <c r="I592" s="29"/>
      <c r="J592" s="29"/>
      <c r="K592" s="37">
        <v>1</v>
      </c>
    </row>
    <row r="593" spans="1:11">
      <c r="A593" s="31">
        <v>593</v>
      </c>
      <c r="B593" s="29" t="s">
        <v>560</v>
      </c>
      <c r="C593" s="29" t="s">
        <v>561</v>
      </c>
      <c r="D593" s="33">
        <v>6.09</v>
      </c>
      <c r="E593" s="33">
        <v>-75.638000000000005</v>
      </c>
      <c r="F593" s="29" t="s">
        <v>8090</v>
      </c>
      <c r="G593" s="29" t="s">
        <v>8090</v>
      </c>
      <c r="H593" s="35" t="s">
        <v>8091</v>
      </c>
      <c r="I593" s="29"/>
      <c r="J593" s="29"/>
      <c r="K593" s="37">
        <v>1</v>
      </c>
    </row>
    <row r="594" spans="1:11">
      <c r="A594" s="31">
        <v>594</v>
      </c>
      <c r="B594" s="29" t="s">
        <v>560</v>
      </c>
      <c r="C594" s="29" t="s">
        <v>561</v>
      </c>
      <c r="D594" s="33">
        <v>6.09</v>
      </c>
      <c r="E594" s="33">
        <v>-75.638000000000005</v>
      </c>
      <c r="F594" s="29" t="s">
        <v>8090</v>
      </c>
      <c r="G594" s="29" t="s">
        <v>8090</v>
      </c>
      <c r="H594" s="35" t="s">
        <v>8091</v>
      </c>
      <c r="I594" s="29"/>
      <c r="J594" s="29"/>
      <c r="K594" s="37">
        <v>1</v>
      </c>
    </row>
    <row r="595" spans="1:11">
      <c r="A595" s="31">
        <v>595</v>
      </c>
      <c r="B595" s="29" t="s">
        <v>4212</v>
      </c>
      <c r="C595" s="29" t="s">
        <v>4213</v>
      </c>
      <c r="D595" s="33">
        <v>6.9616832999999998</v>
      </c>
      <c r="E595" s="33">
        <v>-75.426824999999994</v>
      </c>
      <c r="F595" s="29" t="s">
        <v>8090</v>
      </c>
      <c r="G595" s="29" t="s">
        <v>8090</v>
      </c>
      <c r="H595" s="35" t="s">
        <v>8091</v>
      </c>
      <c r="I595" s="29"/>
      <c r="J595" s="29"/>
      <c r="K595" s="37">
        <v>1</v>
      </c>
    </row>
    <row r="596" spans="1:11">
      <c r="A596" s="31">
        <v>596</v>
      </c>
      <c r="B596" s="29" t="s">
        <v>4212</v>
      </c>
      <c r="C596" s="29" t="s">
        <v>4213</v>
      </c>
      <c r="D596" s="33">
        <v>6.9616832999999998</v>
      </c>
      <c r="E596" s="33">
        <v>-75.426824999999994</v>
      </c>
      <c r="F596" s="29" t="s">
        <v>8090</v>
      </c>
      <c r="G596" s="29" t="s">
        <v>8090</v>
      </c>
      <c r="H596" s="35" t="s">
        <v>8091</v>
      </c>
      <c r="I596" s="29"/>
      <c r="J596" s="29"/>
      <c r="K596" s="37">
        <v>1</v>
      </c>
    </row>
    <row r="597" spans="1:11">
      <c r="A597" s="31">
        <v>597</v>
      </c>
      <c r="B597" s="29" t="s">
        <v>4270</v>
      </c>
      <c r="C597" s="29" t="s">
        <v>3506</v>
      </c>
      <c r="D597" s="33">
        <v>6.95</v>
      </c>
      <c r="E597" s="33">
        <v>-75.466666700000005</v>
      </c>
      <c r="F597" s="29" t="s">
        <v>8090</v>
      </c>
      <c r="G597" s="29" t="s">
        <v>8090</v>
      </c>
      <c r="H597" s="35" t="s">
        <v>8091</v>
      </c>
      <c r="I597" s="29"/>
      <c r="J597" s="29" t="s">
        <v>8872</v>
      </c>
      <c r="K597" s="37">
        <v>0</v>
      </c>
    </row>
    <row r="598" spans="1:11">
      <c r="A598" s="31">
        <v>598</v>
      </c>
      <c r="B598" s="29" t="s">
        <v>754</v>
      </c>
      <c r="C598" s="29" t="s">
        <v>4194</v>
      </c>
      <c r="D598" s="33">
        <v>6.3</v>
      </c>
      <c r="E598" s="33">
        <v>-75.683333300000001</v>
      </c>
      <c r="F598" s="29" t="s">
        <v>8090</v>
      </c>
      <c r="G598" s="29" t="s">
        <v>8090</v>
      </c>
      <c r="H598" s="35" t="s">
        <v>8091</v>
      </c>
      <c r="I598" s="29"/>
      <c r="J598" s="29"/>
      <c r="K598" s="37">
        <v>1</v>
      </c>
    </row>
    <row r="599" spans="1:11">
      <c r="A599" s="31">
        <v>599</v>
      </c>
      <c r="B599" s="29" t="s">
        <v>754</v>
      </c>
      <c r="C599" s="29" t="s">
        <v>4194</v>
      </c>
      <c r="D599" s="33">
        <v>6.3</v>
      </c>
      <c r="E599" s="33">
        <v>-75.683333300000001</v>
      </c>
      <c r="F599" s="29" t="s">
        <v>8090</v>
      </c>
      <c r="G599" s="29" t="s">
        <v>8090</v>
      </c>
      <c r="H599" s="35" t="s">
        <v>8091</v>
      </c>
      <c r="I599" s="29"/>
      <c r="J599" s="29"/>
      <c r="K599" s="37">
        <v>1</v>
      </c>
    </row>
    <row r="600" spans="1:11">
      <c r="A600" s="31">
        <v>600</v>
      </c>
      <c r="B600" s="29" t="s">
        <v>4287</v>
      </c>
      <c r="C600" s="29" t="s">
        <v>4288</v>
      </c>
      <c r="D600" s="33">
        <v>5.9736111000000003</v>
      </c>
      <c r="E600" s="33">
        <v>-75.3613833</v>
      </c>
      <c r="F600" s="29" t="s">
        <v>8090</v>
      </c>
      <c r="G600" s="29" t="s">
        <v>8090</v>
      </c>
      <c r="H600" s="35" t="s">
        <v>8091</v>
      </c>
      <c r="I600" s="29"/>
      <c r="J600" s="29" t="s">
        <v>8873</v>
      </c>
      <c r="K600" s="37">
        <v>0</v>
      </c>
    </row>
    <row r="601" spans="1:11">
      <c r="A601" s="31">
        <v>601</v>
      </c>
      <c r="B601" s="29" t="s">
        <v>4298</v>
      </c>
      <c r="C601" s="29" t="s">
        <v>547</v>
      </c>
      <c r="D601" s="33">
        <v>6.2801111000000001</v>
      </c>
      <c r="E601" s="33">
        <v>-75.4427333</v>
      </c>
      <c r="F601" s="29" t="s">
        <v>8090</v>
      </c>
      <c r="G601" s="29" t="s">
        <v>8090</v>
      </c>
      <c r="H601" s="35" t="s">
        <v>8091</v>
      </c>
      <c r="I601" s="29"/>
      <c r="J601" s="29" t="s">
        <v>8874</v>
      </c>
      <c r="K601" s="37">
        <v>0</v>
      </c>
    </row>
    <row r="602" spans="1:11">
      <c r="A602" s="31">
        <v>602</v>
      </c>
      <c r="B602" s="29" t="s">
        <v>532</v>
      </c>
      <c r="C602" s="29" t="s">
        <v>2426</v>
      </c>
      <c r="D602" s="33">
        <v>6.25</v>
      </c>
      <c r="E602" s="33">
        <v>-75.583333300000007</v>
      </c>
      <c r="F602" s="29" t="s">
        <v>8090</v>
      </c>
      <c r="G602" s="29" t="s">
        <v>8090</v>
      </c>
      <c r="H602" s="35" t="s">
        <v>8091</v>
      </c>
      <c r="I602" s="29"/>
      <c r="J602" s="29"/>
      <c r="K602" s="37">
        <v>1</v>
      </c>
    </row>
    <row r="603" spans="1:11">
      <c r="A603" s="31">
        <v>603</v>
      </c>
      <c r="B603" s="29" t="s">
        <v>624</v>
      </c>
      <c r="C603" s="29" t="s">
        <v>625</v>
      </c>
      <c r="D603" s="33">
        <v>5.5</v>
      </c>
      <c r="E603" s="33">
        <v>-75.833333300000007</v>
      </c>
      <c r="F603" s="29" t="s">
        <v>8090</v>
      </c>
      <c r="G603" s="29" t="s">
        <v>8090</v>
      </c>
      <c r="H603" s="35" t="s">
        <v>8091</v>
      </c>
      <c r="I603" s="29"/>
      <c r="J603" s="29"/>
      <c r="K603" s="37">
        <v>1</v>
      </c>
    </row>
    <row r="604" spans="1:11">
      <c r="A604" s="31">
        <v>604</v>
      </c>
      <c r="B604" s="29" t="s">
        <v>2309</v>
      </c>
      <c r="C604" s="29" t="s">
        <v>2310</v>
      </c>
      <c r="D604" s="33">
        <v>5.6833333000000001</v>
      </c>
      <c r="E604" s="33">
        <v>-75.233333299999998</v>
      </c>
      <c r="F604" s="29" t="s">
        <v>8090</v>
      </c>
      <c r="G604" s="29" t="s">
        <v>8090</v>
      </c>
      <c r="H604" s="35" t="s">
        <v>8091</v>
      </c>
      <c r="I604" s="29"/>
      <c r="J604" s="29"/>
      <c r="K604" s="37">
        <v>1</v>
      </c>
    </row>
    <row r="605" spans="1:11">
      <c r="A605" s="31">
        <v>605</v>
      </c>
      <c r="B605" s="29" t="s">
        <v>2309</v>
      </c>
      <c r="C605" s="29" t="s">
        <v>4325</v>
      </c>
      <c r="D605" s="33">
        <v>5.6833333000000001</v>
      </c>
      <c r="E605" s="33">
        <v>-75.349999999999994</v>
      </c>
      <c r="F605" s="29" t="s">
        <v>8090</v>
      </c>
      <c r="G605" s="29" t="s">
        <v>8090</v>
      </c>
      <c r="H605" s="35" t="s">
        <v>8091</v>
      </c>
      <c r="I605" s="29"/>
      <c r="J605" s="29" t="s">
        <v>8875</v>
      </c>
      <c r="K605" s="37">
        <v>0</v>
      </c>
    </row>
    <row r="606" spans="1:11">
      <c r="A606" s="31">
        <v>606</v>
      </c>
      <c r="B606" s="29" t="s">
        <v>4336</v>
      </c>
      <c r="C606" s="29" t="s">
        <v>4337</v>
      </c>
      <c r="D606" s="33">
        <v>6.75</v>
      </c>
      <c r="E606" s="33">
        <v>-76.383333300000004</v>
      </c>
      <c r="F606" s="29" t="s">
        <v>8090</v>
      </c>
      <c r="G606" s="29" t="s">
        <v>8090</v>
      </c>
      <c r="H606" s="35" t="s">
        <v>8091</v>
      </c>
      <c r="I606" s="29"/>
      <c r="J606" s="29" t="s">
        <v>8876</v>
      </c>
      <c r="K606" s="37">
        <v>0</v>
      </c>
    </row>
    <row r="607" spans="1:11">
      <c r="A607" s="31">
        <v>607</v>
      </c>
      <c r="B607" s="29" t="s">
        <v>4349</v>
      </c>
      <c r="C607" s="29" t="s">
        <v>4350</v>
      </c>
      <c r="D607" s="33">
        <v>7.1136111</v>
      </c>
      <c r="E607" s="33">
        <v>-75.55</v>
      </c>
      <c r="F607" s="29" t="s">
        <v>8090</v>
      </c>
      <c r="G607" s="29" t="s">
        <v>8090</v>
      </c>
      <c r="H607" s="35" t="s">
        <v>8091</v>
      </c>
      <c r="I607" s="29"/>
      <c r="J607" s="29" t="s">
        <v>8877</v>
      </c>
      <c r="K607" s="37">
        <v>0</v>
      </c>
    </row>
    <row r="608" spans="1:11">
      <c r="A608" s="31">
        <v>608</v>
      </c>
      <c r="B608" s="29" t="s">
        <v>8878</v>
      </c>
      <c r="C608" s="29" t="s">
        <v>8879</v>
      </c>
      <c r="D608" s="33">
        <v>7.1163999999999996</v>
      </c>
      <c r="E608" s="33">
        <v>-75.416910000000001</v>
      </c>
      <c r="F608" s="29" t="s">
        <v>8090</v>
      </c>
      <c r="G608" s="29" t="s">
        <v>8090</v>
      </c>
      <c r="H608" s="35" t="s">
        <v>8091</v>
      </c>
      <c r="I608" s="29"/>
      <c r="J608" s="29" t="s">
        <v>8880</v>
      </c>
      <c r="K608" s="37">
        <v>0</v>
      </c>
    </row>
    <row r="609" spans="1:11">
      <c r="A609" s="31">
        <v>609</v>
      </c>
      <c r="B609" s="29" t="s">
        <v>4373</v>
      </c>
      <c r="C609" s="29" t="s">
        <v>4374</v>
      </c>
      <c r="D609" s="33">
        <v>7.0333332999999998</v>
      </c>
      <c r="E609" s="33">
        <v>-75.400000000000006</v>
      </c>
      <c r="F609" s="29" t="s">
        <v>8090</v>
      </c>
      <c r="G609" s="29" t="s">
        <v>8090</v>
      </c>
      <c r="H609" s="35" t="s">
        <v>8091</v>
      </c>
      <c r="I609" s="29"/>
      <c r="J609" s="29" t="s">
        <v>8881</v>
      </c>
      <c r="K609" s="37">
        <v>0</v>
      </c>
    </row>
    <row r="610" spans="1:11">
      <c r="A610" s="31">
        <v>610</v>
      </c>
      <c r="B610" s="29" t="s">
        <v>4385</v>
      </c>
      <c r="C610" s="29" t="s">
        <v>4386</v>
      </c>
      <c r="D610" s="33">
        <v>5.7097221999999999</v>
      </c>
      <c r="E610" s="33">
        <v>-75.310833299999999</v>
      </c>
      <c r="F610" s="29" t="s">
        <v>8090</v>
      </c>
      <c r="G610" s="29" t="s">
        <v>8090</v>
      </c>
      <c r="H610" s="35" t="s">
        <v>8091</v>
      </c>
      <c r="I610" s="29"/>
      <c r="J610" s="29" t="s">
        <v>8882</v>
      </c>
      <c r="K610" s="37">
        <v>0</v>
      </c>
    </row>
    <row r="611" spans="1:11">
      <c r="A611" s="31">
        <v>611</v>
      </c>
      <c r="B611" s="29" t="s">
        <v>754</v>
      </c>
      <c r="C611" s="29" t="s">
        <v>4194</v>
      </c>
      <c r="D611" s="33">
        <v>6.3</v>
      </c>
      <c r="E611" s="33">
        <v>-75.683333300000001</v>
      </c>
      <c r="F611" s="29" t="s">
        <v>8090</v>
      </c>
      <c r="G611" s="29" t="s">
        <v>8090</v>
      </c>
      <c r="H611" s="35" t="s">
        <v>8091</v>
      </c>
      <c r="I611" s="29"/>
      <c r="J611" s="29"/>
      <c r="K611" s="37">
        <v>1</v>
      </c>
    </row>
    <row r="612" spans="1:11">
      <c r="A612" s="31">
        <v>612</v>
      </c>
      <c r="B612" s="29" t="s">
        <v>754</v>
      </c>
      <c r="C612" s="29" t="s">
        <v>4194</v>
      </c>
      <c r="D612" s="33">
        <v>6.3</v>
      </c>
      <c r="E612" s="33">
        <v>-75.683333300000001</v>
      </c>
      <c r="F612" s="29" t="s">
        <v>8090</v>
      </c>
      <c r="G612" s="29" t="s">
        <v>8090</v>
      </c>
      <c r="H612" s="35" t="s">
        <v>8091</v>
      </c>
      <c r="I612" s="29"/>
      <c r="J612" s="29"/>
      <c r="K612" s="37">
        <v>1</v>
      </c>
    </row>
    <row r="613" spans="1:11">
      <c r="A613" s="31">
        <v>613</v>
      </c>
      <c r="B613" s="29" t="s">
        <v>754</v>
      </c>
      <c r="C613" s="29" t="s">
        <v>4194</v>
      </c>
      <c r="D613" s="33">
        <v>6.3</v>
      </c>
      <c r="E613" s="33">
        <v>-75.683333300000001</v>
      </c>
      <c r="F613" s="29" t="s">
        <v>8090</v>
      </c>
      <c r="G613" s="29" t="s">
        <v>8090</v>
      </c>
      <c r="H613" s="35" t="s">
        <v>8091</v>
      </c>
      <c r="I613" s="29"/>
      <c r="J613" s="29"/>
      <c r="K613" s="37">
        <v>1</v>
      </c>
    </row>
    <row r="614" spans="1:11">
      <c r="A614" s="31">
        <v>614</v>
      </c>
      <c r="B614" s="29" t="s">
        <v>2333</v>
      </c>
      <c r="C614" s="29" t="s">
        <v>625</v>
      </c>
      <c r="D614" s="33">
        <v>5.6166666999999997</v>
      </c>
      <c r="E614" s="33">
        <v>-75.833333300000007</v>
      </c>
      <c r="F614" s="29" t="s">
        <v>8090</v>
      </c>
      <c r="G614" s="29" t="s">
        <v>8090</v>
      </c>
      <c r="H614" s="35" t="s">
        <v>8091</v>
      </c>
      <c r="I614" s="29"/>
      <c r="J614" s="29"/>
      <c r="K614" s="37">
        <v>1</v>
      </c>
    </row>
    <row r="615" spans="1:11">
      <c r="A615" s="31">
        <v>615</v>
      </c>
      <c r="B615" s="29" t="s">
        <v>4419</v>
      </c>
      <c r="C615" s="29" t="s">
        <v>4420</v>
      </c>
      <c r="D615" s="33">
        <v>6.78125</v>
      </c>
      <c r="E615" s="33">
        <v>-76.125061099999996</v>
      </c>
      <c r="F615" s="29" t="s">
        <v>8090</v>
      </c>
      <c r="G615" s="29" t="s">
        <v>8090</v>
      </c>
      <c r="H615" s="35" t="s">
        <v>8091</v>
      </c>
      <c r="I615" s="29"/>
      <c r="J615" s="29" t="s">
        <v>8883</v>
      </c>
      <c r="K615" s="37">
        <v>0</v>
      </c>
    </row>
    <row r="616" spans="1:11">
      <c r="A616" s="31">
        <v>616</v>
      </c>
      <c r="B616" s="29" t="s">
        <v>624</v>
      </c>
      <c r="C616" s="29" t="s">
        <v>625</v>
      </c>
      <c r="D616" s="33">
        <v>5.5</v>
      </c>
      <c r="E616" s="33">
        <v>-75.833333300000007</v>
      </c>
      <c r="F616" s="29" t="s">
        <v>8090</v>
      </c>
      <c r="G616" s="29" t="s">
        <v>8090</v>
      </c>
      <c r="H616" s="35" t="s">
        <v>8091</v>
      </c>
      <c r="I616" s="29"/>
      <c r="J616" s="29"/>
      <c r="K616" s="37">
        <v>1</v>
      </c>
    </row>
    <row r="617" spans="1:11">
      <c r="A617" s="31">
        <v>617</v>
      </c>
      <c r="B617" s="29" t="s">
        <v>4442</v>
      </c>
      <c r="C617" s="29" t="s">
        <v>2426</v>
      </c>
      <c r="D617" s="33">
        <v>7.0166667</v>
      </c>
      <c r="E617" s="33">
        <v>-75.583333300000007</v>
      </c>
      <c r="F617" s="29" t="s">
        <v>8090</v>
      </c>
      <c r="G617" s="29" t="s">
        <v>8090</v>
      </c>
      <c r="H617" s="35" t="s">
        <v>8091</v>
      </c>
      <c r="I617" s="29"/>
      <c r="J617" s="29" t="s">
        <v>8884</v>
      </c>
      <c r="K617" s="37">
        <v>0</v>
      </c>
    </row>
    <row r="618" spans="1:11">
      <c r="A618" s="31">
        <v>618</v>
      </c>
      <c r="B618" s="29" t="s">
        <v>4442</v>
      </c>
      <c r="C618" s="29" t="s">
        <v>2426</v>
      </c>
      <c r="D618" s="33">
        <v>7.0166667</v>
      </c>
      <c r="E618" s="33">
        <v>-75.583333300000007</v>
      </c>
      <c r="F618" s="29" t="s">
        <v>8090</v>
      </c>
      <c r="G618" s="29" t="s">
        <v>8090</v>
      </c>
      <c r="H618" s="35" t="s">
        <v>8091</v>
      </c>
      <c r="I618" s="29"/>
      <c r="J618" s="29"/>
      <c r="K618" s="37">
        <v>1</v>
      </c>
    </row>
    <row r="619" spans="1:11">
      <c r="A619" s="31">
        <v>619</v>
      </c>
      <c r="B619" s="29" t="s">
        <v>8859</v>
      </c>
      <c r="C619" s="29" t="s">
        <v>8860</v>
      </c>
      <c r="D619" s="33">
        <v>6.6288</v>
      </c>
      <c r="E619" s="33">
        <v>-75.688969999999998</v>
      </c>
      <c r="F619" s="29" t="s">
        <v>8090</v>
      </c>
      <c r="G619" s="29" t="s">
        <v>8090</v>
      </c>
      <c r="H619" s="35" t="s">
        <v>8091</v>
      </c>
      <c r="I619" s="29"/>
      <c r="J619" s="29"/>
      <c r="K619" s="37">
        <v>1</v>
      </c>
    </row>
    <row r="620" spans="1:11">
      <c r="A620" s="31">
        <v>620</v>
      </c>
      <c r="B620" s="29" t="s">
        <v>3519</v>
      </c>
      <c r="C620" s="29" t="s">
        <v>3520</v>
      </c>
      <c r="D620" s="33">
        <v>6.2359249999999999</v>
      </c>
      <c r="E620" s="33">
        <v>-75.575136099999995</v>
      </c>
      <c r="F620" s="29" t="s">
        <v>8090</v>
      </c>
      <c r="G620" s="29" t="s">
        <v>8090</v>
      </c>
      <c r="H620" s="35" t="s">
        <v>8091</v>
      </c>
      <c r="I620" s="29"/>
      <c r="J620" s="29"/>
      <c r="K620" s="37">
        <v>1</v>
      </c>
    </row>
    <row r="621" spans="1:11">
      <c r="A621" s="31">
        <v>621</v>
      </c>
      <c r="B621" s="29" t="s">
        <v>532</v>
      </c>
      <c r="C621" s="29" t="s">
        <v>2426</v>
      </c>
      <c r="D621" s="33">
        <v>6.25</v>
      </c>
      <c r="E621" s="33">
        <v>-75.583333300000007</v>
      </c>
      <c r="F621" s="29" t="s">
        <v>8090</v>
      </c>
      <c r="G621" s="29" t="s">
        <v>8090</v>
      </c>
      <c r="H621" s="35" t="s">
        <v>8091</v>
      </c>
      <c r="I621" s="29"/>
      <c r="J621" s="29"/>
      <c r="K621" s="37">
        <v>1</v>
      </c>
    </row>
    <row r="622" spans="1:11">
      <c r="A622" s="31">
        <v>622</v>
      </c>
      <c r="B622" s="29" t="s">
        <v>4466</v>
      </c>
      <c r="C622" s="29" t="s">
        <v>4467</v>
      </c>
      <c r="D622" s="33">
        <v>5.65</v>
      </c>
      <c r="E622" s="33">
        <v>-75.3</v>
      </c>
      <c r="F622" s="29" t="s">
        <v>8090</v>
      </c>
      <c r="G622" s="29" t="s">
        <v>8090</v>
      </c>
      <c r="H622" s="35" t="s">
        <v>8091</v>
      </c>
      <c r="I622" s="29"/>
      <c r="J622" s="29" t="s">
        <v>8885</v>
      </c>
      <c r="K622" s="37">
        <v>0</v>
      </c>
    </row>
    <row r="623" spans="1:11">
      <c r="A623" s="31">
        <v>623</v>
      </c>
      <c r="B623" s="29" t="s">
        <v>4466</v>
      </c>
      <c r="C623" s="29" t="s">
        <v>4467</v>
      </c>
      <c r="D623" s="33">
        <v>5.65</v>
      </c>
      <c r="E623" s="33">
        <v>-75.3</v>
      </c>
      <c r="F623" s="29" t="s">
        <v>8090</v>
      </c>
      <c r="G623" s="29" t="s">
        <v>8090</v>
      </c>
      <c r="H623" s="35" t="s">
        <v>8091</v>
      </c>
      <c r="I623" s="29"/>
      <c r="J623" s="29"/>
      <c r="K623" s="37">
        <v>1</v>
      </c>
    </row>
    <row r="624" spans="1:11">
      <c r="A624" s="31">
        <v>624</v>
      </c>
      <c r="B624" s="29" t="s">
        <v>8886</v>
      </c>
      <c r="C624" s="29" t="s">
        <v>8887</v>
      </c>
      <c r="D624" s="33">
        <v>5.7839</v>
      </c>
      <c r="E624" s="33">
        <v>-75.279970000000006</v>
      </c>
      <c r="F624" s="29" t="s">
        <v>8090</v>
      </c>
      <c r="G624" s="29" t="s">
        <v>8090</v>
      </c>
      <c r="H624" s="35" t="s">
        <v>8091</v>
      </c>
      <c r="I624" s="29"/>
      <c r="J624" s="29" t="s">
        <v>8888</v>
      </c>
      <c r="K624" s="37">
        <v>0</v>
      </c>
    </row>
    <row r="625" spans="1:11">
      <c r="A625" s="31">
        <v>625</v>
      </c>
      <c r="B625" s="29" t="s">
        <v>754</v>
      </c>
      <c r="C625" s="29" t="s">
        <v>755</v>
      </c>
      <c r="D625" s="33">
        <v>6.3</v>
      </c>
      <c r="E625" s="33">
        <v>-75.483333299999998</v>
      </c>
      <c r="F625" s="29" t="s">
        <v>8090</v>
      </c>
      <c r="G625" s="29" t="s">
        <v>8090</v>
      </c>
      <c r="H625" s="35" t="s">
        <v>8091</v>
      </c>
      <c r="I625" s="29"/>
      <c r="J625" s="29"/>
      <c r="K625" s="37">
        <v>1</v>
      </c>
    </row>
    <row r="626" spans="1:11">
      <c r="A626" s="31">
        <v>626</v>
      </c>
      <c r="B626" s="29" t="s">
        <v>4497</v>
      </c>
      <c r="C626" s="29" t="s">
        <v>4498</v>
      </c>
      <c r="D626" s="33">
        <v>6.2666667</v>
      </c>
      <c r="E626" s="33">
        <v>-75.566666699999999</v>
      </c>
      <c r="F626" s="29" t="s">
        <v>8090</v>
      </c>
      <c r="G626" s="29" t="s">
        <v>8090</v>
      </c>
      <c r="H626" s="35" t="s">
        <v>8091</v>
      </c>
      <c r="I626" s="29"/>
      <c r="J626" s="29" t="s">
        <v>8889</v>
      </c>
      <c r="K626" s="37">
        <v>0</v>
      </c>
    </row>
    <row r="627" spans="1:11">
      <c r="A627" s="31">
        <v>627</v>
      </c>
      <c r="B627" s="29" t="s">
        <v>8890</v>
      </c>
      <c r="C627" s="29" t="s">
        <v>8891</v>
      </c>
      <c r="D627" s="33">
        <v>6.2780399999999998</v>
      </c>
      <c r="E627" s="33">
        <v>-75.496530000000007</v>
      </c>
      <c r="F627" s="29" t="s">
        <v>8090</v>
      </c>
      <c r="G627" s="29" t="s">
        <v>8090</v>
      </c>
      <c r="H627" s="35" t="s">
        <v>8091</v>
      </c>
      <c r="I627" s="29"/>
      <c r="J627" s="29" t="s">
        <v>8892</v>
      </c>
      <c r="K627" s="37">
        <v>0</v>
      </c>
    </row>
    <row r="628" spans="1:11">
      <c r="A628" s="31">
        <v>628</v>
      </c>
      <c r="B628" s="29" t="s">
        <v>4518</v>
      </c>
      <c r="C628" s="29" t="s">
        <v>4519</v>
      </c>
      <c r="D628" s="33">
        <v>6.0289722000000001</v>
      </c>
      <c r="E628" s="33">
        <v>-75.3262778</v>
      </c>
      <c r="F628" s="29" t="s">
        <v>8090</v>
      </c>
      <c r="G628" s="29" t="s">
        <v>8090</v>
      </c>
      <c r="H628" s="35" t="s">
        <v>8091</v>
      </c>
      <c r="I628" s="29"/>
      <c r="J628" s="29" t="s">
        <v>8893</v>
      </c>
      <c r="K628" s="37">
        <v>0</v>
      </c>
    </row>
    <row r="629" spans="1:11">
      <c r="A629" s="31">
        <v>629</v>
      </c>
      <c r="B629" s="29" t="s">
        <v>2447</v>
      </c>
      <c r="C629" s="29" t="s">
        <v>2448</v>
      </c>
      <c r="D629" s="33">
        <v>6.1719444000000001</v>
      </c>
      <c r="E629" s="33">
        <v>-75.585833300000004</v>
      </c>
      <c r="F629" s="29" t="s">
        <v>8090</v>
      </c>
      <c r="G629" s="29" t="s">
        <v>8090</v>
      </c>
      <c r="H629" s="35" t="s">
        <v>8091</v>
      </c>
      <c r="I629" s="29"/>
      <c r="J629" s="29"/>
      <c r="K629" s="37">
        <v>1</v>
      </c>
    </row>
    <row r="630" spans="1:11">
      <c r="A630" s="31">
        <v>630</v>
      </c>
      <c r="B630" s="29" t="s">
        <v>754</v>
      </c>
      <c r="C630" s="29" t="s">
        <v>755</v>
      </c>
      <c r="D630" s="33">
        <v>6.3</v>
      </c>
      <c r="E630" s="33">
        <v>-75.483333299999998</v>
      </c>
      <c r="F630" s="29" t="s">
        <v>8090</v>
      </c>
      <c r="G630" s="29" t="s">
        <v>8090</v>
      </c>
      <c r="H630" s="35" t="s">
        <v>8091</v>
      </c>
      <c r="I630" s="29"/>
      <c r="J630" s="29"/>
      <c r="K630" s="37">
        <v>1</v>
      </c>
    </row>
    <row r="631" spans="1:11">
      <c r="A631" s="31">
        <v>631</v>
      </c>
      <c r="B631" s="29" t="s">
        <v>8894</v>
      </c>
      <c r="C631" s="29" t="s">
        <v>8895</v>
      </c>
      <c r="D631" s="33">
        <v>6.2278799999999999</v>
      </c>
      <c r="E631" s="33">
        <v>-75.506339999999994</v>
      </c>
      <c r="F631" s="29" t="s">
        <v>8090</v>
      </c>
      <c r="G631" s="29" t="s">
        <v>8090</v>
      </c>
      <c r="H631" s="35" t="s">
        <v>8091</v>
      </c>
      <c r="I631" s="29"/>
      <c r="J631" s="29" t="s">
        <v>8896</v>
      </c>
      <c r="K631" s="37">
        <v>0</v>
      </c>
    </row>
    <row r="632" spans="1:11">
      <c r="A632" s="31">
        <v>632</v>
      </c>
      <c r="B632" s="29" t="s">
        <v>532</v>
      </c>
      <c r="C632" s="29" t="s">
        <v>2426</v>
      </c>
      <c r="D632" s="33">
        <v>6.25</v>
      </c>
      <c r="E632" s="33">
        <v>-75.583333300000007</v>
      </c>
      <c r="F632" s="29" t="s">
        <v>8090</v>
      </c>
      <c r="G632" s="29" t="s">
        <v>8090</v>
      </c>
      <c r="H632" s="35" t="s">
        <v>8091</v>
      </c>
      <c r="I632" s="29"/>
      <c r="J632" s="29"/>
      <c r="K632" s="37">
        <v>1</v>
      </c>
    </row>
    <row r="633" spans="1:11">
      <c r="A633" s="31">
        <v>633</v>
      </c>
      <c r="B633" s="29" t="s">
        <v>754</v>
      </c>
      <c r="C633" s="29" t="s">
        <v>4194</v>
      </c>
      <c r="D633" s="33">
        <v>6.3</v>
      </c>
      <c r="E633" s="33">
        <v>-75.683333300000001</v>
      </c>
      <c r="F633" s="29" t="s">
        <v>8090</v>
      </c>
      <c r="G633" s="29" t="s">
        <v>8090</v>
      </c>
      <c r="H633" s="35" t="s">
        <v>8091</v>
      </c>
      <c r="I633" s="29"/>
      <c r="J633" s="29"/>
      <c r="K633" s="37">
        <v>1</v>
      </c>
    </row>
    <row r="634" spans="1:11">
      <c r="A634" s="31">
        <v>634</v>
      </c>
      <c r="B634" s="29" t="s">
        <v>2485</v>
      </c>
      <c r="C634" s="29" t="s">
        <v>4561</v>
      </c>
      <c r="D634" s="33">
        <v>6.2616667000000001</v>
      </c>
      <c r="E634" s="33">
        <v>-75.508972200000002</v>
      </c>
      <c r="F634" s="29" t="s">
        <v>8090</v>
      </c>
      <c r="G634" s="29" t="s">
        <v>8090</v>
      </c>
      <c r="H634" s="35" t="s">
        <v>8091</v>
      </c>
      <c r="I634" s="29"/>
      <c r="J634" s="29" t="s">
        <v>8897</v>
      </c>
      <c r="K634" s="37">
        <v>0</v>
      </c>
    </row>
    <row r="635" spans="1:11">
      <c r="A635" s="31">
        <v>635</v>
      </c>
      <c r="B635" s="29" t="s">
        <v>2485</v>
      </c>
      <c r="C635" s="29" t="s">
        <v>4561</v>
      </c>
      <c r="D635" s="33">
        <v>6.2616667000000001</v>
      </c>
      <c r="E635" s="33">
        <v>-75.508972200000002</v>
      </c>
      <c r="F635" s="29" t="s">
        <v>8090</v>
      </c>
      <c r="G635" s="29" t="s">
        <v>8090</v>
      </c>
      <c r="H635" s="35" t="s">
        <v>8091</v>
      </c>
      <c r="I635" s="29"/>
      <c r="J635" s="29"/>
      <c r="K635" s="37">
        <v>1</v>
      </c>
    </row>
    <row r="636" spans="1:11">
      <c r="A636" s="31">
        <v>636</v>
      </c>
      <c r="B636" s="29" t="s">
        <v>2485</v>
      </c>
      <c r="C636" s="29" t="s">
        <v>4561</v>
      </c>
      <c r="D636" s="33">
        <v>6.2616667000000001</v>
      </c>
      <c r="E636" s="33">
        <v>-75.508972200000002</v>
      </c>
      <c r="F636" s="29" t="s">
        <v>8090</v>
      </c>
      <c r="G636" s="29" t="s">
        <v>8090</v>
      </c>
      <c r="H636" s="35" t="s">
        <v>8091</v>
      </c>
      <c r="I636" s="29"/>
      <c r="J636" s="29"/>
      <c r="K636" s="37">
        <v>1</v>
      </c>
    </row>
    <row r="637" spans="1:11">
      <c r="A637" s="31">
        <v>637</v>
      </c>
      <c r="B637" s="29" t="s">
        <v>4574</v>
      </c>
      <c r="C637" s="29" t="s">
        <v>4575</v>
      </c>
      <c r="D637" s="33">
        <v>6.6108889</v>
      </c>
      <c r="E637" s="33">
        <v>-75.666138900000007</v>
      </c>
      <c r="F637" s="29" t="s">
        <v>8090</v>
      </c>
      <c r="G637" s="29" t="s">
        <v>8090</v>
      </c>
      <c r="H637" s="35" t="s">
        <v>8091</v>
      </c>
      <c r="I637" s="29"/>
      <c r="J637" s="29" t="s">
        <v>8898</v>
      </c>
      <c r="K637" s="37">
        <v>0</v>
      </c>
    </row>
    <row r="638" spans="1:11">
      <c r="A638" s="31">
        <v>638</v>
      </c>
      <c r="B638" s="29" t="s">
        <v>4574</v>
      </c>
      <c r="C638" s="29" t="s">
        <v>4575</v>
      </c>
      <c r="D638" s="33">
        <v>6.6108889</v>
      </c>
      <c r="E638" s="33">
        <v>-75.666138900000007</v>
      </c>
      <c r="F638" s="29" t="s">
        <v>8090</v>
      </c>
      <c r="G638" s="29" t="s">
        <v>8090</v>
      </c>
      <c r="H638" s="35" t="s">
        <v>8091</v>
      </c>
      <c r="I638" s="29"/>
      <c r="J638" s="29"/>
      <c r="K638" s="37">
        <v>1</v>
      </c>
    </row>
    <row r="639" spans="1:11">
      <c r="A639" s="31">
        <v>639</v>
      </c>
      <c r="B639" s="29" t="s">
        <v>2508</v>
      </c>
      <c r="C639" s="29" t="s">
        <v>2509</v>
      </c>
      <c r="D639" s="33">
        <v>6.5959167000000001</v>
      </c>
      <c r="E639" s="33">
        <v>-75.653611100000006</v>
      </c>
      <c r="F639" s="29" t="s">
        <v>8090</v>
      </c>
      <c r="G639" s="29" t="s">
        <v>8090</v>
      </c>
      <c r="H639" s="35" t="s">
        <v>8091</v>
      </c>
      <c r="I639" s="29"/>
      <c r="J639" s="29"/>
      <c r="K639" s="37">
        <v>1</v>
      </c>
    </row>
    <row r="640" spans="1:11">
      <c r="A640" s="31">
        <v>640</v>
      </c>
      <c r="B640" s="29" t="s">
        <v>2508</v>
      </c>
      <c r="C640" s="29" t="s">
        <v>2509</v>
      </c>
      <c r="D640" s="33">
        <v>6.5959167000000001</v>
      </c>
      <c r="E640" s="33">
        <v>-75.653611100000006</v>
      </c>
      <c r="F640" s="29" t="s">
        <v>8090</v>
      </c>
      <c r="G640" s="29" t="s">
        <v>8090</v>
      </c>
      <c r="H640" s="35" t="s">
        <v>8091</v>
      </c>
      <c r="I640" s="29"/>
      <c r="J640" s="29"/>
      <c r="K640" s="37">
        <v>1</v>
      </c>
    </row>
    <row r="641" spans="1:11">
      <c r="A641" s="31">
        <v>641</v>
      </c>
      <c r="B641" s="29" t="s">
        <v>4574</v>
      </c>
      <c r="C641" s="29" t="s">
        <v>4575</v>
      </c>
      <c r="D641" s="33">
        <v>6.6108889</v>
      </c>
      <c r="E641" s="33">
        <v>-75.666138900000007</v>
      </c>
      <c r="F641" s="29" t="s">
        <v>8090</v>
      </c>
      <c r="G641" s="29" t="s">
        <v>8090</v>
      </c>
      <c r="H641" s="35" t="s">
        <v>8091</v>
      </c>
      <c r="I641" s="29"/>
      <c r="J641" s="29"/>
      <c r="K641" s="37">
        <v>1</v>
      </c>
    </row>
    <row r="642" spans="1:11">
      <c r="A642" s="31">
        <v>642</v>
      </c>
      <c r="B642" s="29" t="s">
        <v>898</v>
      </c>
      <c r="C642" s="29" t="s">
        <v>899</v>
      </c>
      <c r="D642" s="33">
        <v>6.7727778000000001</v>
      </c>
      <c r="E642" s="33">
        <v>-75.7920278</v>
      </c>
      <c r="F642" s="29" t="s">
        <v>8090</v>
      </c>
      <c r="G642" s="29" t="s">
        <v>8090</v>
      </c>
      <c r="H642" s="35" t="s">
        <v>8091</v>
      </c>
      <c r="I642" s="29"/>
      <c r="J642" s="29"/>
      <c r="K642" s="37">
        <v>1</v>
      </c>
    </row>
    <row r="643" spans="1:11">
      <c r="A643" s="31">
        <v>643</v>
      </c>
      <c r="B643" s="29" t="s">
        <v>977</v>
      </c>
      <c r="C643" s="29" t="s">
        <v>978</v>
      </c>
      <c r="D643" s="33">
        <v>6.2133333000000004</v>
      </c>
      <c r="E643" s="33">
        <v>-75.492277799999997</v>
      </c>
      <c r="F643" s="29" t="s">
        <v>8090</v>
      </c>
      <c r="G643" s="29" t="s">
        <v>8090</v>
      </c>
      <c r="H643" s="35" t="s">
        <v>8091</v>
      </c>
      <c r="I643" s="29"/>
      <c r="J643" s="29"/>
      <c r="K643" s="37">
        <v>1</v>
      </c>
    </row>
    <row r="644" spans="1:11">
      <c r="A644" s="31">
        <v>644</v>
      </c>
      <c r="B644" s="29" t="s">
        <v>8899</v>
      </c>
      <c r="C644" s="29" t="s">
        <v>8900</v>
      </c>
      <c r="D644" s="33">
        <v>6.7679900000000002</v>
      </c>
      <c r="E644" s="33">
        <v>-75.492189999999994</v>
      </c>
      <c r="F644" s="29" t="s">
        <v>8090</v>
      </c>
      <c r="G644" s="29" t="s">
        <v>8090</v>
      </c>
      <c r="H644" s="35" t="s">
        <v>8091</v>
      </c>
      <c r="I644" s="29"/>
      <c r="J644" s="29" t="s">
        <v>8901</v>
      </c>
      <c r="K644" s="37">
        <v>0</v>
      </c>
    </row>
    <row r="645" spans="1:11">
      <c r="A645" s="31">
        <v>645</v>
      </c>
      <c r="B645" s="29" t="s">
        <v>4619</v>
      </c>
      <c r="C645" s="29" t="s">
        <v>2603</v>
      </c>
      <c r="D645" s="33">
        <v>5.9856943999999999</v>
      </c>
      <c r="E645" s="33">
        <v>-75.635222200000001</v>
      </c>
      <c r="F645" s="29" t="s">
        <v>8090</v>
      </c>
      <c r="G645" s="29" t="s">
        <v>8090</v>
      </c>
      <c r="H645" s="35" t="s">
        <v>8091</v>
      </c>
      <c r="I645" s="29"/>
      <c r="J645" s="29" t="s">
        <v>8902</v>
      </c>
      <c r="K645" s="37">
        <v>0</v>
      </c>
    </row>
    <row r="646" spans="1:11">
      <c r="A646" s="31">
        <v>646</v>
      </c>
      <c r="B646" s="29" t="s">
        <v>4630</v>
      </c>
      <c r="C646" s="29" t="s">
        <v>4631</v>
      </c>
      <c r="D646" s="33">
        <v>5.5417778000000002</v>
      </c>
      <c r="E646" s="33">
        <v>-75.807527800000003</v>
      </c>
      <c r="F646" s="29" t="s">
        <v>8090</v>
      </c>
      <c r="G646" s="29" t="s">
        <v>8090</v>
      </c>
      <c r="H646" s="35" t="s">
        <v>8091</v>
      </c>
      <c r="I646" s="29"/>
      <c r="J646" s="29" t="s">
        <v>8903</v>
      </c>
      <c r="K646" s="37">
        <v>0</v>
      </c>
    </row>
    <row r="647" spans="1:11">
      <c r="A647" s="31">
        <v>647</v>
      </c>
      <c r="B647" s="29" t="s">
        <v>4643</v>
      </c>
      <c r="C647" s="29" t="s">
        <v>4644</v>
      </c>
      <c r="D647" s="33">
        <v>6.3416667000000002</v>
      </c>
      <c r="E647" s="33">
        <v>-75.647222200000002</v>
      </c>
      <c r="F647" s="29" t="s">
        <v>8090</v>
      </c>
      <c r="G647" s="29" t="s">
        <v>8090</v>
      </c>
      <c r="H647" s="35" t="s">
        <v>8091</v>
      </c>
      <c r="I647" s="29"/>
      <c r="J647" s="29" t="s">
        <v>8904</v>
      </c>
      <c r="K647" s="37">
        <v>0</v>
      </c>
    </row>
    <row r="648" spans="1:11">
      <c r="A648" s="31">
        <v>648</v>
      </c>
      <c r="B648" s="29" t="s">
        <v>2637</v>
      </c>
      <c r="C648" s="29" t="s">
        <v>2638</v>
      </c>
      <c r="D648" s="33">
        <v>6.1580556</v>
      </c>
      <c r="E648" s="33">
        <v>-75.701388899999998</v>
      </c>
      <c r="F648" s="29" t="s">
        <v>8090</v>
      </c>
      <c r="G648" s="29" t="s">
        <v>8090</v>
      </c>
      <c r="H648" s="35" t="s">
        <v>8091</v>
      </c>
      <c r="I648" s="29"/>
      <c r="J648" s="29"/>
      <c r="K648" s="37">
        <v>1</v>
      </c>
    </row>
    <row r="649" spans="1:11">
      <c r="A649" s="31">
        <v>649</v>
      </c>
      <c r="B649" s="29" t="s">
        <v>4665</v>
      </c>
      <c r="C649" s="29" t="s">
        <v>4666</v>
      </c>
      <c r="D649" s="33">
        <v>6.2551443999999998</v>
      </c>
      <c r="E649" s="33">
        <v>-75.7112889</v>
      </c>
      <c r="F649" s="29" t="s">
        <v>8090</v>
      </c>
      <c r="G649" s="29" t="s">
        <v>8090</v>
      </c>
      <c r="H649" s="35" t="s">
        <v>8091</v>
      </c>
      <c r="I649" s="29"/>
      <c r="J649" s="29" t="s">
        <v>8905</v>
      </c>
      <c r="K649" s="37">
        <v>0</v>
      </c>
    </row>
    <row r="650" spans="1:11">
      <c r="A650" s="31">
        <v>650</v>
      </c>
      <c r="B650" s="29" t="s">
        <v>8906</v>
      </c>
      <c r="C650" s="29" t="s">
        <v>8907</v>
      </c>
      <c r="D650" s="33">
        <v>6.2181800000000003</v>
      </c>
      <c r="E650" s="33">
        <v>-75.500299999999996</v>
      </c>
      <c r="F650" s="29" t="s">
        <v>8090</v>
      </c>
      <c r="G650" s="29" t="s">
        <v>8090</v>
      </c>
      <c r="H650" s="35" t="s">
        <v>8091</v>
      </c>
      <c r="I650" s="29"/>
      <c r="J650" s="29" t="s">
        <v>8908</v>
      </c>
      <c r="K650" s="37">
        <v>0</v>
      </c>
    </row>
    <row r="651" spans="1:11">
      <c r="A651" s="31">
        <v>651</v>
      </c>
      <c r="B651" s="29" t="s">
        <v>8909</v>
      </c>
      <c r="C651" s="29" t="s">
        <v>8910</v>
      </c>
      <c r="D651" s="33">
        <v>6.5078800000000001</v>
      </c>
      <c r="E651" s="33">
        <v>-76.233369999999994</v>
      </c>
      <c r="F651" s="29" t="s">
        <v>8090</v>
      </c>
      <c r="G651" s="29" t="s">
        <v>8090</v>
      </c>
      <c r="H651" s="35" t="s">
        <v>8091</v>
      </c>
      <c r="I651" s="29"/>
      <c r="J651" s="29" t="s">
        <v>8911</v>
      </c>
      <c r="K651" s="37">
        <v>0</v>
      </c>
    </row>
    <row r="652" spans="1:11">
      <c r="A652" s="31">
        <v>652</v>
      </c>
      <c r="B652" s="29" t="s">
        <v>8912</v>
      </c>
      <c r="C652" s="29" t="s">
        <v>8913</v>
      </c>
      <c r="D652" s="33">
        <v>6.3491799999999996</v>
      </c>
      <c r="E652" s="33">
        <v>-72.75461</v>
      </c>
      <c r="F652" s="29" t="s">
        <v>8090</v>
      </c>
      <c r="G652" s="29" t="s">
        <v>8090</v>
      </c>
      <c r="H652" s="35" t="s">
        <v>8091</v>
      </c>
      <c r="I652" s="29"/>
      <c r="J652" s="29" t="s">
        <v>8914</v>
      </c>
      <c r="K652" s="37">
        <v>0</v>
      </c>
    </row>
    <row r="653" spans="1:11">
      <c r="A653" s="31">
        <v>653</v>
      </c>
      <c r="B653" s="29" t="s">
        <v>8915</v>
      </c>
      <c r="C653" s="29" t="s">
        <v>8916</v>
      </c>
      <c r="D653" s="33">
        <v>6.2628199999999996</v>
      </c>
      <c r="E653" s="33">
        <v>-72.556229999999999</v>
      </c>
      <c r="F653" s="29" t="s">
        <v>8090</v>
      </c>
      <c r="G653" s="29" t="s">
        <v>8090</v>
      </c>
      <c r="H653" s="35" t="s">
        <v>8091</v>
      </c>
      <c r="I653" s="29"/>
      <c r="J653" s="29" t="s">
        <v>8917</v>
      </c>
      <c r="K653" s="37">
        <v>0</v>
      </c>
    </row>
    <row r="654" spans="1:11">
      <c r="A654" s="31">
        <v>654</v>
      </c>
      <c r="B654" s="29" t="s">
        <v>4697</v>
      </c>
      <c r="C654" s="29" t="s">
        <v>4698</v>
      </c>
      <c r="D654" s="33">
        <v>5.6872221999999999</v>
      </c>
      <c r="E654" s="33">
        <v>-73.493055600000005</v>
      </c>
      <c r="F654" s="29" t="s">
        <v>8090</v>
      </c>
      <c r="G654" s="29" t="s">
        <v>8090</v>
      </c>
      <c r="H654" s="35" t="s">
        <v>8091</v>
      </c>
      <c r="I654" s="29"/>
      <c r="J654" s="29" t="s">
        <v>8918</v>
      </c>
      <c r="K654" s="37">
        <v>0</v>
      </c>
    </row>
    <row r="655" spans="1:11">
      <c r="A655" s="31">
        <v>655</v>
      </c>
      <c r="B655" s="29" t="s">
        <v>1138</v>
      </c>
      <c r="C655" s="29" t="s">
        <v>1139</v>
      </c>
      <c r="D655" s="33">
        <v>5.3858971999999996</v>
      </c>
      <c r="E655" s="33">
        <v>-75.160919399999997</v>
      </c>
      <c r="F655" s="29" t="s">
        <v>8090</v>
      </c>
      <c r="G655" s="29" t="s">
        <v>8090</v>
      </c>
      <c r="H655" s="35" t="s">
        <v>8091</v>
      </c>
      <c r="I655" s="29"/>
      <c r="J655" s="29" t="s">
        <v>8919</v>
      </c>
      <c r="K655" s="37">
        <v>0</v>
      </c>
    </row>
    <row r="656" spans="1:11">
      <c r="A656" s="31">
        <v>656</v>
      </c>
      <c r="B656" s="29" t="s">
        <v>1138</v>
      </c>
      <c r="C656" s="29" t="s">
        <v>1139</v>
      </c>
      <c r="D656" s="33">
        <v>5.3858971999999996</v>
      </c>
      <c r="E656" s="33">
        <v>-75.160919399999997</v>
      </c>
      <c r="F656" s="29" t="s">
        <v>8090</v>
      </c>
      <c r="G656" s="29" t="s">
        <v>8090</v>
      </c>
      <c r="H656" s="35" t="s">
        <v>8091</v>
      </c>
      <c r="I656" s="29"/>
      <c r="J656" s="29"/>
      <c r="K656" s="37">
        <v>1</v>
      </c>
    </row>
    <row r="657" spans="1:11">
      <c r="A657" s="31">
        <v>657</v>
      </c>
      <c r="B657" s="29" t="s">
        <v>577</v>
      </c>
      <c r="C657" s="29" t="s">
        <v>578</v>
      </c>
      <c r="D657" s="33">
        <v>5.0671333000000001</v>
      </c>
      <c r="E657" s="33">
        <v>-75.518288900000002</v>
      </c>
      <c r="F657" s="29" t="s">
        <v>8090</v>
      </c>
      <c r="G657" s="29" t="s">
        <v>8090</v>
      </c>
      <c r="H657" s="35" t="s">
        <v>8091</v>
      </c>
      <c r="I657" s="29"/>
      <c r="J657" s="29"/>
      <c r="K657" s="37">
        <v>1</v>
      </c>
    </row>
    <row r="658" spans="1:11">
      <c r="A658" s="31">
        <v>658</v>
      </c>
      <c r="B658" s="29" t="s">
        <v>577</v>
      </c>
      <c r="C658" s="29" t="s">
        <v>578</v>
      </c>
      <c r="D658" s="33">
        <v>5.0671333000000001</v>
      </c>
      <c r="E658" s="33">
        <v>-75.518288900000002</v>
      </c>
      <c r="F658" s="29" t="s">
        <v>8090</v>
      </c>
      <c r="G658" s="29" t="s">
        <v>8090</v>
      </c>
      <c r="H658" s="35" t="s">
        <v>8091</v>
      </c>
      <c r="I658" s="29"/>
      <c r="J658" s="29"/>
      <c r="K658" s="37">
        <v>1</v>
      </c>
    </row>
    <row r="659" spans="1:11">
      <c r="A659" s="31">
        <v>659</v>
      </c>
      <c r="B659" s="29" t="s">
        <v>577</v>
      </c>
      <c r="C659" s="29" t="s">
        <v>578</v>
      </c>
      <c r="D659" s="33">
        <v>5.0671333000000001</v>
      </c>
      <c r="E659" s="33">
        <v>-75.518288900000002</v>
      </c>
      <c r="F659" s="29" t="s">
        <v>8090</v>
      </c>
      <c r="G659" s="29" t="s">
        <v>8090</v>
      </c>
      <c r="H659" s="35" t="s">
        <v>8091</v>
      </c>
      <c r="I659" s="29"/>
      <c r="J659" s="29"/>
      <c r="K659" s="37">
        <v>1</v>
      </c>
    </row>
    <row r="660" spans="1:11">
      <c r="A660" s="31">
        <v>660</v>
      </c>
      <c r="B660" s="29" t="s">
        <v>577</v>
      </c>
      <c r="C660" s="29" t="s">
        <v>578</v>
      </c>
      <c r="D660" s="33">
        <v>5.0671333000000001</v>
      </c>
      <c r="E660" s="33">
        <v>-75.518288900000002</v>
      </c>
      <c r="F660" s="29" t="s">
        <v>8090</v>
      </c>
      <c r="G660" s="29" t="s">
        <v>8090</v>
      </c>
      <c r="H660" s="35" t="s">
        <v>8091</v>
      </c>
      <c r="I660" s="29"/>
      <c r="J660" s="29"/>
      <c r="K660" s="37">
        <v>1</v>
      </c>
    </row>
    <row r="661" spans="1:11">
      <c r="A661" s="31">
        <v>661</v>
      </c>
      <c r="B661" s="29" t="s">
        <v>4724</v>
      </c>
      <c r="C661" s="29" t="s">
        <v>4725</v>
      </c>
      <c r="D661" s="33">
        <v>5.0294444</v>
      </c>
      <c r="E661" s="33">
        <v>-75.390555599999999</v>
      </c>
      <c r="F661" s="29" t="s">
        <v>8090</v>
      </c>
      <c r="G661" s="29" t="s">
        <v>8090</v>
      </c>
      <c r="H661" s="35" t="s">
        <v>8091</v>
      </c>
      <c r="I661" s="29"/>
      <c r="J661" s="29" t="s">
        <v>8920</v>
      </c>
      <c r="K661" s="37">
        <v>0</v>
      </c>
    </row>
    <row r="662" spans="1:11">
      <c r="A662" s="31">
        <v>662</v>
      </c>
      <c r="B662" s="29" t="s">
        <v>4736</v>
      </c>
      <c r="C662" s="29" t="s">
        <v>4737</v>
      </c>
      <c r="D662" s="33">
        <v>5.0821056000000002</v>
      </c>
      <c r="E662" s="33">
        <v>-75.463380599999994</v>
      </c>
      <c r="F662" s="29" t="s">
        <v>8090</v>
      </c>
      <c r="G662" s="29" t="s">
        <v>8090</v>
      </c>
      <c r="H662" s="35" t="s">
        <v>8091</v>
      </c>
      <c r="I662" s="29"/>
      <c r="J662" s="29" t="s">
        <v>8921</v>
      </c>
      <c r="K662" s="37">
        <v>0</v>
      </c>
    </row>
    <row r="663" spans="1:11">
      <c r="A663" s="31">
        <v>663</v>
      </c>
      <c r="B663" s="29" t="s">
        <v>1003</v>
      </c>
      <c r="C663" s="29" t="s">
        <v>4748</v>
      </c>
      <c r="D663" s="33">
        <v>5.1661666999999998</v>
      </c>
      <c r="E663" s="33">
        <v>-75.411305600000006</v>
      </c>
      <c r="F663" s="29" t="s">
        <v>8090</v>
      </c>
      <c r="G663" s="29" t="s">
        <v>8090</v>
      </c>
      <c r="H663" s="35" t="s">
        <v>8091</v>
      </c>
      <c r="I663" s="29"/>
      <c r="J663" s="29" t="s">
        <v>8922</v>
      </c>
      <c r="K663" s="37">
        <v>0</v>
      </c>
    </row>
    <row r="664" spans="1:11">
      <c r="A664" s="31">
        <v>664</v>
      </c>
      <c r="B664" s="29" t="s">
        <v>8283</v>
      </c>
      <c r="C664" s="29" t="s">
        <v>8284</v>
      </c>
      <c r="D664" s="33">
        <v>5.3628900000000002</v>
      </c>
      <c r="E664" s="33">
        <v>-75.680869999999999</v>
      </c>
      <c r="F664" s="29" t="s">
        <v>8090</v>
      </c>
      <c r="G664" s="29" t="s">
        <v>8090</v>
      </c>
      <c r="H664" s="35" t="s">
        <v>8091</v>
      </c>
      <c r="I664" s="29"/>
      <c r="J664" s="29"/>
      <c r="K664" s="37">
        <v>1</v>
      </c>
    </row>
    <row r="665" spans="1:11">
      <c r="A665" s="31">
        <v>665</v>
      </c>
      <c r="B665" s="29" t="s">
        <v>4009</v>
      </c>
      <c r="C665" s="29" t="s">
        <v>422</v>
      </c>
      <c r="D665" s="33">
        <v>5</v>
      </c>
      <c r="E665" s="33">
        <v>-75.5</v>
      </c>
      <c r="F665" s="29" t="s">
        <v>8090</v>
      </c>
      <c r="G665" s="29" t="s">
        <v>8090</v>
      </c>
      <c r="H665" s="35" t="s">
        <v>8091</v>
      </c>
      <c r="I665" s="29"/>
      <c r="J665" s="29" t="s">
        <v>8923</v>
      </c>
      <c r="K665" s="37">
        <v>0</v>
      </c>
    </row>
    <row r="666" spans="1:11">
      <c r="A666" s="31">
        <v>666</v>
      </c>
      <c r="B666" s="29" t="s">
        <v>4769</v>
      </c>
      <c r="C666" s="29" t="s">
        <v>4770</v>
      </c>
      <c r="D666" s="33">
        <v>5.2603055999999997</v>
      </c>
      <c r="E666" s="33">
        <v>-75.425388900000002</v>
      </c>
      <c r="F666" s="29" t="s">
        <v>8090</v>
      </c>
      <c r="G666" s="29" t="s">
        <v>8090</v>
      </c>
      <c r="H666" s="35" t="s">
        <v>8091</v>
      </c>
      <c r="I666" s="29"/>
      <c r="J666" s="29" t="s">
        <v>8924</v>
      </c>
      <c r="K666" s="37">
        <v>0</v>
      </c>
    </row>
    <row r="667" spans="1:11">
      <c r="A667" s="31">
        <v>667</v>
      </c>
      <c r="B667" s="29" t="s">
        <v>304</v>
      </c>
      <c r="C667" s="29" t="s">
        <v>305</v>
      </c>
      <c r="D667" s="33">
        <v>4.9848806000000003</v>
      </c>
      <c r="E667" s="33">
        <v>-75.451138900000004</v>
      </c>
      <c r="F667" s="29" t="s">
        <v>8090</v>
      </c>
      <c r="G667" s="29" t="s">
        <v>8090</v>
      </c>
      <c r="H667" s="35" t="s">
        <v>8091</v>
      </c>
      <c r="I667" s="29"/>
      <c r="J667" s="29"/>
      <c r="K667" s="37">
        <v>1</v>
      </c>
    </row>
    <row r="668" spans="1:11">
      <c r="A668" s="31">
        <v>668</v>
      </c>
      <c r="B668" s="29" t="s">
        <v>4786</v>
      </c>
      <c r="C668" s="29" t="s">
        <v>4787</v>
      </c>
      <c r="D668" s="33">
        <v>5.0433583000000004</v>
      </c>
      <c r="E668" s="33">
        <v>-75.483552799999998</v>
      </c>
      <c r="F668" s="29" t="s">
        <v>8090</v>
      </c>
      <c r="G668" s="29" t="s">
        <v>8090</v>
      </c>
      <c r="H668" s="35" t="s">
        <v>8091</v>
      </c>
      <c r="I668" s="29"/>
      <c r="J668" s="29" t="s">
        <v>8925</v>
      </c>
      <c r="K668" s="37">
        <v>0</v>
      </c>
    </row>
    <row r="669" spans="1:11">
      <c r="A669" s="31">
        <v>669</v>
      </c>
      <c r="B669" s="29" t="s">
        <v>8926</v>
      </c>
      <c r="C669" s="29" t="s">
        <v>8927</v>
      </c>
      <c r="D669" s="33">
        <v>2.58873</v>
      </c>
      <c r="E669" s="33">
        <v>-76.640439999999998</v>
      </c>
      <c r="F669" s="29" t="s">
        <v>8090</v>
      </c>
      <c r="G669" s="29" t="s">
        <v>8090</v>
      </c>
      <c r="H669" s="35" t="s">
        <v>8091</v>
      </c>
      <c r="I669" s="29"/>
      <c r="J669" s="29" t="s">
        <v>8928</v>
      </c>
      <c r="K669" s="37">
        <v>0</v>
      </c>
    </row>
    <row r="670" spans="1:11">
      <c r="A670" s="31">
        <v>670</v>
      </c>
      <c r="B670" s="29" t="s">
        <v>8929</v>
      </c>
      <c r="C670" s="29" t="s">
        <v>8930</v>
      </c>
      <c r="D670" s="33">
        <v>2.36016</v>
      </c>
      <c r="E670" s="33">
        <v>-76.615369999999999</v>
      </c>
      <c r="F670" s="29" t="s">
        <v>8090</v>
      </c>
      <c r="G670" s="29" t="s">
        <v>8090</v>
      </c>
      <c r="H670" s="35" t="s">
        <v>8091</v>
      </c>
      <c r="I670" s="29"/>
      <c r="J670" s="29" t="s">
        <v>8931</v>
      </c>
      <c r="K670" s="37">
        <v>0</v>
      </c>
    </row>
    <row r="671" spans="1:11">
      <c r="A671" s="31">
        <v>671</v>
      </c>
      <c r="B671" s="29" t="s">
        <v>8932</v>
      </c>
      <c r="C671" s="29" t="s">
        <v>8933</v>
      </c>
      <c r="D671" s="33">
        <v>2.4912299999999998</v>
      </c>
      <c r="E671" s="33">
        <v>-76.972350000000006</v>
      </c>
      <c r="F671" s="29" t="s">
        <v>8090</v>
      </c>
      <c r="G671" s="29" t="s">
        <v>8090</v>
      </c>
      <c r="H671" s="35" t="s">
        <v>8091</v>
      </c>
      <c r="I671" s="29"/>
      <c r="J671" s="29" t="s">
        <v>8934</v>
      </c>
      <c r="K671" s="37">
        <v>0</v>
      </c>
    </row>
    <row r="672" spans="1:11">
      <c r="A672" s="31">
        <v>672</v>
      </c>
      <c r="B672" s="29" t="s">
        <v>1560</v>
      </c>
      <c r="C672" s="29" t="s">
        <v>1561</v>
      </c>
      <c r="D672" s="33">
        <v>2.4582082999999999</v>
      </c>
      <c r="E672" s="33">
        <v>-76.808661099999995</v>
      </c>
      <c r="F672" s="29" t="s">
        <v>8090</v>
      </c>
      <c r="G672" s="29" t="s">
        <v>8090</v>
      </c>
      <c r="H672" s="35" t="s">
        <v>8091</v>
      </c>
      <c r="I672" s="29"/>
      <c r="J672" s="29" t="s">
        <v>8935</v>
      </c>
      <c r="K672" s="37">
        <v>0</v>
      </c>
    </row>
    <row r="673" spans="1:11">
      <c r="A673" s="31">
        <v>673</v>
      </c>
      <c r="B673" s="29" t="s">
        <v>4827</v>
      </c>
      <c r="C673" s="29" t="s">
        <v>4828</v>
      </c>
      <c r="D673" s="33">
        <v>2.2559333000000001</v>
      </c>
      <c r="E673" s="33">
        <v>-77.248416700000007</v>
      </c>
      <c r="F673" s="29" t="s">
        <v>8090</v>
      </c>
      <c r="G673" s="29" t="s">
        <v>8090</v>
      </c>
      <c r="H673" s="35" t="s">
        <v>8091</v>
      </c>
      <c r="I673" s="29"/>
      <c r="J673" s="29" t="s">
        <v>8936</v>
      </c>
      <c r="K673" s="37">
        <v>0</v>
      </c>
    </row>
    <row r="674" spans="1:11">
      <c r="A674" s="31">
        <v>674</v>
      </c>
      <c r="B674" s="29" t="s">
        <v>4839</v>
      </c>
      <c r="C674" s="29" t="s">
        <v>4840</v>
      </c>
      <c r="D674" s="33">
        <v>2.9580555999999998</v>
      </c>
      <c r="E674" s="33">
        <v>-76.271388900000005</v>
      </c>
      <c r="F674" s="29" t="s">
        <v>8090</v>
      </c>
      <c r="G674" s="29" t="s">
        <v>8090</v>
      </c>
      <c r="H674" s="35" t="s">
        <v>8091</v>
      </c>
      <c r="I674" s="29"/>
      <c r="J674" s="29" t="s">
        <v>8937</v>
      </c>
      <c r="K674" s="37">
        <v>0</v>
      </c>
    </row>
    <row r="675" spans="1:11">
      <c r="A675" s="31">
        <v>675</v>
      </c>
      <c r="B675" s="29" t="s">
        <v>8938</v>
      </c>
      <c r="C675" s="29" t="s">
        <v>8939</v>
      </c>
      <c r="D675" s="33">
        <v>2.46374</v>
      </c>
      <c r="E675" s="33">
        <v>-76.006590000000003</v>
      </c>
      <c r="F675" s="29" t="s">
        <v>8090</v>
      </c>
      <c r="G675" s="29" t="s">
        <v>8090</v>
      </c>
      <c r="H675" s="35" t="s">
        <v>8091</v>
      </c>
      <c r="I675" s="29"/>
      <c r="J675" s="29" t="s">
        <v>8940</v>
      </c>
      <c r="K675" s="37">
        <v>0</v>
      </c>
    </row>
    <row r="676" spans="1:11">
      <c r="A676" s="31">
        <v>676</v>
      </c>
      <c r="B676" s="29" t="s">
        <v>4857</v>
      </c>
      <c r="C676" s="29" t="s">
        <v>4858</v>
      </c>
      <c r="D676" s="33">
        <v>2.3853333000000001</v>
      </c>
      <c r="E676" s="33">
        <v>-76.441666699999999</v>
      </c>
      <c r="F676" s="29" t="s">
        <v>8090</v>
      </c>
      <c r="G676" s="29" t="s">
        <v>8090</v>
      </c>
      <c r="H676" s="35" t="s">
        <v>8091</v>
      </c>
      <c r="I676" s="29"/>
      <c r="J676" s="29" t="s">
        <v>8941</v>
      </c>
      <c r="K676" s="37">
        <v>0</v>
      </c>
    </row>
    <row r="677" spans="1:11">
      <c r="A677" s="31">
        <v>677</v>
      </c>
      <c r="B677" s="29" t="s">
        <v>1560</v>
      </c>
      <c r="C677" s="29" t="s">
        <v>1561</v>
      </c>
      <c r="D677" s="33">
        <v>2.4582082999999999</v>
      </c>
      <c r="E677" s="33">
        <v>-76.808661099999995</v>
      </c>
      <c r="F677" s="29" t="s">
        <v>8090</v>
      </c>
      <c r="G677" s="29" t="s">
        <v>8090</v>
      </c>
      <c r="H677" s="35" t="s">
        <v>8091</v>
      </c>
      <c r="I677" s="29"/>
      <c r="J677" s="29"/>
      <c r="K677" s="37">
        <v>1</v>
      </c>
    </row>
    <row r="678" spans="1:11">
      <c r="A678" s="31">
        <v>678</v>
      </c>
      <c r="B678" s="29" t="s">
        <v>4873</v>
      </c>
      <c r="C678" s="29" t="s">
        <v>4874</v>
      </c>
      <c r="D678" s="33">
        <v>2.4373889000000002</v>
      </c>
      <c r="E678" s="33">
        <v>-76.430472199999997</v>
      </c>
      <c r="F678" s="29" t="s">
        <v>8090</v>
      </c>
      <c r="G678" s="29" t="s">
        <v>8090</v>
      </c>
      <c r="H678" s="35" t="s">
        <v>8091</v>
      </c>
      <c r="I678" s="29"/>
      <c r="J678" s="29" t="s">
        <v>8942</v>
      </c>
      <c r="K678" s="37">
        <v>0</v>
      </c>
    </row>
    <row r="679" spans="1:11">
      <c r="A679" s="31">
        <v>679</v>
      </c>
      <c r="B679" s="29" t="s">
        <v>4873</v>
      </c>
      <c r="C679" s="29" t="s">
        <v>4874</v>
      </c>
      <c r="D679" s="33">
        <v>2.4373889000000002</v>
      </c>
      <c r="E679" s="33">
        <v>-76.430472199999997</v>
      </c>
      <c r="F679" s="29" t="s">
        <v>8090</v>
      </c>
      <c r="G679" s="29" t="s">
        <v>8090</v>
      </c>
      <c r="H679" s="35" t="s">
        <v>8091</v>
      </c>
      <c r="I679" s="29"/>
      <c r="J679" s="29"/>
      <c r="K679" s="37">
        <v>1</v>
      </c>
    </row>
    <row r="680" spans="1:11">
      <c r="A680" s="31">
        <v>680</v>
      </c>
      <c r="B680" s="29" t="s">
        <v>1919</v>
      </c>
      <c r="C680" s="29" t="s">
        <v>1920</v>
      </c>
      <c r="D680" s="33">
        <v>1.7598611</v>
      </c>
      <c r="E680" s="33">
        <v>-76.905833299999998</v>
      </c>
      <c r="F680" s="29" t="s">
        <v>8090</v>
      </c>
      <c r="G680" s="29" t="s">
        <v>8090</v>
      </c>
      <c r="H680" s="35" t="s">
        <v>8091</v>
      </c>
      <c r="I680" s="29"/>
      <c r="J680" s="29"/>
      <c r="K680" s="37">
        <v>1</v>
      </c>
    </row>
    <row r="681" spans="1:11">
      <c r="A681" s="31">
        <v>681</v>
      </c>
      <c r="B681" s="29" t="s">
        <v>4894</v>
      </c>
      <c r="C681" s="29" t="s">
        <v>4895</v>
      </c>
      <c r="D681" s="33">
        <v>2.5499999999999998</v>
      </c>
      <c r="E681" s="33">
        <v>-76.066666699999999</v>
      </c>
      <c r="F681" s="29" t="s">
        <v>8090</v>
      </c>
      <c r="G681" s="29" t="s">
        <v>8090</v>
      </c>
      <c r="H681" s="35" t="s">
        <v>8091</v>
      </c>
      <c r="I681" s="29"/>
      <c r="J681" s="29" t="s">
        <v>8943</v>
      </c>
      <c r="K681" s="37">
        <v>0</v>
      </c>
    </row>
    <row r="682" spans="1:11">
      <c r="A682" s="31">
        <v>682</v>
      </c>
      <c r="B682" s="29" t="s">
        <v>8944</v>
      </c>
      <c r="C682" s="29" t="s">
        <v>8945</v>
      </c>
      <c r="D682" s="33">
        <v>4.8353799999999998</v>
      </c>
      <c r="E682" s="33">
        <v>-76.189430000000002</v>
      </c>
      <c r="F682" s="29" t="s">
        <v>8090</v>
      </c>
      <c r="G682" s="29" t="s">
        <v>8090</v>
      </c>
      <c r="H682" s="35" t="s">
        <v>8091</v>
      </c>
      <c r="I682" s="29"/>
      <c r="J682" s="29" t="s">
        <v>8946</v>
      </c>
      <c r="K682" s="37">
        <v>0</v>
      </c>
    </row>
    <row r="683" spans="1:11">
      <c r="A683" s="31">
        <v>683</v>
      </c>
      <c r="B683" s="29" t="s">
        <v>8947</v>
      </c>
      <c r="C683" s="29" t="s">
        <v>8948</v>
      </c>
      <c r="D683" s="33">
        <v>4.8820100000000002</v>
      </c>
      <c r="E683" s="33">
        <v>-76.182869999999994</v>
      </c>
      <c r="F683" s="29" t="s">
        <v>8090</v>
      </c>
      <c r="G683" s="29" t="s">
        <v>8090</v>
      </c>
      <c r="H683" s="35" t="s">
        <v>8091</v>
      </c>
      <c r="I683" s="29"/>
      <c r="J683" s="29" t="s">
        <v>8949</v>
      </c>
      <c r="K683" s="37">
        <v>0</v>
      </c>
    </row>
    <row r="684" spans="1:11">
      <c r="A684" s="31">
        <v>684</v>
      </c>
      <c r="B684" s="29" t="s">
        <v>8950</v>
      </c>
      <c r="C684" s="29" t="s">
        <v>8951</v>
      </c>
      <c r="D684" s="33">
        <v>4.8595100000000002</v>
      </c>
      <c r="E684" s="33">
        <v>-74.422460000000001</v>
      </c>
      <c r="F684" s="29" t="s">
        <v>8090</v>
      </c>
      <c r="G684" s="29" t="s">
        <v>8090</v>
      </c>
      <c r="H684" s="35" t="s">
        <v>8091</v>
      </c>
      <c r="I684" s="29"/>
      <c r="J684" s="29" t="s">
        <v>8952</v>
      </c>
      <c r="K684" s="37">
        <v>0</v>
      </c>
    </row>
    <row r="685" spans="1:11">
      <c r="A685" s="31">
        <v>685</v>
      </c>
      <c r="B685" s="29" t="s">
        <v>8953</v>
      </c>
      <c r="C685" s="29" t="s">
        <v>8954</v>
      </c>
      <c r="D685" s="33">
        <v>4.9428000000000001</v>
      </c>
      <c r="E685" s="33">
        <v>-74.414770000000004</v>
      </c>
      <c r="F685" s="29" t="s">
        <v>8090</v>
      </c>
      <c r="G685" s="29" t="s">
        <v>8090</v>
      </c>
      <c r="H685" s="35" t="s">
        <v>8091</v>
      </c>
      <c r="I685" s="29"/>
      <c r="J685" s="29" t="s">
        <v>8955</v>
      </c>
      <c r="K685" s="37">
        <v>0</v>
      </c>
    </row>
    <row r="686" spans="1:11">
      <c r="A686" s="31">
        <v>686</v>
      </c>
      <c r="B686" s="29" t="s">
        <v>8623</v>
      </c>
      <c r="C686" s="29" t="s">
        <v>8624</v>
      </c>
      <c r="D686" s="33">
        <v>4.8465199999999999</v>
      </c>
      <c r="E686" s="33">
        <v>-73.796239999999997</v>
      </c>
      <c r="F686" s="29" t="s">
        <v>8090</v>
      </c>
      <c r="G686" s="29" t="s">
        <v>8090</v>
      </c>
      <c r="H686" s="35" t="s">
        <v>8091</v>
      </c>
      <c r="I686" s="29"/>
      <c r="J686" s="29"/>
      <c r="K686" s="37">
        <v>1</v>
      </c>
    </row>
    <row r="687" spans="1:11">
      <c r="A687" s="31">
        <v>687</v>
      </c>
      <c r="B687" s="29" t="s">
        <v>8956</v>
      </c>
      <c r="C687" s="29" t="s">
        <v>8957</v>
      </c>
      <c r="D687" s="33">
        <v>4.67415</v>
      </c>
      <c r="E687" s="33">
        <v>-74.038439999999994</v>
      </c>
      <c r="F687" s="29" t="s">
        <v>8090</v>
      </c>
      <c r="G687" s="29" t="s">
        <v>8090</v>
      </c>
      <c r="H687" s="35" t="s">
        <v>8091</v>
      </c>
      <c r="I687" s="29"/>
      <c r="J687" s="29" t="s">
        <v>8958</v>
      </c>
      <c r="K687" s="37">
        <v>0</v>
      </c>
    </row>
    <row r="688" spans="1:11">
      <c r="A688" s="31">
        <v>688</v>
      </c>
      <c r="B688" s="29" t="s">
        <v>8959</v>
      </c>
      <c r="C688" s="29" t="s">
        <v>8960</v>
      </c>
      <c r="D688" s="33">
        <v>4.1100399999999997</v>
      </c>
      <c r="E688" s="33">
        <v>-74.435469999999995</v>
      </c>
      <c r="F688" s="29" t="s">
        <v>8090</v>
      </c>
      <c r="G688" s="29" t="s">
        <v>8090</v>
      </c>
      <c r="H688" s="35" t="s">
        <v>8091</v>
      </c>
      <c r="I688" s="29"/>
      <c r="J688" s="29" t="s">
        <v>8961</v>
      </c>
      <c r="K688" s="37">
        <v>0</v>
      </c>
    </row>
    <row r="689" spans="1:11">
      <c r="A689" s="31">
        <v>689</v>
      </c>
      <c r="B689" s="29" t="s">
        <v>8962</v>
      </c>
      <c r="C689" s="29" t="s">
        <v>8963</v>
      </c>
      <c r="D689" s="33">
        <v>3.9637699999999998</v>
      </c>
      <c r="E689" s="33">
        <v>-74.498040000000003</v>
      </c>
      <c r="F689" s="29" t="s">
        <v>8090</v>
      </c>
      <c r="G689" s="29" t="s">
        <v>8090</v>
      </c>
      <c r="H689" s="35" t="s">
        <v>8091</v>
      </c>
      <c r="I689" s="29"/>
      <c r="J689" s="29" t="s">
        <v>8964</v>
      </c>
      <c r="K689" s="37">
        <v>0</v>
      </c>
    </row>
    <row r="690" spans="1:11">
      <c r="A690" s="31">
        <v>690</v>
      </c>
      <c r="B690" s="29" t="s">
        <v>8965</v>
      </c>
      <c r="C690" s="29" t="s">
        <v>8966</v>
      </c>
      <c r="D690" s="33">
        <v>4.9978899999999999</v>
      </c>
      <c r="E690" s="33">
        <v>-74.149029999999996</v>
      </c>
      <c r="F690" s="29" t="s">
        <v>8090</v>
      </c>
      <c r="G690" s="29" t="s">
        <v>8090</v>
      </c>
      <c r="H690" s="35" t="s">
        <v>8091</v>
      </c>
      <c r="I690" s="29"/>
      <c r="J690" s="29" t="s">
        <v>8967</v>
      </c>
      <c r="K690" s="37">
        <v>0</v>
      </c>
    </row>
    <row r="691" spans="1:11">
      <c r="A691" s="31">
        <v>691</v>
      </c>
      <c r="B691" s="29" t="s">
        <v>8632</v>
      </c>
      <c r="C691" s="29" t="s">
        <v>8633</v>
      </c>
      <c r="D691" s="33">
        <v>2.2192799999999999</v>
      </c>
      <c r="E691" s="33">
        <v>-76.114530000000002</v>
      </c>
      <c r="F691" s="29" t="s">
        <v>8090</v>
      </c>
      <c r="G691" s="29" t="s">
        <v>8090</v>
      </c>
      <c r="H691" s="35" t="s">
        <v>8091</v>
      </c>
      <c r="I691" s="29"/>
      <c r="J691" s="29"/>
      <c r="K691" s="37">
        <v>1</v>
      </c>
    </row>
    <row r="692" spans="1:11">
      <c r="A692" s="31">
        <v>692</v>
      </c>
      <c r="B692" s="29" t="s">
        <v>4961</v>
      </c>
      <c r="C692" s="29" t="s">
        <v>4962</v>
      </c>
      <c r="D692" s="33">
        <v>2.3971694000000001</v>
      </c>
      <c r="E692" s="33">
        <v>-75.893180599999994</v>
      </c>
      <c r="F692" s="29" t="s">
        <v>8090</v>
      </c>
      <c r="G692" s="29" t="s">
        <v>8090</v>
      </c>
      <c r="H692" s="35" t="s">
        <v>8091</v>
      </c>
      <c r="I692" s="29"/>
      <c r="J692" s="29" t="s">
        <v>8968</v>
      </c>
      <c r="K692" s="37">
        <v>0</v>
      </c>
    </row>
    <row r="693" spans="1:11">
      <c r="A693" s="31">
        <v>693</v>
      </c>
      <c r="B693" s="29" t="s">
        <v>8969</v>
      </c>
      <c r="C693" s="29" t="s">
        <v>8970</v>
      </c>
      <c r="D693" s="33">
        <v>1.7472300000000001</v>
      </c>
      <c r="E693" s="33">
        <v>-75.983379999999997</v>
      </c>
      <c r="F693" s="29" t="s">
        <v>8090</v>
      </c>
      <c r="G693" s="29" t="s">
        <v>8090</v>
      </c>
      <c r="H693" s="35" t="s">
        <v>8091</v>
      </c>
      <c r="I693" s="29"/>
      <c r="J693" s="29" t="s">
        <v>8971</v>
      </c>
      <c r="K693" s="37">
        <v>0</v>
      </c>
    </row>
    <row r="694" spans="1:11">
      <c r="A694" s="31">
        <v>694</v>
      </c>
      <c r="B694" s="29" t="s">
        <v>8972</v>
      </c>
      <c r="C694" s="29" t="s">
        <v>8973</v>
      </c>
      <c r="D694" s="33">
        <v>2.2186300000000001</v>
      </c>
      <c r="E694" s="33">
        <v>-75.934240000000003</v>
      </c>
      <c r="F694" s="29" t="s">
        <v>8090</v>
      </c>
      <c r="G694" s="29" t="s">
        <v>8090</v>
      </c>
      <c r="H694" s="35" t="s">
        <v>8091</v>
      </c>
      <c r="I694" s="29"/>
      <c r="J694" s="29" t="s">
        <v>8974</v>
      </c>
      <c r="K694" s="37">
        <v>0</v>
      </c>
    </row>
    <row r="695" spans="1:11">
      <c r="A695" s="31">
        <v>695</v>
      </c>
      <c r="B695" s="29" t="s">
        <v>8632</v>
      </c>
      <c r="C695" s="29" t="s">
        <v>8633</v>
      </c>
      <c r="D695" s="33">
        <v>2.2192799999999999</v>
      </c>
      <c r="E695" s="33">
        <v>-76.114530000000002</v>
      </c>
      <c r="F695" s="29" t="s">
        <v>8090</v>
      </c>
      <c r="G695" s="29" t="s">
        <v>8090</v>
      </c>
      <c r="H695" s="35" t="s">
        <v>8091</v>
      </c>
      <c r="I695" s="29"/>
      <c r="J695" s="29"/>
      <c r="K695" s="37">
        <v>1</v>
      </c>
    </row>
    <row r="696" spans="1:11">
      <c r="A696" s="31">
        <v>696</v>
      </c>
      <c r="B696" s="29" t="s">
        <v>46</v>
      </c>
      <c r="C696" s="29" t="s">
        <v>47</v>
      </c>
      <c r="D696" s="33">
        <v>1.8767332999999999</v>
      </c>
      <c r="E696" s="33">
        <v>-76.268186099999994</v>
      </c>
      <c r="F696" s="29" t="s">
        <v>8090</v>
      </c>
      <c r="G696" s="29" t="s">
        <v>8090</v>
      </c>
      <c r="H696" s="35" t="s">
        <v>8091</v>
      </c>
      <c r="I696" s="29"/>
      <c r="J696" s="29"/>
      <c r="K696" s="37">
        <v>1</v>
      </c>
    </row>
    <row r="697" spans="1:11">
      <c r="A697" s="31">
        <v>697</v>
      </c>
      <c r="B697" s="29" t="s">
        <v>4991</v>
      </c>
      <c r="C697" s="29" t="s">
        <v>4992</v>
      </c>
      <c r="D697" s="33">
        <v>2.5451221999999998</v>
      </c>
      <c r="E697" s="33">
        <v>-75.808361099999999</v>
      </c>
      <c r="F697" s="29" t="s">
        <v>8090</v>
      </c>
      <c r="G697" s="29" t="s">
        <v>8090</v>
      </c>
      <c r="H697" s="35" t="s">
        <v>8091</v>
      </c>
      <c r="I697" s="29"/>
      <c r="J697" s="29" t="s">
        <v>8975</v>
      </c>
      <c r="K697" s="37">
        <v>0</v>
      </c>
    </row>
    <row r="698" spans="1:11">
      <c r="A698" s="31">
        <v>698</v>
      </c>
      <c r="B698" s="29" t="s">
        <v>4991</v>
      </c>
      <c r="C698" s="29" t="s">
        <v>4992</v>
      </c>
      <c r="D698" s="33">
        <v>2.5451221999999998</v>
      </c>
      <c r="E698" s="33">
        <v>-75.808361099999999</v>
      </c>
      <c r="F698" s="29" t="s">
        <v>8090</v>
      </c>
      <c r="G698" s="29" t="s">
        <v>8090</v>
      </c>
      <c r="H698" s="35" t="s">
        <v>8091</v>
      </c>
      <c r="I698" s="29"/>
      <c r="J698" s="29"/>
      <c r="K698" s="37">
        <v>1</v>
      </c>
    </row>
    <row r="699" spans="1:11">
      <c r="A699" s="31">
        <v>699</v>
      </c>
      <c r="B699" s="29" t="s">
        <v>293</v>
      </c>
      <c r="C699" s="29" t="s">
        <v>294</v>
      </c>
      <c r="D699" s="33">
        <v>1.9849861</v>
      </c>
      <c r="E699" s="33">
        <v>-76.285502800000003</v>
      </c>
      <c r="F699" s="29" t="s">
        <v>8090</v>
      </c>
      <c r="G699" s="29" t="s">
        <v>8090</v>
      </c>
      <c r="H699" s="35" t="s">
        <v>8091</v>
      </c>
      <c r="I699" s="29"/>
      <c r="J699" s="29"/>
      <c r="K699" s="37">
        <v>1</v>
      </c>
    </row>
    <row r="700" spans="1:11">
      <c r="A700" s="31">
        <v>700</v>
      </c>
      <c r="B700" s="29" t="s">
        <v>2958</v>
      </c>
      <c r="C700" s="29" t="s">
        <v>329</v>
      </c>
      <c r="D700" s="33">
        <v>1.7689805999999999</v>
      </c>
      <c r="E700" s="33">
        <v>-76.018733299999994</v>
      </c>
      <c r="F700" s="29" t="s">
        <v>8090</v>
      </c>
      <c r="G700" s="29" t="s">
        <v>8090</v>
      </c>
      <c r="H700" s="35" t="s">
        <v>8091</v>
      </c>
      <c r="I700" s="29"/>
      <c r="J700" s="29"/>
      <c r="K700" s="37">
        <v>1</v>
      </c>
    </row>
    <row r="701" spans="1:11">
      <c r="A701" s="31">
        <v>701</v>
      </c>
      <c r="B701" s="29" t="s">
        <v>8976</v>
      </c>
      <c r="C701" s="29" t="s">
        <v>8977</v>
      </c>
      <c r="D701" s="33">
        <v>2.8085399999999998</v>
      </c>
      <c r="E701" s="33">
        <v>-75.057770000000005</v>
      </c>
      <c r="F701" s="29" t="s">
        <v>8090</v>
      </c>
      <c r="G701" s="29" t="s">
        <v>8090</v>
      </c>
      <c r="H701" s="35" t="s">
        <v>8091</v>
      </c>
      <c r="I701" s="29"/>
      <c r="J701" s="29" t="s">
        <v>8978</v>
      </c>
      <c r="K701" s="37">
        <v>0</v>
      </c>
    </row>
    <row r="702" spans="1:11">
      <c r="A702" s="31">
        <v>702</v>
      </c>
      <c r="B702" s="29" t="s">
        <v>5027</v>
      </c>
      <c r="C702" s="29" t="s">
        <v>5028</v>
      </c>
      <c r="D702" s="33">
        <v>2.6904805999999999</v>
      </c>
      <c r="E702" s="33">
        <v>-75.328269399999996</v>
      </c>
      <c r="F702" s="29" t="s">
        <v>8090</v>
      </c>
      <c r="G702" s="29" t="s">
        <v>8090</v>
      </c>
      <c r="H702" s="35" t="s">
        <v>8091</v>
      </c>
      <c r="I702" s="29"/>
      <c r="J702" s="29" t="s">
        <v>8979</v>
      </c>
      <c r="K702" s="37">
        <v>0</v>
      </c>
    </row>
    <row r="703" spans="1:11">
      <c r="A703" s="31">
        <v>703</v>
      </c>
      <c r="B703" s="29" t="s">
        <v>5041</v>
      </c>
      <c r="C703" s="29" t="s">
        <v>5042</v>
      </c>
      <c r="D703" s="33">
        <v>1.6010055999999999</v>
      </c>
      <c r="E703" s="33">
        <v>-76.971508299999996</v>
      </c>
      <c r="F703" s="29" t="s">
        <v>8090</v>
      </c>
      <c r="G703" s="29" t="s">
        <v>8090</v>
      </c>
      <c r="H703" s="35" t="s">
        <v>8091</v>
      </c>
      <c r="I703" s="29"/>
      <c r="J703" s="29" t="s">
        <v>8980</v>
      </c>
      <c r="K703" s="37">
        <v>0</v>
      </c>
    </row>
    <row r="704" spans="1:11">
      <c r="A704" s="31">
        <v>704</v>
      </c>
      <c r="B704" s="29" t="s">
        <v>8981</v>
      </c>
      <c r="C704" s="29" t="s">
        <v>8982</v>
      </c>
      <c r="D704" s="33">
        <v>10.00286</v>
      </c>
      <c r="E704" s="33">
        <v>-73.01576</v>
      </c>
      <c r="F704" s="29" t="s">
        <v>8090</v>
      </c>
      <c r="G704" s="29" t="s">
        <v>8090</v>
      </c>
      <c r="H704" s="35" t="s">
        <v>8091</v>
      </c>
      <c r="I704" s="29"/>
      <c r="J704" s="29" t="s">
        <v>8983</v>
      </c>
      <c r="K704" s="37">
        <v>0</v>
      </c>
    </row>
    <row r="705" spans="1:11">
      <c r="A705" s="31">
        <v>705</v>
      </c>
      <c r="B705" s="29" t="s">
        <v>5060</v>
      </c>
      <c r="C705" s="29" t="s">
        <v>5061</v>
      </c>
      <c r="D705" s="33">
        <v>10.8833333</v>
      </c>
      <c r="E705" s="33">
        <v>-74.016666700000002</v>
      </c>
      <c r="F705" s="29" t="s">
        <v>8090</v>
      </c>
      <c r="G705" s="29" t="s">
        <v>8090</v>
      </c>
      <c r="H705" s="35" t="s">
        <v>8091</v>
      </c>
      <c r="I705" s="29"/>
      <c r="J705" s="29" t="s">
        <v>8984</v>
      </c>
      <c r="K705" s="37">
        <v>0</v>
      </c>
    </row>
    <row r="706" spans="1:11">
      <c r="A706" s="31">
        <v>706</v>
      </c>
      <c r="B706" s="29" t="s">
        <v>5072</v>
      </c>
      <c r="C706" s="29" t="s">
        <v>5073</v>
      </c>
      <c r="D706" s="33">
        <v>10.9833333</v>
      </c>
      <c r="E706" s="33">
        <v>-73.983333299999998</v>
      </c>
      <c r="F706" s="29" t="s">
        <v>8090</v>
      </c>
      <c r="G706" s="29" t="s">
        <v>8090</v>
      </c>
      <c r="H706" s="35" t="s">
        <v>8091</v>
      </c>
      <c r="I706" s="29"/>
      <c r="J706" s="29" t="s">
        <v>8985</v>
      </c>
      <c r="K706" s="37">
        <v>0</v>
      </c>
    </row>
    <row r="707" spans="1:11">
      <c r="A707" s="31">
        <v>707</v>
      </c>
      <c r="B707" s="29" t="s">
        <v>8656</v>
      </c>
      <c r="C707" s="29" t="s">
        <v>8657</v>
      </c>
      <c r="D707" s="33">
        <v>10.916600000000001</v>
      </c>
      <c r="E707" s="33">
        <v>-73.833290000000005</v>
      </c>
      <c r="F707" s="29" t="s">
        <v>8090</v>
      </c>
      <c r="G707" s="29" t="s">
        <v>8090</v>
      </c>
      <c r="H707" s="35" t="s">
        <v>8091</v>
      </c>
      <c r="I707" s="29"/>
      <c r="J707" s="29"/>
      <c r="K707" s="37">
        <v>1</v>
      </c>
    </row>
    <row r="708" spans="1:11">
      <c r="A708" s="31">
        <v>708</v>
      </c>
      <c r="B708" s="29" t="s">
        <v>8986</v>
      </c>
      <c r="C708" s="29" t="s">
        <v>8987</v>
      </c>
      <c r="D708" s="33">
        <v>5.0295199999999998</v>
      </c>
      <c r="E708" s="33">
        <v>-75.434389999999993</v>
      </c>
      <c r="F708" s="29" t="s">
        <v>8090</v>
      </c>
      <c r="G708" s="29" t="s">
        <v>8090</v>
      </c>
      <c r="H708" s="35" t="s">
        <v>8091</v>
      </c>
      <c r="I708" s="29"/>
      <c r="J708" s="29" t="s">
        <v>8988</v>
      </c>
      <c r="K708" s="37">
        <v>0</v>
      </c>
    </row>
    <row r="709" spans="1:11">
      <c r="A709" s="31">
        <v>709</v>
      </c>
      <c r="B709" s="29" t="s">
        <v>8989</v>
      </c>
      <c r="C709" s="29" t="s">
        <v>8990</v>
      </c>
      <c r="D709" s="33">
        <v>4.1123500000000002</v>
      </c>
      <c r="E709" s="33">
        <v>-73.766490000000005</v>
      </c>
      <c r="F709" s="29" t="s">
        <v>8090</v>
      </c>
      <c r="G709" s="29" t="s">
        <v>8090</v>
      </c>
      <c r="H709" s="35" t="s">
        <v>8091</v>
      </c>
      <c r="I709" s="29"/>
      <c r="J709" s="29" t="s">
        <v>8991</v>
      </c>
      <c r="K709" s="37">
        <v>0</v>
      </c>
    </row>
    <row r="710" spans="1:11">
      <c r="A710" s="31">
        <v>710</v>
      </c>
      <c r="B710" s="29" t="s">
        <v>8992</v>
      </c>
      <c r="C710" s="29" t="s">
        <v>8993</v>
      </c>
      <c r="D710" s="33">
        <v>4.0848100000000001</v>
      </c>
      <c r="E710" s="33">
        <v>-73.768410000000003</v>
      </c>
      <c r="F710" s="29" t="s">
        <v>8090</v>
      </c>
      <c r="G710" s="29" t="s">
        <v>8090</v>
      </c>
      <c r="H710" s="35" t="s">
        <v>8091</v>
      </c>
      <c r="I710" s="29"/>
      <c r="J710" s="29" t="s">
        <v>8994</v>
      </c>
      <c r="K710" s="37">
        <v>0</v>
      </c>
    </row>
    <row r="711" spans="1:11">
      <c r="A711" s="31">
        <v>711</v>
      </c>
      <c r="B711" s="29" t="s">
        <v>8659</v>
      </c>
      <c r="C711" s="29" t="s">
        <v>8660</v>
      </c>
      <c r="D711" s="33">
        <v>2.9626999999999999</v>
      </c>
      <c r="E711" s="33">
        <v>-73.88673</v>
      </c>
      <c r="F711" s="29" t="s">
        <v>8090</v>
      </c>
      <c r="G711" s="29" t="s">
        <v>8090</v>
      </c>
      <c r="H711" s="35" t="s">
        <v>8091</v>
      </c>
      <c r="I711" s="29"/>
      <c r="J711" s="29"/>
      <c r="K711" s="37">
        <v>1</v>
      </c>
    </row>
    <row r="712" spans="1:11">
      <c r="A712" s="31">
        <v>712</v>
      </c>
      <c r="B712" s="29" t="s">
        <v>8995</v>
      </c>
      <c r="C712" s="29" t="s">
        <v>8996</v>
      </c>
      <c r="D712" s="33">
        <v>4.0251900000000003</v>
      </c>
      <c r="E712" s="33">
        <v>-73.826499999999996</v>
      </c>
      <c r="F712" s="29" t="s">
        <v>8090</v>
      </c>
      <c r="G712" s="29" t="s">
        <v>8090</v>
      </c>
      <c r="H712" s="35" t="s">
        <v>8091</v>
      </c>
      <c r="I712" s="29"/>
      <c r="J712" s="29" t="s">
        <v>8997</v>
      </c>
      <c r="K712" s="37">
        <v>0</v>
      </c>
    </row>
    <row r="713" spans="1:11">
      <c r="A713" s="31">
        <v>713</v>
      </c>
      <c r="B713" s="29" t="s">
        <v>8995</v>
      </c>
      <c r="C713" s="29" t="s">
        <v>8996</v>
      </c>
      <c r="D713" s="33">
        <v>4.0251900000000003</v>
      </c>
      <c r="E713" s="33">
        <v>-73.826499999999996</v>
      </c>
      <c r="F713" s="29" t="s">
        <v>8090</v>
      </c>
      <c r="G713" s="29" t="s">
        <v>8090</v>
      </c>
      <c r="H713" s="35" t="s">
        <v>8091</v>
      </c>
      <c r="I713" s="29"/>
      <c r="J713" s="29"/>
      <c r="K713" s="37">
        <v>1</v>
      </c>
    </row>
    <row r="714" spans="1:11">
      <c r="A714" s="31">
        <v>714</v>
      </c>
      <c r="B714" s="29" t="s">
        <v>1993</v>
      </c>
      <c r="C714" s="29" t="s">
        <v>1994</v>
      </c>
      <c r="D714" s="33">
        <v>1.2136917</v>
      </c>
      <c r="E714" s="33">
        <v>-77.2726361</v>
      </c>
      <c r="F714" s="29" t="s">
        <v>8090</v>
      </c>
      <c r="G714" s="29" t="s">
        <v>8090</v>
      </c>
      <c r="H714" s="35" t="s">
        <v>8091</v>
      </c>
      <c r="I714" s="29"/>
      <c r="J714" s="29"/>
      <c r="K714" s="37">
        <v>1</v>
      </c>
    </row>
    <row r="715" spans="1:11">
      <c r="A715" s="31">
        <v>715</v>
      </c>
      <c r="B715" s="29" t="s">
        <v>5130</v>
      </c>
      <c r="C715" s="29" t="s">
        <v>5131</v>
      </c>
      <c r="D715" s="33">
        <v>0.82176110000000002</v>
      </c>
      <c r="E715" s="33">
        <v>-77.641677799999997</v>
      </c>
      <c r="F715" s="29" t="s">
        <v>8090</v>
      </c>
      <c r="G715" s="29" t="s">
        <v>8090</v>
      </c>
      <c r="H715" s="35" t="s">
        <v>8091</v>
      </c>
      <c r="I715" s="29"/>
      <c r="J715" s="29" t="s">
        <v>8998</v>
      </c>
      <c r="K715" s="37">
        <v>0</v>
      </c>
    </row>
    <row r="716" spans="1:11">
      <c r="A716" s="31">
        <v>716</v>
      </c>
      <c r="B716" s="29" t="s">
        <v>5130</v>
      </c>
      <c r="C716" s="29" t="s">
        <v>5131</v>
      </c>
      <c r="D716" s="33">
        <v>0.82176110000000002</v>
      </c>
      <c r="E716" s="33">
        <v>-77.641677799999997</v>
      </c>
      <c r="F716" s="29" t="s">
        <v>8090</v>
      </c>
      <c r="G716" s="29" t="s">
        <v>8090</v>
      </c>
      <c r="H716" s="35" t="s">
        <v>8091</v>
      </c>
      <c r="I716" s="29"/>
      <c r="J716" s="29"/>
      <c r="K716" s="37">
        <v>1</v>
      </c>
    </row>
    <row r="717" spans="1:11">
      <c r="A717" s="31">
        <v>717</v>
      </c>
      <c r="B717" s="29" t="s">
        <v>5130</v>
      </c>
      <c r="C717" s="29" t="s">
        <v>5131</v>
      </c>
      <c r="D717" s="33">
        <v>0.82176110000000002</v>
      </c>
      <c r="E717" s="33">
        <v>-77.641677799999997</v>
      </c>
      <c r="F717" s="29" t="s">
        <v>8090</v>
      </c>
      <c r="G717" s="29" t="s">
        <v>8090</v>
      </c>
      <c r="H717" s="35" t="s">
        <v>8091</v>
      </c>
      <c r="I717" s="29"/>
      <c r="J717" s="29"/>
      <c r="K717" s="37">
        <v>1</v>
      </c>
    </row>
    <row r="718" spans="1:11">
      <c r="A718" s="31">
        <v>718</v>
      </c>
      <c r="B718" s="29" t="s">
        <v>8999</v>
      </c>
      <c r="C718" s="29" t="s">
        <v>9000</v>
      </c>
      <c r="D718" s="33">
        <v>1.12957</v>
      </c>
      <c r="E718" s="33">
        <v>-77.149439999999998</v>
      </c>
      <c r="F718" s="29" t="s">
        <v>8090</v>
      </c>
      <c r="G718" s="29" t="s">
        <v>8090</v>
      </c>
      <c r="H718" s="35" t="s">
        <v>8091</v>
      </c>
      <c r="I718" s="29"/>
      <c r="J718" s="29" t="s">
        <v>9001</v>
      </c>
      <c r="K718" s="37">
        <v>0</v>
      </c>
    </row>
    <row r="719" spans="1:11">
      <c r="A719" s="31">
        <v>719</v>
      </c>
      <c r="B719" s="29" t="s">
        <v>8999</v>
      </c>
      <c r="C719" s="29" t="s">
        <v>9000</v>
      </c>
      <c r="D719" s="33">
        <v>1.12957</v>
      </c>
      <c r="E719" s="33">
        <v>-77.149439999999998</v>
      </c>
      <c r="F719" s="29" t="s">
        <v>8090</v>
      </c>
      <c r="G719" s="29" t="s">
        <v>8090</v>
      </c>
      <c r="H719" s="35" t="s">
        <v>8091</v>
      </c>
      <c r="I719" s="29"/>
      <c r="J719" s="29"/>
      <c r="K719" s="37">
        <v>1</v>
      </c>
    </row>
    <row r="720" spans="1:11">
      <c r="A720" s="31">
        <v>720</v>
      </c>
      <c r="B720" s="29" t="s">
        <v>8999</v>
      </c>
      <c r="C720" s="29" t="s">
        <v>9000</v>
      </c>
      <c r="D720" s="33">
        <v>1.12957</v>
      </c>
      <c r="E720" s="33">
        <v>-77.149439999999998</v>
      </c>
      <c r="F720" s="29" t="s">
        <v>8090</v>
      </c>
      <c r="G720" s="29" t="s">
        <v>8090</v>
      </c>
      <c r="H720" s="35" t="s">
        <v>8091</v>
      </c>
      <c r="I720" s="29"/>
      <c r="J720" s="29"/>
      <c r="K720" s="37">
        <v>1</v>
      </c>
    </row>
    <row r="721" spans="1:11">
      <c r="A721" s="31">
        <v>721</v>
      </c>
      <c r="B721" s="29" t="s">
        <v>8999</v>
      </c>
      <c r="C721" s="29" t="s">
        <v>9000</v>
      </c>
      <c r="D721" s="33">
        <v>1.12957</v>
      </c>
      <c r="E721" s="33">
        <v>-77.149439999999998</v>
      </c>
      <c r="F721" s="29" t="s">
        <v>8090</v>
      </c>
      <c r="G721" s="29" t="s">
        <v>8090</v>
      </c>
      <c r="H721" s="35" t="s">
        <v>8091</v>
      </c>
      <c r="I721" s="29"/>
      <c r="J721" s="29"/>
      <c r="K721" s="37">
        <v>1</v>
      </c>
    </row>
    <row r="722" spans="1:11">
      <c r="A722" s="31">
        <v>722</v>
      </c>
      <c r="B722" s="29" t="s">
        <v>8999</v>
      </c>
      <c r="C722" s="29" t="s">
        <v>9000</v>
      </c>
      <c r="D722" s="33">
        <v>1.12957</v>
      </c>
      <c r="E722" s="33">
        <v>-77.149439999999998</v>
      </c>
      <c r="F722" s="29" t="s">
        <v>8090</v>
      </c>
      <c r="G722" s="29" t="s">
        <v>8090</v>
      </c>
      <c r="H722" s="35" t="s">
        <v>8091</v>
      </c>
      <c r="I722" s="29"/>
      <c r="J722" s="29"/>
      <c r="K722" s="37">
        <v>1</v>
      </c>
    </row>
    <row r="723" spans="1:11">
      <c r="A723" s="31">
        <v>723</v>
      </c>
      <c r="B723" s="29" t="s">
        <v>8999</v>
      </c>
      <c r="C723" s="29" t="s">
        <v>9000</v>
      </c>
      <c r="D723" s="33">
        <v>1.12957</v>
      </c>
      <c r="E723" s="33">
        <v>-77.149439999999998</v>
      </c>
      <c r="F723" s="29" t="s">
        <v>8090</v>
      </c>
      <c r="G723" s="29" t="s">
        <v>8090</v>
      </c>
      <c r="H723" s="35" t="s">
        <v>8091</v>
      </c>
      <c r="I723" s="29"/>
      <c r="J723" s="29"/>
      <c r="K723" s="37">
        <v>1</v>
      </c>
    </row>
    <row r="724" spans="1:11">
      <c r="A724" s="31">
        <v>724</v>
      </c>
      <c r="B724" s="29" t="s">
        <v>5164</v>
      </c>
      <c r="C724" s="29" t="s">
        <v>5165</v>
      </c>
      <c r="D724" s="33">
        <v>1.6051556</v>
      </c>
      <c r="E724" s="33">
        <v>-77.133636100000004</v>
      </c>
      <c r="F724" s="29" t="s">
        <v>8090</v>
      </c>
      <c r="G724" s="29" t="s">
        <v>8090</v>
      </c>
      <c r="H724" s="35" t="s">
        <v>8091</v>
      </c>
      <c r="I724" s="29"/>
      <c r="J724" s="29" t="s">
        <v>9002</v>
      </c>
      <c r="K724" s="37">
        <v>0</v>
      </c>
    </row>
    <row r="725" spans="1:11">
      <c r="A725" s="31">
        <v>725</v>
      </c>
      <c r="B725" s="29" t="s">
        <v>9003</v>
      </c>
      <c r="C725" s="29" t="s">
        <v>9004</v>
      </c>
      <c r="D725" s="33">
        <v>1.3266899999999999</v>
      </c>
      <c r="E725" s="33">
        <v>-77.259780000000006</v>
      </c>
      <c r="F725" s="29" t="s">
        <v>8090</v>
      </c>
      <c r="G725" s="29" t="s">
        <v>8090</v>
      </c>
      <c r="H725" s="35" t="s">
        <v>8091</v>
      </c>
      <c r="I725" s="29"/>
      <c r="J725" s="29" t="s">
        <v>9005</v>
      </c>
      <c r="K725" s="37">
        <v>0</v>
      </c>
    </row>
    <row r="726" spans="1:11">
      <c r="A726" s="31">
        <v>726</v>
      </c>
      <c r="B726" s="29" t="s">
        <v>5181</v>
      </c>
      <c r="C726" s="29" t="s">
        <v>5182</v>
      </c>
      <c r="D726" s="33">
        <v>1.2862777999999999</v>
      </c>
      <c r="E726" s="33">
        <v>-77.471052799999995</v>
      </c>
      <c r="F726" s="29" t="s">
        <v>8090</v>
      </c>
      <c r="G726" s="29" t="s">
        <v>8090</v>
      </c>
      <c r="H726" s="35" t="s">
        <v>8091</v>
      </c>
      <c r="I726" s="29"/>
      <c r="J726" s="29" t="s">
        <v>9006</v>
      </c>
      <c r="K726" s="37">
        <v>0</v>
      </c>
    </row>
    <row r="727" spans="1:11">
      <c r="A727" s="31">
        <v>727</v>
      </c>
      <c r="B727" s="29" t="s">
        <v>9003</v>
      </c>
      <c r="C727" s="29" t="s">
        <v>9004</v>
      </c>
      <c r="D727" s="33">
        <v>1.3266899999999999</v>
      </c>
      <c r="E727" s="33">
        <v>-77.259780000000006</v>
      </c>
      <c r="F727" s="29" t="s">
        <v>8090</v>
      </c>
      <c r="G727" s="29" t="s">
        <v>8090</v>
      </c>
      <c r="H727" s="35" t="s">
        <v>8091</v>
      </c>
      <c r="I727" s="29"/>
      <c r="J727" s="29"/>
      <c r="K727" s="37">
        <v>1</v>
      </c>
    </row>
    <row r="728" spans="1:11">
      <c r="A728" s="31">
        <v>728</v>
      </c>
      <c r="B728" s="29" t="s">
        <v>9007</v>
      </c>
      <c r="C728" s="29" t="s">
        <v>9008</v>
      </c>
      <c r="D728" s="33">
        <v>1.26251</v>
      </c>
      <c r="E728" s="33">
        <v>-77.260199999999998</v>
      </c>
      <c r="F728" s="29" t="s">
        <v>8090</v>
      </c>
      <c r="G728" s="29" t="s">
        <v>8090</v>
      </c>
      <c r="H728" s="35" t="s">
        <v>8091</v>
      </c>
      <c r="I728" s="29"/>
      <c r="J728" s="29" t="s">
        <v>9009</v>
      </c>
      <c r="K728" s="37">
        <v>0</v>
      </c>
    </row>
    <row r="729" spans="1:11">
      <c r="A729" s="31">
        <v>729</v>
      </c>
      <c r="B729" s="29" t="s">
        <v>5041</v>
      </c>
      <c r="C729" s="29" t="s">
        <v>5042</v>
      </c>
      <c r="D729" s="33">
        <v>1.6010055999999999</v>
      </c>
      <c r="E729" s="33">
        <v>-76.971508299999996</v>
      </c>
      <c r="F729" s="29" t="s">
        <v>8090</v>
      </c>
      <c r="G729" s="29" t="s">
        <v>8090</v>
      </c>
      <c r="H729" s="35" t="s">
        <v>8091</v>
      </c>
      <c r="I729" s="29"/>
      <c r="J729" s="29"/>
      <c r="K729" s="37">
        <v>1</v>
      </c>
    </row>
    <row r="730" spans="1:11">
      <c r="A730" s="31">
        <v>730</v>
      </c>
      <c r="B730" s="29" t="s">
        <v>5164</v>
      </c>
      <c r="C730" s="29" t="s">
        <v>5165</v>
      </c>
      <c r="D730" s="33">
        <v>1.6051556</v>
      </c>
      <c r="E730" s="33">
        <v>-77.133636100000004</v>
      </c>
      <c r="F730" s="29" t="s">
        <v>8090</v>
      </c>
      <c r="G730" s="29" t="s">
        <v>8090</v>
      </c>
      <c r="H730" s="35" t="s">
        <v>8091</v>
      </c>
      <c r="I730" s="29"/>
      <c r="J730" s="29"/>
      <c r="K730" s="37">
        <v>1</v>
      </c>
    </row>
    <row r="731" spans="1:11">
      <c r="A731" s="31">
        <v>731</v>
      </c>
      <c r="B731" s="29" t="s">
        <v>9010</v>
      </c>
      <c r="C731" s="29" t="s">
        <v>9011</v>
      </c>
      <c r="D731" s="33">
        <v>7.0247700000000002</v>
      </c>
      <c r="E731" s="33">
        <v>-72.033289999999994</v>
      </c>
      <c r="F731" s="29" t="s">
        <v>8090</v>
      </c>
      <c r="G731" s="29" t="s">
        <v>8090</v>
      </c>
      <c r="H731" s="35" t="s">
        <v>8091</v>
      </c>
      <c r="I731" s="29"/>
      <c r="J731" s="29" t="s">
        <v>9012</v>
      </c>
      <c r="K731" s="37">
        <v>0</v>
      </c>
    </row>
    <row r="732" spans="1:11">
      <c r="A732" s="31">
        <v>732</v>
      </c>
      <c r="B732" s="29" t="s">
        <v>9013</v>
      </c>
      <c r="C732" s="29" t="s">
        <v>9014</v>
      </c>
      <c r="D732" s="33">
        <v>7.2751999999999999</v>
      </c>
      <c r="E732" s="33">
        <v>-72.552760000000006</v>
      </c>
      <c r="F732" s="29" t="s">
        <v>8090</v>
      </c>
      <c r="G732" s="29" t="s">
        <v>8090</v>
      </c>
      <c r="H732" s="35" t="s">
        <v>8091</v>
      </c>
      <c r="I732" s="29"/>
      <c r="J732" s="29" t="s">
        <v>9015</v>
      </c>
      <c r="K732" s="37">
        <v>0</v>
      </c>
    </row>
    <row r="733" spans="1:11">
      <c r="A733" s="31">
        <v>733</v>
      </c>
      <c r="B733" s="29" t="s">
        <v>5238</v>
      </c>
      <c r="C733" s="29" t="s">
        <v>5239</v>
      </c>
      <c r="D733" s="33">
        <v>7.3666666999999997</v>
      </c>
      <c r="E733" s="33">
        <v>-72.633333300000004</v>
      </c>
      <c r="F733" s="29" t="s">
        <v>8090</v>
      </c>
      <c r="G733" s="29" t="s">
        <v>8090</v>
      </c>
      <c r="H733" s="35" t="s">
        <v>8091</v>
      </c>
      <c r="I733" s="29"/>
      <c r="J733" s="29" t="s">
        <v>9016</v>
      </c>
      <c r="K733" s="37">
        <v>0</v>
      </c>
    </row>
    <row r="734" spans="1:11">
      <c r="A734" s="31">
        <v>734</v>
      </c>
      <c r="B734" s="29" t="s">
        <v>9017</v>
      </c>
      <c r="C734" s="29" t="s">
        <v>9018</v>
      </c>
      <c r="D734" s="33">
        <v>8.2499699999999994</v>
      </c>
      <c r="E734" s="33">
        <v>-73.249979999999994</v>
      </c>
      <c r="F734" s="29" t="s">
        <v>8090</v>
      </c>
      <c r="G734" s="29" t="s">
        <v>8090</v>
      </c>
      <c r="H734" s="35" t="s">
        <v>8091</v>
      </c>
      <c r="I734" s="29"/>
      <c r="J734" s="29" t="s">
        <v>9019</v>
      </c>
      <c r="K734" s="37">
        <v>0</v>
      </c>
    </row>
    <row r="735" spans="1:11">
      <c r="A735" s="31">
        <v>735</v>
      </c>
      <c r="B735" s="29" t="s">
        <v>9020</v>
      </c>
      <c r="C735" s="29" t="s">
        <v>9021</v>
      </c>
      <c r="D735" s="33">
        <v>1.11202</v>
      </c>
      <c r="E735" s="33">
        <v>-76.969679999999997</v>
      </c>
      <c r="F735" s="29" t="s">
        <v>8090</v>
      </c>
      <c r="G735" s="29" t="s">
        <v>8090</v>
      </c>
      <c r="H735" s="35" t="s">
        <v>8091</v>
      </c>
      <c r="I735" s="29"/>
      <c r="J735" s="29" t="s">
        <v>9022</v>
      </c>
      <c r="K735" s="37">
        <v>0</v>
      </c>
    </row>
    <row r="736" spans="1:11">
      <c r="A736" s="31">
        <v>736</v>
      </c>
      <c r="B736" s="29" t="s">
        <v>5263</v>
      </c>
      <c r="C736" s="29" t="s">
        <v>5264</v>
      </c>
      <c r="D736" s="33">
        <v>1.2017416999999999</v>
      </c>
      <c r="E736" s="33">
        <v>-76.9153278</v>
      </c>
      <c r="F736" s="29" t="s">
        <v>8090</v>
      </c>
      <c r="G736" s="29" t="s">
        <v>8090</v>
      </c>
      <c r="H736" s="35" t="s">
        <v>8091</v>
      </c>
      <c r="I736" s="29"/>
      <c r="J736" s="29" t="s">
        <v>9023</v>
      </c>
      <c r="K736" s="37">
        <v>0</v>
      </c>
    </row>
    <row r="737" spans="1:11">
      <c r="A737" s="31">
        <v>737</v>
      </c>
      <c r="B737" s="29" t="s">
        <v>5263</v>
      </c>
      <c r="C737" s="29" t="s">
        <v>5264</v>
      </c>
      <c r="D737" s="33">
        <v>1.2017416999999999</v>
      </c>
      <c r="E737" s="33">
        <v>-76.9153278</v>
      </c>
      <c r="F737" s="29" t="s">
        <v>8090</v>
      </c>
      <c r="G737" s="29" t="s">
        <v>8090</v>
      </c>
      <c r="H737" s="35" t="s">
        <v>8091</v>
      </c>
      <c r="I737" s="29"/>
      <c r="J737" s="29"/>
      <c r="K737" s="37">
        <v>1</v>
      </c>
    </row>
    <row r="738" spans="1:11">
      <c r="A738" s="31">
        <v>738</v>
      </c>
      <c r="B738" s="29" t="s">
        <v>5263</v>
      </c>
      <c r="C738" s="29" t="s">
        <v>5264</v>
      </c>
      <c r="D738" s="33">
        <v>1.2017416999999999</v>
      </c>
      <c r="E738" s="33">
        <v>-76.9153278</v>
      </c>
      <c r="F738" s="29" t="s">
        <v>8090</v>
      </c>
      <c r="G738" s="29" t="s">
        <v>8090</v>
      </c>
      <c r="H738" s="35" t="s">
        <v>8091</v>
      </c>
      <c r="I738" s="29"/>
      <c r="J738" s="29"/>
      <c r="K738" s="37">
        <v>1</v>
      </c>
    </row>
    <row r="739" spans="1:11">
      <c r="A739" s="31">
        <v>739</v>
      </c>
      <c r="B739" s="29" t="s">
        <v>5263</v>
      </c>
      <c r="C739" s="29" t="s">
        <v>5264</v>
      </c>
      <c r="D739" s="33">
        <v>1.2017416999999999</v>
      </c>
      <c r="E739" s="33">
        <v>-76.9153278</v>
      </c>
      <c r="F739" s="29" t="s">
        <v>8090</v>
      </c>
      <c r="G739" s="29" t="s">
        <v>8090</v>
      </c>
      <c r="H739" s="35" t="s">
        <v>8091</v>
      </c>
      <c r="I739" s="29"/>
      <c r="J739" s="29"/>
      <c r="K739" s="37">
        <v>1</v>
      </c>
    </row>
    <row r="740" spans="1:11">
      <c r="A740" s="31">
        <v>740</v>
      </c>
      <c r="B740" s="29" t="s">
        <v>5263</v>
      </c>
      <c r="C740" s="29" t="s">
        <v>5264</v>
      </c>
      <c r="D740" s="33">
        <v>1.2017416999999999</v>
      </c>
      <c r="E740" s="33">
        <v>-76.9153278</v>
      </c>
      <c r="F740" s="29" t="s">
        <v>8090</v>
      </c>
      <c r="G740" s="29" t="s">
        <v>8090</v>
      </c>
      <c r="H740" s="35" t="s">
        <v>8091</v>
      </c>
      <c r="I740" s="29"/>
      <c r="J740" s="29"/>
      <c r="K740" s="37">
        <v>1</v>
      </c>
    </row>
    <row r="741" spans="1:11">
      <c r="A741" s="31">
        <v>741</v>
      </c>
      <c r="B741" s="29" t="s">
        <v>9024</v>
      </c>
      <c r="C741" s="29" t="s">
        <v>9025</v>
      </c>
      <c r="D741" s="33">
        <v>1.1491800000000001</v>
      </c>
      <c r="E741" s="33">
        <v>-77.005430000000004</v>
      </c>
      <c r="F741" s="29" t="s">
        <v>8090</v>
      </c>
      <c r="G741" s="29" t="s">
        <v>8090</v>
      </c>
      <c r="H741" s="35" t="s">
        <v>8091</v>
      </c>
      <c r="I741" s="29"/>
      <c r="J741" s="29" t="s">
        <v>9026</v>
      </c>
      <c r="K741" s="37">
        <v>0</v>
      </c>
    </row>
    <row r="742" spans="1:11">
      <c r="A742" s="31">
        <v>742</v>
      </c>
      <c r="B742" s="29" t="s">
        <v>8093</v>
      </c>
      <c r="C742" s="29" t="s">
        <v>8094</v>
      </c>
      <c r="D742" s="33">
        <v>1.0825899999999999</v>
      </c>
      <c r="E742" s="33">
        <v>-76.664119999999997</v>
      </c>
      <c r="F742" s="29" t="s">
        <v>8090</v>
      </c>
      <c r="G742" s="29" t="s">
        <v>8090</v>
      </c>
      <c r="H742" s="35" t="s">
        <v>8091</v>
      </c>
      <c r="I742" s="29"/>
      <c r="J742" s="29"/>
      <c r="K742" s="37">
        <v>1</v>
      </c>
    </row>
    <row r="743" spans="1:11">
      <c r="A743" s="31">
        <v>743</v>
      </c>
      <c r="B743" s="29" t="s">
        <v>9027</v>
      </c>
      <c r="C743" s="29" t="s">
        <v>9028</v>
      </c>
      <c r="D743" s="33">
        <v>1.1435999999999999</v>
      </c>
      <c r="E743" s="33">
        <v>-76.786230000000003</v>
      </c>
      <c r="F743" s="29" t="s">
        <v>8090</v>
      </c>
      <c r="G743" s="29" t="s">
        <v>8090</v>
      </c>
      <c r="H743" s="35" t="s">
        <v>8091</v>
      </c>
      <c r="I743" s="29"/>
      <c r="J743" s="29" t="s">
        <v>9029</v>
      </c>
      <c r="K743" s="37">
        <v>0</v>
      </c>
    </row>
    <row r="744" spans="1:11">
      <c r="A744" s="31">
        <v>744</v>
      </c>
      <c r="B744" s="29" t="s">
        <v>9030</v>
      </c>
      <c r="C744" s="29" t="s">
        <v>9031</v>
      </c>
      <c r="D744" s="33">
        <v>4.4780800000000003</v>
      </c>
      <c r="E744" s="33">
        <v>-75.628749999999997</v>
      </c>
      <c r="F744" s="29" t="s">
        <v>8090</v>
      </c>
      <c r="G744" s="29" t="s">
        <v>8090</v>
      </c>
      <c r="H744" s="35" t="s">
        <v>8091</v>
      </c>
      <c r="I744" s="29"/>
      <c r="J744" s="29" t="s">
        <v>9032</v>
      </c>
      <c r="K744" s="37">
        <v>0</v>
      </c>
    </row>
    <row r="745" spans="1:11">
      <c r="A745" s="31">
        <v>745</v>
      </c>
      <c r="B745" s="29" t="s">
        <v>8671</v>
      </c>
      <c r="C745" s="29" t="s">
        <v>8672</v>
      </c>
      <c r="D745" s="33">
        <v>4.6871799999999997</v>
      </c>
      <c r="E745" s="33">
        <v>-75.617509999999996</v>
      </c>
      <c r="F745" s="29" t="s">
        <v>8090</v>
      </c>
      <c r="G745" s="29" t="s">
        <v>8090</v>
      </c>
      <c r="H745" s="35" t="s">
        <v>8091</v>
      </c>
      <c r="I745" s="29"/>
      <c r="J745" s="29"/>
      <c r="K745" s="37">
        <v>1</v>
      </c>
    </row>
    <row r="746" spans="1:11">
      <c r="A746" s="31">
        <v>746</v>
      </c>
      <c r="B746" s="29" t="s">
        <v>8671</v>
      </c>
      <c r="C746" s="29" t="s">
        <v>8672</v>
      </c>
      <c r="D746" s="33">
        <v>4.6871799999999997</v>
      </c>
      <c r="E746" s="33">
        <v>-75.617509999999996</v>
      </c>
      <c r="F746" s="29" t="s">
        <v>8090</v>
      </c>
      <c r="G746" s="29" t="s">
        <v>8090</v>
      </c>
      <c r="H746" s="35" t="s">
        <v>8091</v>
      </c>
      <c r="I746" s="29"/>
      <c r="J746" s="29"/>
      <c r="K746" s="37">
        <v>1</v>
      </c>
    </row>
    <row r="747" spans="1:11">
      <c r="A747" s="31">
        <v>747</v>
      </c>
      <c r="B747" s="29" t="s">
        <v>801</v>
      </c>
      <c r="C747" s="29" t="s">
        <v>422</v>
      </c>
      <c r="D747" s="33">
        <v>4.6666667000000004</v>
      </c>
      <c r="E747" s="33">
        <v>-75.5</v>
      </c>
      <c r="F747" s="29" t="s">
        <v>8090</v>
      </c>
      <c r="G747" s="29" t="s">
        <v>8090</v>
      </c>
      <c r="H747" s="35" t="s">
        <v>8091</v>
      </c>
      <c r="I747" s="29"/>
      <c r="J747" s="29"/>
      <c r="K747" s="37">
        <v>1</v>
      </c>
    </row>
    <row r="748" spans="1:11">
      <c r="A748" s="31">
        <v>748</v>
      </c>
      <c r="B748" s="29" t="s">
        <v>801</v>
      </c>
      <c r="C748" s="29" t="s">
        <v>422</v>
      </c>
      <c r="D748" s="33">
        <v>4.6666667000000004</v>
      </c>
      <c r="E748" s="33">
        <v>-75.5</v>
      </c>
      <c r="F748" s="29" t="s">
        <v>8090</v>
      </c>
      <c r="G748" s="29" t="s">
        <v>8090</v>
      </c>
      <c r="H748" s="35" t="s">
        <v>8091</v>
      </c>
      <c r="I748" s="29"/>
      <c r="J748" s="29"/>
      <c r="K748" s="37">
        <v>1</v>
      </c>
    </row>
    <row r="749" spans="1:11">
      <c r="A749" s="31">
        <v>749</v>
      </c>
      <c r="B749" s="29" t="s">
        <v>801</v>
      </c>
      <c r="C749" s="29" t="s">
        <v>422</v>
      </c>
      <c r="D749" s="33">
        <v>4.6666667000000004</v>
      </c>
      <c r="E749" s="33">
        <v>-75.5</v>
      </c>
      <c r="F749" s="29" t="s">
        <v>8090</v>
      </c>
      <c r="G749" s="29" t="s">
        <v>8090</v>
      </c>
      <c r="H749" s="35" t="s">
        <v>8091</v>
      </c>
      <c r="I749" s="29"/>
      <c r="J749" s="29"/>
      <c r="K749" s="37">
        <v>1</v>
      </c>
    </row>
    <row r="750" spans="1:11">
      <c r="A750" s="31">
        <v>750</v>
      </c>
      <c r="B750" s="29" t="s">
        <v>9033</v>
      </c>
      <c r="C750" s="29" t="s">
        <v>9034</v>
      </c>
      <c r="D750" s="33">
        <v>4.3016699999999997</v>
      </c>
      <c r="E750" s="33">
        <v>-75.686549999999997</v>
      </c>
      <c r="F750" s="29" t="s">
        <v>8090</v>
      </c>
      <c r="G750" s="29" t="s">
        <v>8090</v>
      </c>
      <c r="H750" s="35" t="s">
        <v>8091</v>
      </c>
      <c r="I750" s="29"/>
      <c r="J750" s="29" t="s">
        <v>9035</v>
      </c>
      <c r="K750" s="37">
        <v>0</v>
      </c>
    </row>
    <row r="751" spans="1:11">
      <c r="A751" s="31">
        <v>751</v>
      </c>
      <c r="B751" s="29" t="s">
        <v>801</v>
      </c>
      <c r="C751" s="29" t="s">
        <v>422</v>
      </c>
      <c r="D751" s="33">
        <v>4.6666667000000004</v>
      </c>
      <c r="E751" s="33">
        <v>-75.5</v>
      </c>
      <c r="F751" s="29" t="s">
        <v>8090</v>
      </c>
      <c r="G751" s="29" t="s">
        <v>8090</v>
      </c>
      <c r="H751" s="35" t="s">
        <v>8091</v>
      </c>
      <c r="I751" s="29"/>
      <c r="J751" s="29"/>
      <c r="K751" s="37">
        <v>1</v>
      </c>
    </row>
    <row r="752" spans="1:11">
      <c r="A752" s="31">
        <v>752</v>
      </c>
      <c r="B752" s="29" t="s">
        <v>5339</v>
      </c>
      <c r="C752" s="29" t="s">
        <v>5340</v>
      </c>
      <c r="D752" s="33">
        <v>4.5348249999999997</v>
      </c>
      <c r="E752" s="33">
        <v>-75.631522200000006</v>
      </c>
      <c r="F752" s="29" t="s">
        <v>8090</v>
      </c>
      <c r="G752" s="29" t="s">
        <v>8090</v>
      </c>
      <c r="H752" s="35" t="s">
        <v>8091</v>
      </c>
      <c r="I752" s="29"/>
      <c r="J752" s="29" t="s">
        <v>9036</v>
      </c>
      <c r="K752" s="37">
        <v>0</v>
      </c>
    </row>
    <row r="753" spans="1:11">
      <c r="A753" s="31">
        <v>753</v>
      </c>
      <c r="B753" s="29" t="s">
        <v>8130</v>
      </c>
      <c r="C753" s="29" t="s">
        <v>8131</v>
      </c>
      <c r="D753" s="33">
        <v>4.4012500000000001</v>
      </c>
      <c r="E753" s="33">
        <v>-75.600149999999999</v>
      </c>
      <c r="F753" s="29" t="s">
        <v>8090</v>
      </c>
      <c r="G753" s="29" t="s">
        <v>8090</v>
      </c>
      <c r="H753" s="35" t="s">
        <v>8091</v>
      </c>
      <c r="I753" s="29"/>
      <c r="J753" s="29"/>
      <c r="K753" s="37">
        <v>1</v>
      </c>
    </row>
    <row r="754" spans="1:11">
      <c r="A754" s="31">
        <v>754</v>
      </c>
      <c r="B754" s="29" t="s">
        <v>8686</v>
      </c>
      <c r="C754" s="29" t="s">
        <v>8687</v>
      </c>
      <c r="D754" s="33">
        <v>4.1099800000000002</v>
      </c>
      <c r="E754" s="33">
        <v>-75.808610000000002</v>
      </c>
      <c r="F754" s="29" t="s">
        <v>8090</v>
      </c>
      <c r="G754" s="29" t="s">
        <v>8090</v>
      </c>
      <c r="H754" s="35" t="s">
        <v>8091</v>
      </c>
      <c r="I754" s="29"/>
      <c r="J754" s="29"/>
      <c r="K754" s="37">
        <v>1</v>
      </c>
    </row>
    <row r="755" spans="1:11">
      <c r="A755" s="31">
        <v>755</v>
      </c>
      <c r="B755" s="29" t="s">
        <v>9037</v>
      </c>
      <c r="C755" s="29" t="s">
        <v>9038</v>
      </c>
      <c r="D755" s="33">
        <v>4.1435000000000004</v>
      </c>
      <c r="E755" s="33">
        <v>-75.75188</v>
      </c>
      <c r="F755" s="29" t="s">
        <v>8090</v>
      </c>
      <c r="G755" s="29" t="s">
        <v>8090</v>
      </c>
      <c r="H755" s="35" t="s">
        <v>8091</v>
      </c>
      <c r="I755" s="29"/>
      <c r="J755" s="29" t="s">
        <v>9039</v>
      </c>
      <c r="K755" s="37">
        <v>0</v>
      </c>
    </row>
    <row r="756" spans="1:11">
      <c r="A756" s="31">
        <v>756</v>
      </c>
      <c r="B756" s="29" t="s">
        <v>9037</v>
      </c>
      <c r="C756" s="29" t="s">
        <v>9038</v>
      </c>
      <c r="D756" s="33">
        <v>4.1435000000000004</v>
      </c>
      <c r="E756" s="33">
        <v>-75.75188</v>
      </c>
      <c r="F756" s="29" t="s">
        <v>8090</v>
      </c>
      <c r="G756" s="29" t="s">
        <v>8090</v>
      </c>
      <c r="H756" s="35" t="s">
        <v>8091</v>
      </c>
      <c r="I756" s="29"/>
      <c r="J756" s="29"/>
      <c r="K756" s="37">
        <v>1</v>
      </c>
    </row>
    <row r="757" spans="1:11">
      <c r="A757" s="31">
        <v>757</v>
      </c>
      <c r="B757" s="29" t="s">
        <v>9037</v>
      </c>
      <c r="C757" s="29" t="s">
        <v>9038</v>
      </c>
      <c r="D757" s="33">
        <v>4.1435000000000004</v>
      </c>
      <c r="E757" s="33">
        <v>-75.75188</v>
      </c>
      <c r="F757" s="29" t="s">
        <v>8090</v>
      </c>
      <c r="G757" s="29" t="s">
        <v>8090</v>
      </c>
      <c r="H757" s="35" t="s">
        <v>8091</v>
      </c>
      <c r="I757" s="29"/>
      <c r="J757" s="29"/>
      <c r="K757" s="37">
        <v>1</v>
      </c>
    </row>
    <row r="758" spans="1:11">
      <c r="A758" s="31">
        <v>758</v>
      </c>
      <c r="B758" s="29" t="s">
        <v>8296</v>
      </c>
      <c r="C758" s="29" t="s">
        <v>8297</v>
      </c>
      <c r="D758" s="33">
        <v>4.6857300000000004</v>
      </c>
      <c r="E758" s="33">
        <v>-75.578029999999998</v>
      </c>
      <c r="F758" s="29" t="s">
        <v>8090</v>
      </c>
      <c r="G758" s="29" t="s">
        <v>8090</v>
      </c>
      <c r="H758" s="35" t="s">
        <v>8091</v>
      </c>
      <c r="I758" s="29"/>
      <c r="J758" s="29"/>
      <c r="K758" s="37">
        <v>1</v>
      </c>
    </row>
    <row r="759" spans="1:11">
      <c r="A759" s="31">
        <v>759</v>
      </c>
      <c r="B759" s="29" t="s">
        <v>2079</v>
      </c>
      <c r="C759" s="29" t="s">
        <v>2080</v>
      </c>
      <c r="D759" s="33">
        <v>4.6414999999999997</v>
      </c>
      <c r="E759" s="33">
        <v>-75.486777799999999</v>
      </c>
      <c r="F759" s="29" t="s">
        <v>8090</v>
      </c>
      <c r="G759" s="29" t="s">
        <v>8090</v>
      </c>
      <c r="H759" s="35" t="s">
        <v>8091</v>
      </c>
      <c r="I759" s="29"/>
      <c r="J759" s="29"/>
      <c r="K759" s="37">
        <v>1</v>
      </c>
    </row>
    <row r="760" spans="1:11">
      <c r="A760" s="31">
        <v>760</v>
      </c>
      <c r="B760" s="29" t="s">
        <v>5388</v>
      </c>
      <c r="C760" s="29" t="s">
        <v>533</v>
      </c>
      <c r="D760" s="33">
        <v>4.8499999999999996</v>
      </c>
      <c r="E760" s="33">
        <v>-75.533333299999995</v>
      </c>
      <c r="F760" s="29" t="s">
        <v>8090</v>
      </c>
      <c r="G760" s="29" t="s">
        <v>8090</v>
      </c>
      <c r="H760" s="35" t="s">
        <v>8091</v>
      </c>
      <c r="I760" s="29"/>
      <c r="J760" s="29" t="s">
        <v>9040</v>
      </c>
      <c r="K760" s="37">
        <v>0</v>
      </c>
    </row>
    <row r="761" spans="1:11">
      <c r="A761" s="31">
        <v>761</v>
      </c>
      <c r="B761" s="29" t="s">
        <v>5399</v>
      </c>
      <c r="C761" s="29" t="s">
        <v>5400</v>
      </c>
      <c r="D761" s="33">
        <v>4.9637833000000002</v>
      </c>
      <c r="E761" s="33">
        <v>-75.726972200000006</v>
      </c>
      <c r="F761" s="29" t="s">
        <v>8090</v>
      </c>
      <c r="G761" s="29" t="s">
        <v>8090</v>
      </c>
      <c r="H761" s="35" t="s">
        <v>8091</v>
      </c>
      <c r="I761" s="29"/>
      <c r="J761" s="29" t="s">
        <v>9041</v>
      </c>
      <c r="K761" s="37">
        <v>0</v>
      </c>
    </row>
    <row r="762" spans="1:11">
      <c r="A762" s="31">
        <v>762</v>
      </c>
      <c r="B762" s="29" t="s">
        <v>8692</v>
      </c>
      <c r="C762" s="29" t="s">
        <v>8693</v>
      </c>
      <c r="D762" s="33">
        <v>4.7076700000000002</v>
      </c>
      <c r="E762" s="33">
        <v>-75.492909999999995</v>
      </c>
      <c r="F762" s="29" t="s">
        <v>8090</v>
      </c>
      <c r="G762" s="29" t="s">
        <v>8090</v>
      </c>
      <c r="H762" s="35" t="s">
        <v>8091</v>
      </c>
      <c r="I762" s="29"/>
      <c r="J762" s="29"/>
      <c r="K762" s="37">
        <v>1</v>
      </c>
    </row>
    <row r="763" spans="1:11">
      <c r="A763" s="31">
        <v>763</v>
      </c>
      <c r="B763" s="29" t="s">
        <v>9042</v>
      </c>
      <c r="C763" s="29" t="s">
        <v>9043</v>
      </c>
      <c r="D763" s="33">
        <v>4.7145299999999999</v>
      </c>
      <c r="E763" s="33">
        <v>-75.671970000000002</v>
      </c>
      <c r="F763" s="29" t="s">
        <v>8090</v>
      </c>
      <c r="G763" s="29" t="s">
        <v>8090</v>
      </c>
      <c r="H763" s="35" t="s">
        <v>8091</v>
      </c>
      <c r="I763" s="29"/>
      <c r="J763" s="29" t="s">
        <v>9044</v>
      </c>
      <c r="K763" s="37">
        <v>0</v>
      </c>
    </row>
    <row r="764" spans="1:11">
      <c r="A764" s="31">
        <v>764</v>
      </c>
      <c r="B764" s="29" t="s">
        <v>9045</v>
      </c>
      <c r="C764" s="29" t="s">
        <v>9046</v>
      </c>
      <c r="D764" s="33">
        <v>5.1135799999999998</v>
      </c>
      <c r="E764" s="33">
        <v>-76.058359999999993</v>
      </c>
      <c r="F764" s="29" t="s">
        <v>8090</v>
      </c>
      <c r="G764" s="29" t="s">
        <v>8090</v>
      </c>
      <c r="H764" s="35" t="s">
        <v>8091</v>
      </c>
      <c r="I764" s="29"/>
      <c r="J764" s="29" t="s">
        <v>9047</v>
      </c>
      <c r="K764" s="37">
        <v>0</v>
      </c>
    </row>
    <row r="765" spans="1:11">
      <c r="A765" s="31">
        <v>765</v>
      </c>
      <c r="B765" s="29" t="s">
        <v>8163</v>
      </c>
      <c r="C765" s="29" t="s">
        <v>8164</v>
      </c>
      <c r="D765" s="33">
        <v>4.72879</v>
      </c>
      <c r="E765" s="33">
        <v>-75.5779</v>
      </c>
      <c r="F765" s="29" t="s">
        <v>8090</v>
      </c>
      <c r="G765" s="29" t="s">
        <v>8090</v>
      </c>
      <c r="H765" s="35" t="s">
        <v>8091</v>
      </c>
      <c r="I765" s="29"/>
      <c r="J765" s="29"/>
      <c r="K765" s="37">
        <v>1</v>
      </c>
    </row>
    <row r="766" spans="1:11">
      <c r="A766" s="31">
        <v>766</v>
      </c>
      <c r="B766" s="29" t="s">
        <v>9048</v>
      </c>
      <c r="C766" s="29" t="s">
        <v>9049</v>
      </c>
      <c r="D766" s="33">
        <v>4.802236111</v>
      </c>
      <c r="E766" s="33">
        <v>-75.536008330000001</v>
      </c>
      <c r="F766" s="29" t="s">
        <v>8090</v>
      </c>
      <c r="G766" s="29" t="s">
        <v>8090</v>
      </c>
      <c r="H766" s="35" t="s">
        <v>8091</v>
      </c>
      <c r="I766" s="29"/>
      <c r="J766" s="29" t="s">
        <v>9050</v>
      </c>
      <c r="K766" s="37">
        <v>0</v>
      </c>
    </row>
    <row r="767" spans="1:11">
      <c r="A767" s="31">
        <v>767</v>
      </c>
      <c r="B767" s="29" t="s">
        <v>8701</v>
      </c>
      <c r="C767" s="29" t="s">
        <v>8702</v>
      </c>
      <c r="D767" s="33">
        <v>5.1244243999999997</v>
      </c>
      <c r="E767" s="33">
        <v>-76.041665399999999</v>
      </c>
      <c r="F767" s="29" t="s">
        <v>8090</v>
      </c>
      <c r="G767" s="29" t="s">
        <v>8090</v>
      </c>
      <c r="H767" s="35" t="s">
        <v>8091</v>
      </c>
      <c r="I767" s="29"/>
      <c r="J767" s="29"/>
      <c r="K767" s="37">
        <v>1</v>
      </c>
    </row>
    <row r="768" spans="1:11">
      <c r="A768" s="31">
        <v>768</v>
      </c>
      <c r="B768" s="29" t="s">
        <v>8701</v>
      </c>
      <c r="C768" s="29" t="s">
        <v>8702</v>
      </c>
      <c r="D768" s="33">
        <v>5.1244243999999997</v>
      </c>
      <c r="E768" s="33">
        <v>-76.041665399999999</v>
      </c>
      <c r="F768" s="29" t="s">
        <v>8090</v>
      </c>
      <c r="G768" s="29" t="s">
        <v>8090</v>
      </c>
      <c r="H768" s="35" t="s">
        <v>8091</v>
      </c>
      <c r="I768" s="29"/>
      <c r="J768" s="29"/>
      <c r="K768" s="37">
        <v>1</v>
      </c>
    </row>
    <row r="769" spans="1:11">
      <c r="A769" s="31">
        <v>769</v>
      </c>
      <c r="B769" s="29" t="s">
        <v>9051</v>
      </c>
      <c r="C769" s="29" t="s">
        <v>9052</v>
      </c>
      <c r="D769" s="33">
        <v>6.7861900000000004</v>
      </c>
      <c r="E769" s="33">
        <v>-73.056880000000007</v>
      </c>
      <c r="F769" s="29" t="s">
        <v>8090</v>
      </c>
      <c r="G769" s="29" t="s">
        <v>8090</v>
      </c>
      <c r="H769" s="35" t="s">
        <v>8091</v>
      </c>
      <c r="I769" s="29"/>
      <c r="J769" s="29" t="s">
        <v>9053</v>
      </c>
      <c r="K769" s="37">
        <v>0</v>
      </c>
    </row>
    <row r="770" spans="1:11">
      <c r="A770" s="31">
        <v>770</v>
      </c>
      <c r="B770" s="29" t="s">
        <v>8138</v>
      </c>
      <c r="C770" s="29" t="s">
        <v>8139</v>
      </c>
      <c r="D770" s="33">
        <v>7.1418900000000001</v>
      </c>
      <c r="E770" s="33">
        <v>-73.024690000000007</v>
      </c>
      <c r="F770" s="29" t="s">
        <v>8090</v>
      </c>
      <c r="G770" s="29" t="s">
        <v>8090</v>
      </c>
      <c r="H770" s="35" t="s">
        <v>8091</v>
      </c>
      <c r="I770" s="29"/>
      <c r="J770" s="29"/>
      <c r="K770" s="37">
        <v>1</v>
      </c>
    </row>
    <row r="771" spans="1:11">
      <c r="A771" s="31">
        <v>771</v>
      </c>
      <c r="B771" s="29" t="s">
        <v>5479</v>
      </c>
      <c r="C771" s="29" t="s">
        <v>5480</v>
      </c>
      <c r="D771" s="33">
        <v>4.5959167000000001</v>
      </c>
      <c r="E771" s="33">
        <v>-75.161530600000006</v>
      </c>
      <c r="F771" s="29" t="s">
        <v>8090</v>
      </c>
      <c r="G771" s="29" t="s">
        <v>8090</v>
      </c>
      <c r="H771" s="35" t="s">
        <v>8091</v>
      </c>
      <c r="I771" s="29"/>
      <c r="J771" s="29" t="s">
        <v>9054</v>
      </c>
      <c r="K771" s="37">
        <v>0</v>
      </c>
    </row>
    <row r="772" spans="1:11">
      <c r="A772" s="31">
        <v>772</v>
      </c>
      <c r="B772" s="29" t="s">
        <v>8720</v>
      </c>
      <c r="C772" s="29" t="s">
        <v>8721</v>
      </c>
      <c r="D772" s="33">
        <v>4.7177100000000003</v>
      </c>
      <c r="E772" s="33">
        <v>-75.104140000000001</v>
      </c>
      <c r="F772" s="29" t="s">
        <v>8090</v>
      </c>
      <c r="G772" s="29" t="s">
        <v>8090</v>
      </c>
      <c r="H772" s="35" t="s">
        <v>8091</v>
      </c>
      <c r="I772" s="29"/>
      <c r="J772" s="29"/>
      <c r="K772" s="37">
        <v>1</v>
      </c>
    </row>
    <row r="773" spans="1:11">
      <c r="A773" s="31">
        <v>773</v>
      </c>
      <c r="B773" s="29" t="s">
        <v>2149</v>
      </c>
      <c r="C773" s="29" t="s">
        <v>2150</v>
      </c>
      <c r="D773" s="33">
        <v>4.7189417000000002</v>
      </c>
      <c r="E773" s="33">
        <v>-75.100730600000006</v>
      </c>
      <c r="F773" s="29" t="s">
        <v>8090</v>
      </c>
      <c r="G773" s="29" t="s">
        <v>8090</v>
      </c>
      <c r="H773" s="35" t="s">
        <v>8091</v>
      </c>
      <c r="I773" s="29"/>
      <c r="J773" s="29"/>
      <c r="K773" s="37">
        <v>1</v>
      </c>
    </row>
    <row r="774" spans="1:11">
      <c r="A774" s="31">
        <v>774</v>
      </c>
      <c r="B774" s="29" t="s">
        <v>2168</v>
      </c>
      <c r="C774" s="29" t="s">
        <v>955</v>
      </c>
      <c r="D774" s="33">
        <v>4.8697777999999996</v>
      </c>
      <c r="E774" s="33">
        <v>-75.177352799999994</v>
      </c>
      <c r="F774" s="29" t="s">
        <v>8090</v>
      </c>
      <c r="G774" s="29" t="s">
        <v>8090</v>
      </c>
      <c r="H774" s="35" t="s">
        <v>8091</v>
      </c>
      <c r="I774" s="29"/>
      <c r="J774" s="29"/>
      <c r="K774" s="37">
        <v>1</v>
      </c>
    </row>
    <row r="775" spans="1:11">
      <c r="A775" s="31">
        <v>775</v>
      </c>
      <c r="B775" s="29" t="s">
        <v>9055</v>
      </c>
      <c r="C775" s="29" t="s">
        <v>9056</v>
      </c>
      <c r="D775" s="33">
        <v>4.5303699999999996</v>
      </c>
      <c r="E775" s="33">
        <v>-75.44538</v>
      </c>
      <c r="F775" s="29" t="s">
        <v>8090</v>
      </c>
      <c r="G775" s="29" t="s">
        <v>8090</v>
      </c>
      <c r="H775" s="35" t="s">
        <v>8091</v>
      </c>
      <c r="I775" s="29"/>
      <c r="J775" s="29" t="s">
        <v>9057</v>
      </c>
      <c r="K775" s="37">
        <v>0</v>
      </c>
    </row>
    <row r="776" spans="1:11">
      <c r="A776" s="31">
        <v>776</v>
      </c>
      <c r="B776" s="29" t="s">
        <v>9058</v>
      </c>
      <c r="C776" s="29" t="s">
        <v>9059</v>
      </c>
      <c r="D776" s="33">
        <v>4.5367899999999999</v>
      </c>
      <c r="E776" s="33">
        <v>-75.450580000000002</v>
      </c>
      <c r="F776" s="29" t="s">
        <v>8090</v>
      </c>
      <c r="G776" s="29" t="s">
        <v>8090</v>
      </c>
      <c r="H776" s="35" t="s">
        <v>8091</v>
      </c>
      <c r="I776" s="29"/>
      <c r="J776" s="29" t="s">
        <v>9060</v>
      </c>
      <c r="K776" s="37">
        <v>0</v>
      </c>
    </row>
    <row r="777" spans="1:11">
      <c r="A777" s="31">
        <v>777</v>
      </c>
      <c r="B777" s="29" t="s">
        <v>8160</v>
      </c>
      <c r="C777" s="29" t="s">
        <v>8161</v>
      </c>
      <c r="D777" s="33">
        <v>4.5583499999999999</v>
      </c>
      <c r="E777" s="33">
        <v>-75.320210000000003</v>
      </c>
      <c r="F777" s="29" t="s">
        <v>8090</v>
      </c>
      <c r="G777" s="29" t="s">
        <v>8090</v>
      </c>
      <c r="H777" s="35" t="s">
        <v>8091</v>
      </c>
      <c r="I777" s="29"/>
      <c r="J777" s="29"/>
      <c r="K777" s="37">
        <v>1</v>
      </c>
    </row>
    <row r="778" spans="1:11">
      <c r="A778" s="31">
        <v>778</v>
      </c>
      <c r="B778" s="29" t="s">
        <v>8160</v>
      </c>
      <c r="C778" s="29" t="s">
        <v>8161</v>
      </c>
      <c r="D778" s="33">
        <v>4.5583499999999999</v>
      </c>
      <c r="E778" s="33">
        <v>-75.320210000000003</v>
      </c>
      <c r="F778" s="29" t="s">
        <v>8090</v>
      </c>
      <c r="G778" s="29" t="s">
        <v>8090</v>
      </c>
      <c r="H778" s="35" t="s">
        <v>8091</v>
      </c>
      <c r="I778" s="29"/>
      <c r="J778" s="29"/>
      <c r="K778" s="37">
        <v>1</v>
      </c>
    </row>
    <row r="779" spans="1:11">
      <c r="A779" s="31">
        <v>779</v>
      </c>
      <c r="B779" s="29" t="s">
        <v>9061</v>
      </c>
      <c r="C779" s="29" t="s">
        <v>9062</v>
      </c>
      <c r="D779" s="33">
        <v>3.55349</v>
      </c>
      <c r="E779" s="33">
        <v>-76.114230000000006</v>
      </c>
      <c r="F779" s="29" t="s">
        <v>8090</v>
      </c>
      <c r="G779" s="29" t="s">
        <v>8090</v>
      </c>
      <c r="H779" s="35" t="s">
        <v>8091</v>
      </c>
      <c r="I779" s="29"/>
      <c r="J779" s="29" t="s">
        <v>9063</v>
      </c>
      <c r="K779" s="37">
        <v>0</v>
      </c>
    </row>
    <row r="780" spans="1:11">
      <c r="A780" s="31">
        <v>780</v>
      </c>
      <c r="B780" s="29" t="s">
        <v>9064</v>
      </c>
      <c r="C780" s="29" t="s">
        <v>9065</v>
      </c>
      <c r="D780" s="33">
        <v>3.8605399999999999</v>
      </c>
      <c r="E780" s="33">
        <v>-76.131280000000004</v>
      </c>
      <c r="F780" s="29" t="s">
        <v>8090</v>
      </c>
      <c r="G780" s="29" t="s">
        <v>8090</v>
      </c>
      <c r="H780" s="35" t="s">
        <v>8091</v>
      </c>
      <c r="I780" s="29"/>
      <c r="J780" s="29" t="s">
        <v>9066</v>
      </c>
      <c r="K780" s="37">
        <v>0</v>
      </c>
    </row>
    <row r="781" spans="1:11">
      <c r="A781" s="31">
        <v>781</v>
      </c>
      <c r="B781" s="29" t="s">
        <v>8730</v>
      </c>
      <c r="C781" s="29" t="s">
        <v>8731</v>
      </c>
      <c r="D781" s="33">
        <v>3.4614400000000001</v>
      </c>
      <c r="E781" s="33">
        <v>-76.637479999999996</v>
      </c>
      <c r="F781" s="29" t="s">
        <v>8090</v>
      </c>
      <c r="G781" s="29" t="s">
        <v>8090</v>
      </c>
      <c r="H781" s="35" t="s">
        <v>8091</v>
      </c>
      <c r="I781" s="29"/>
      <c r="J781" s="29"/>
      <c r="K781" s="37">
        <v>1</v>
      </c>
    </row>
    <row r="782" spans="1:11">
      <c r="A782" s="31">
        <v>782</v>
      </c>
      <c r="B782" s="29" t="s">
        <v>9067</v>
      </c>
      <c r="C782" s="29" t="s">
        <v>9068</v>
      </c>
      <c r="D782" s="33">
        <v>3.2276799999999999</v>
      </c>
      <c r="E782" s="33">
        <v>-76.139529999999993</v>
      </c>
      <c r="F782" s="29" t="s">
        <v>8090</v>
      </c>
      <c r="G782" s="29" t="s">
        <v>8090</v>
      </c>
      <c r="H782" s="35" t="s">
        <v>8091</v>
      </c>
      <c r="I782" s="29"/>
      <c r="J782" s="29" t="s">
        <v>9069</v>
      </c>
      <c r="K782" s="37">
        <v>0</v>
      </c>
    </row>
    <row r="783" spans="1:11">
      <c r="A783" s="31">
        <v>783</v>
      </c>
      <c r="B783" s="29" t="s">
        <v>8742</v>
      </c>
      <c r="C783" s="29" t="s">
        <v>8743</v>
      </c>
      <c r="D783" s="33">
        <v>3.34415</v>
      </c>
      <c r="E783" s="33">
        <v>-76.695809999999994</v>
      </c>
      <c r="F783" s="29" t="s">
        <v>8090</v>
      </c>
      <c r="G783" s="29" t="s">
        <v>8090</v>
      </c>
      <c r="H783" s="35" t="s">
        <v>8091</v>
      </c>
      <c r="I783" s="29"/>
      <c r="J783" s="29"/>
      <c r="K783" s="37">
        <v>1</v>
      </c>
    </row>
    <row r="784" spans="1:11">
      <c r="A784" s="31">
        <v>784</v>
      </c>
      <c r="B784" s="29" t="s">
        <v>8211</v>
      </c>
      <c r="C784" s="29" t="s">
        <v>8212</v>
      </c>
      <c r="D784" s="33">
        <v>5.9228800000000001</v>
      </c>
      <c r="E784" s="33">
        <v>-75.303579999999997</v>
      </c>
      <c r="F784" s="29" t="s">
        <v>8090</v>
      </c>
      <c r="G784" s="29" t="s">
        <v>8090</v>
      </c>
      <c r="H784" s="35" t="s">
        <v>8091</v>
      </c>
      <c r="I784" s="29"/>
      <c r="J784" s="29"/>
      <c r="K784" s="37">
        <v>1</v>
      </c>
    </row>
    <row r="785" spans="1:11">
      <c r="A785" s="31">
        <v>785</v>
      </c>
      <c r="B785" s="29" t="s">
        <v>9070</v>
      </c>
      <c r="C785" s="29" t="s">
        <v>9071</v>
      </c>
      <c r="D785" s="33">
        <v>4.9759700000000002</v>
      </c>
      <c r="E785" s="33">
        <v>-73.773009999999999</v>
      </c>
      <c r="F785" s="29" t="s">
        <v>8090</v>
      </c>
      <c r="G785" s="29" t="s">
        <v>8090</v>
      </c>
      <c r="H785" s="35" t="s">
        <v>8091</v>
      </c>
      <c r="I785" s="29"/>
      <c r="J785" s="29" t="s">
        <v>9072</v>
      </c>
      <c r="K785" s="37">
        <v>0</v>
      </c>
    </row>
    <row r="786" spans="1:11">
      <c r="A786" s="31">
        <v>786</v>
      </c>
      <c r="B786" s="29" t="s">
        <v>9073</v>
      </c>
      <c r="C786" s="29" t="s">
        <v>9074</v>
      </c>
      <c r="D786" s="33">
        <v>7.0433399999999997</v>
      </c>
      <c r="E786" s="33">
        <v>-73.003020000000006</v>
      </c>
      <c r="F786" s="29" t="s">
        <v>8090</v>
      </c>
      <c r="G786" s="29" t="s">
        <v>8090</v>
      </c>
      <c r="H786" s="35" t="s">
        <v>8091</v>
      </c>
      <c r="I786" s="29"/>
      <c r="J786" s="29" t="s">
        <v>9075</v>
      </c>
      <c r="K786" s="37">
        <v>0</v>
      </c>
    </row>
    <row r="787" spans="1:11">
      <c r="A787" s="31">
        <v>787</v>
      </c>
      <c r="B787" s="29" t="s">
        <v>2958</v>
      </c>
      <c r="C787" s="29" t="s">
        <v>329</v>
      </c>
      <c r="D787" s="33">
        <v>1.7689805999999999</v>
      </c>
      <c r="E787" s="33">
        <v>-76.018733299999994</v>
      </c>
      <c r="F787" s="29" t="s">
        <v>8090</v>
      </c>
      <c r="G787" s="29" t="s">
        <v>8090</v>
      </c>
      <c r="H787" s="35" t="s">
        <v>8091</v>
      </c>
      <c r="I787" s="29"/>
      <c r="J787" s="29"/>
      <c r="K787" s="37">
        <v>1</v>
      </c>
    </row>
    <row r="788" spans="1:11">
      <c r="A788" s="31">
        <v>788</v>
      </c>
      <c r="B788" s="29" t="s">
        <v>2958</v>
      </c>
      <c r="C788" s="29" t="s">
        <v>329</v>
      </c>
      <c r="D788" s="33">
        <v>1.7689805999999999</v>
      </c>
      <c r="E788" s="33">
        <v>-76.018733299999994</v>
      </c>
      <c r="F788" s="29" t="s">
        <v>8090</v>
      </c>
      <c r="G788" s="29" t="s">
        <v>8090</v>
      </c>
      <c r="H788" s="35" t="s">
        <v>8091</v>
      </c>
      <c r="I788" s="29"/>
      <c r="J788" s="29"/>
      <c r="K788" s="37">
        <v>1</v>
      </c>
    </row>
    <row r="789" spans="1:11">
      <c r="A789" s="31">
        <v>789</v>
      </c>
      <c r="B789" s="29" t="s">
        <v>2958</v>
      </c>
      <c r="C789" s="29" t="s">
        <v>329</v>
      </c>
      <c r="D789" s="33">
        <v>1.7689805999999999</v>
      </c>
      <c r="E789" s="33">
        <v>-76.018733299999994</v>
      </c>
      <c r="F789" s="29" t="s">
        <v>8090</v>
      </c>
      <c r="G789" s="29" t="s">
        <v>8090</v>
      </c>
      <c r="H789" s="35" t="s">
        <v>8091</v>
      </c>
      <c r="I789" s="29"/>
      <c r="J789" s="29"/>
      <c r="K789" s="37">
        <v>1</v>
      </c>
    </row>
    <row r="790" spans="1:11">
      <c r="A790" s="31">
        <v>790</v>
      </c>
      <c r="B790" s="29" t="s">
        <v>5603</v>
      </c>
      <c r="C790" s="29" t="s">
        <v>5604</v>
      </c>
      <c r="D790" s="33">
        <v>6.5397221999999999</v>
      </c>
      <c r="E790" s="33">
        <v>-76.299722200000005</v>
      </c>
      <c r="F790" s="29" t="s">
        <v>8090</v>
      </c>
      <c r="G790" s="29" t="s">
        <v>8090</v>
      </c>
      <c r="H790" s="35" t="s">
        <v>8091</v>
      </c>
      <c r="I790" s="29"/>
      <c r="J790" s="29" t="s">
        <v>9076</v>
      </c>
      <c r="K790" s="37">
        <v>0</v>
      </c>
    </row>
    <row r="791" spans="1:11">
      <c r="A791" s="31">
        <v>791</v>
      </c>
      <c r="B791" s="29" t="s">
        <v>8754</v>
      </c>
      <c r="C791" s="29" t="s">
        <v>8755</v>
      </c>
      <c r="D791" s="33">
        <v>7.4399300000000004</v>
      </c>
      <c r="E791" s="33">
        <v>-72.450950000000006</v>
      </c>
      <c r="F791" s="29" t="s">
        <v>8090</v>
      </c>
      <c r="G791" s="29" t="s">
        <v>8090</v>
      </c>
      <c r="H791" s="35" t="s">
        <v>8091</v>
      </c>
      <c r="I791" s="29"/>
      <c r="J791" s="29"/>
      <c r="K791" s="37">
        <v>1</v>
      </c>
    </row>
    <row r="792" spans="1:11">
      <c r="A792" s="31">
        <v>792</v>
      </c>
      <c r="B792" s="29" t="s">
        <v>9077</v>
      </c>
      <c r="C792" s="29" t="s">
        <v>9078</v>
      </c>
      <c r="D792" s="33">
        <v>1.08283</v>
      </c>
      <c r="E792" s="33">
        <v>-76.821110000000004</v>
      </c>
      <c r="F792" s="29" t="s">
        <v>8090</v>
      </c>
      <c r="G792" s="29" t="s">
        <v>8090</v>
      </c>
      <c r="H792" s="35" t="s">
        <v>8091</v>
      </c>
      <c r="I792" s="29"/>
      <c r="J792" s="29" t="s">
        <v>9079</v>
      </c>
      <c r="K792" s="37">
        <v>0</v>
      </c>
    </row>
    <row r="793" spans="1:11">
      <c r="A793" s="31">
        <v>793</v>
      </c>
      <c r="B793" s="29" t="s">
        <v>9080</v>
      </c>
      <c r="C793" s="29" t="s">
        <v>9081</v>
      </c>
      <c r="D793" s="33">
        <v>5.0990200000000003</v>
      </c>
      <c r="E793" s="33">
        <v>-76.700630000000004</v>
      </c>
      <c r="F793" s="29" t="s">
        <v>8090</v>
      </c>
      <c r="G793" s="29" t="s">
        <v>8090</v>
      </c>
      <c r="H793" s="35" t="s">
        <v>8091</v>
      </c>
      <c r="I793" s="29"/>
      <c r="J793" s="29" t="s">
        <v>9082</v>
      </c>
      <c r="K793" s="37">
        <v>0</v>
      </c>
    </row>
    <row r="794" spans="1:11">
      <c r="A794" s="31">
        <v>794</v>
      </c>
      <c r="B794" s="29" t="s">
        <v>4080</v>
      </c>
      <c r="C794" s="29" t="s">
        <v>4081</v>
      </c>
      <c r="D794" s="33">
        <v>1.25</v>
      </c>
      <c r="E794" s="33">
        <v>-78.116666699999996</v>
      </c>
      <c r="F794" s="29" t="s">
        <v>8090</v>
      </c>
      <c r="G794" s="29" t="s">
        <v>8090</v>
      </c>
      <c r="H794" s="35" t="s">
        <v>8091</v>
      </c>
      <c r="I794" s="29"/>
      <c r="J794" s="29"/>
      <c r="K794" s="37">
        <v>1</v>
      </c>
    </row>
    <row r="795" spans="1:11">
      <c r="A795" s="31">
        <v>795</v>
      </c>
      <c r="B795" s="29" t="s">
        <v>9083</v>
      </c>
      <c r="C795" s="29" t="s">
        <v>9084</v>
      </c>
      <c r="D795" s="33">
        <v>3.61633</v>
      </c>
      <c r="E795" s="33">
        <v>-76.898060000000001</v>
      </c>
      <c r="F795" s="29" t="s">
        <v>8090</v>
      </c>
      <c r="G795" s="29" t="s">
        <v>8090</v>
      </c>
      <c r="H795" s="35" t="s">
        <v>8091</v>
      </c>
      <c r="I795" s="29"/>
      <c r="J795" s="29" t="s">
        <v>9085</v>
      </c>
      <c r="K795" s="37">
        <v>0</v>
      </c>
    </row>
    <row r="796" spans="1:11">
      <c r="A796" s="31">
        <v>796</v>
      </c>
      <c r="B796" s="29" t="s">
        <v>9086</v>
      </c>
      <c r="C796" s="29" t="s">
        <v>9087</v>
      </c>
      <c r="D796" s="33">
        <v>1.36416</v>
      </c>
      <c r="E796" s="33">
        <v>-78.100560000000002</v>
      </c>
      <c r="F796" s="29" t="s">
        <v>8090</v>
      </c>
      <c r="G796" s="29" t="s">
        <v>8090</v>
      </c>
      <c r="H796" s="35" t="s">
        <v>8091</v>
      </c>
      <c r="I796" s="29"/>
      <c r="J796" s="29" t="s">
        <v>9088</v>
      </c>
      <c r="K796" s="37">
        <v>0</v>
      </c>
    </row>
    <row r="797" spans="1:11">
      <c r="A797" s="31">
        <v>797</v>
      </c>
      <c r="B797" s="29" t="s">
        <v>9086</v>
      </c>
      <c r="C797" s="29" t="s">
        <v>9087</v>
      </c>
      <c r="D797" s="33">
        <v>1.36416</v>
      </c>
      <c r="E797" s="33">
        <v>-78.100560000000002</v>
      </c>
      <c r="F797" s="29" t="s">
        <v>8090</v>
      </c>
      <c r="G797" s="29" t="s">
        <v>8090</v>
      </c>
      <c r="H797" s="35" t="s">
        <v>8091</v>
      </c>
      <c r="I797" s="29"/>
      <c r="J797" s="29"/>
      <c r="K797" s="37">
        <v>1</v>
      </c>
    </row>
    <row r="798" spans="1:11">
      <c r="A798" s="31">
        <v>798</v>
      </c>
      <c r="B798" s="29" t="s">
        <v>8114</v>
      </c>
      <c r="C798" s="29" t="s">
        <v>8115</v>
      </c>
      <c r="D798" s="33">
        <v>1.53403</v>
      </c>
      <c r="E798" s="33">
        <v>-78.067689999999999</v>
      </c>
      <c r="F798" s="29" t="s">
        <v>8090</v>
      </c>
      <c r="G798" s="29" t="s">
        <v>8090</v>
      </c>
      <c r="H798" s="35" t="s">
        <v>8091</v>
      </c>
      <c r="I798" s="29"/>
      <c r="J798" s="29"/>
      <c r="K798" s="37">
        <v>1</v>
      </c>
    </row>
    <row r="799" spans="1:11">
      <c r="A799" s="31">
        <v>799</v>
      </c>
      <c r="B799" s="29" t="s">
        <v>9089</v>
      </c>
      <c r="C799" s="29" t="s">
        <v>9090</v>
      </c>
      <c r="D799" s="33">
        <v>12.13776</v>
      </c>
      <c r="E799" s="33">
        <v>-71.338380000000001</v>
      </c>
      <c r="F799" s="29" t="s">
        <v>8090</v>
      </c>
      <c r="G799" s="29" t="s">
        <v>8090</v>
      </c>
      <c r="H799" s="35" t="s">
        <v>8091</v>
      </c>
      <c r="I799" s="29"/>
      <c r="J799" s="29" t="s">
        <v>9091</v>
      </c>
      <c r="K799" s="37">
        <v>0</v>
      </c>
    </row>
    <row r="800" spans="1:11">
      <c r="A800" s="31">
        <v>800</v>
      </c>
      <c r="B800" s="29" t="s">
        <v>9089</v>
      </c>
      <c r="C800" s="29" t="s">
        <v>9090</v>
      </c>
      <c r="D800" s="33">
        <v>12.13776</v>
      </c>
      <c r="E800" s="33">
        <v>-71.338380000000001</v>
      </c>
      <c r="F800" s="29" t="s">
        <v>8090</v>
      </c>
      <c r="G800" s="29" t="s">
        <v>8090</v>
      </c>
      <c r="H800" s="35" t="s">
        <v>8091</v>
      </c>
      <c r="I800" s="29"/>
      <c r="J800" s="29"/>
      <c r="K800" s="37">
        <v>1</v>
      </c>
    </row>
    <row r="801" spans="1:11">
      <c r="A801" s="31">
        <v>801</v>
      </c>
      <c r="B801" s="29" t="s">
        <v>4021</v>
      </c>
      <c r="C801" s="29" t="s">
        <v>5661</v>
      </c>
      <c r="D801" s="33">
        <v>5.0999999999999996</v>
      </c>
      <c r="E801" s="33">
        <v>-76.666666699999993</v>
      </c>
      <c r="F801" s="29" t="s">
        <v>8090</v>
      </c>
      <c r="G801" s="29" t="s">
        <v>8090</v>
      </c>
      <c r="H801" s="35" t="s">
        <v>8091</v>
      </c>
      <c r="I801" s="29"/>
      <c r="J801" s="29" t="s">
        <v>9092</v>
      </c>
      <c r="K801" s="37">
        <v>0</v>
      </c>
    </row>
    <row r="802" spans="1:11">
      <c r="A802" s="31">
        <v>802</v>
      </c>
      <c r="B802" s="29" t="s">
        <v>9093</v>
      </c>
      <c r="C802" s="29" t="s">
        <v>9094</v>
      </c>
      <c r="D802" s="33">
        <v>4.8758499999999998</v>
      </c>
      <c r="E802" s="33">
        <v>-76.442220000000006</v>
      </c>
      <c r="F802" s="29" t="s">
        <v>8090</v>
      </c>
      <c r="G802" s="29" t="s">
        <v>8090</v>
      </c>
      <c r="H802" s="35" t="s">
        <v>8091</v>
      </c>
      <c r="I802" s="29"/>
      <c r="J802" s="29" t="s">
        <v>9095</v>
      </c>
      <c r="K802" s="37">
        <v>0</v>
      </c>
    </row>
    <row r="803" spans="1:11">
      <c r="A803" s="31">
        <v>803</v>
      </c>
      <c r="B803" s="29" t="s">
        <v>9096</v>
      </c>
      <c r="C803" s="29" t="s">
        <v>9097</v>
      </c>
      <c r="D803" s="33">
        <v>4.89255</v>
      </c>
      <c r="E803" s="33">
        <v>-76.274339999999995</v>
      </c>
      <c r="F803" s="29" t="s">
        <v>8090</v>
      </c>
      <c r="G803" s="29" t="s">
        <v>8090</v>
      </c>
      <c r="H803" s="35" t="s">
        <v>8091</v>
      </c>
      <c r="I803" s="29"/>
      <c r="J803" s="29" t="s">
        <v>9098</v>
      </c>
      <c r="K803" s="37">
        <v>0</v>
      </c>
    </row>
    <row r="804" spans="1:11">
      <c r="A804" s="31">
        <v>804</v>
      </c>
      <c r="B804" s="29" t="s">
        <v>9099</v>
      </c>
      <c r="C804" s="29" t="s">
        <v>9100</v>
      </c>
      <c r="D804" s="33">
        <v>11.29186</v>
      </c>
      <c r="E804" s="33">
        <v>-74.056820000000002</v>
      </c>
      <c r="F804" s="29" t="s">
        <v>8090</v>
      </c>
      <c r="G804" s="29" t="s">
        <v>8090</v>
      </c>
      <c r="H804" s="35" t="s">
        <v>8091</v>
      </c>
      <c r="I804" s="29"/>
      <c r="J804" s="29" t="s">
        <v>9101</v>
      </c>
      <c r="K804" s="37">
        <v>0</v>
      </c>
    </row>
    <row r="805" spans="1:11">
      <c r="A805" s="31">
        <v>805</v>
      </c>
      <c r="B805" s="29" t="s">
        <v>3260</v>
      </c>
      <c r="C805" s="29" t="s">
        <v>5690</v>
      </c>
      <c r="D805" s="33">
        <v>3.5</v>
      </c>
      <c r="E805" s="33">
        <v>-76.75</v>
      </c>
      <c r="F805" s="29" t="s">
        <v>8090</v>
      </c>
      <c r="G805" s="29" t="s">
        <v>8090</v>
      </c>
      <c r="H805" s="35" t="s">
        <v>8091</v>
      </c>
      <c r="I805" s="29"/>
      <c r="J805" s="29" t="s">
        <v>9102</v>
      </c>
      <c r="K805" s="37">
        <v>0</v>
      </c>
    </row>
    <row r="806" spans="1:11">
      <c r="A806" s="31">
        <v>806</v>
      </c>
      <c r="B806" s="29" t="s">
        <v>3260</v>
      </c>
      <c r="C806" s="29" t="s">
        <v>5690</v>
      </c>
      <c r="D806" s="33">
        <v>3.5</v>
      </c>
      <c r="E806" s="33">
        <v>-76.75</v>
      </c>
      <c r="F806" s="29" t="s">
        <v>8090</v>
      </c>
      <c r="G806" s="29" t="s">
        <v>8090</v>
      </c>
      <c r="H806" s="35" t="s">
        <v>8091</v>
      </c>
      <c r="I806" s="29"/>
      <c r="J806" s="29"/>
      <c r="K806" s="37">
        <v>1</v>
      </c>
    </row>
    <row r="807" spans="1:11">
      <c r="A807" s="31">
        <v>807</v>
      </c>
      <c r="B807" s="29" t="s">
        <v>5703</v>
      </c>
      <c r="C807" s="29" t="s">
        <v>9103</v>
      </c>
      <c r="D807" s="33">
        <v>1.0833333000000001</v>
      </c>
      <c r="E807" s="33">
        <v>-78.016666700000002</v>
      </c>
      <c r="F807" s="29" t="s">
        <v>8090</v>
      </c>
      <c r="G807" s="29" t="s">
        <v>8090</v>
      </c>
      <c r="H807" s="35" t="s">
        <v>8091</v>
      </c>
      <c r="I807" s="29"/>
      <c r="J807" s="29" t="s">
        <v>9104</v>
      </c>
      <c r="K807" s="37">
        <v>0</v>
      </c>
    </row>
    <row r="808" spans="1:11">
      <c r="A808" s="31">
        <v>808</v>
      </c>
      <c r="B808" s="29" t="s">
        <v>3615</v>
      </c>
      <c r="C808" s="29" t="s">
        <v>3616</v>
      </c>
      <c r="D808" s="33">
        <v>6.5125555999999998</v>
      </c>
      <c r="E808" s="33">
        <v>-76.261499999999998</v>
      </c>
      <c r="F808" s="29" t="s">
        <v>8090</v>
      </c>
      <c r="G808" s="29" t="s">
        <v>8090</v>
      </c>
      <c r="H808" s="35" t="s">
        <v>8091</v>
      </c>
      <c r="I808" s="29"/>
      <c r="J808" s="29"/>
      <c r="K808" s="37">
        <v>1</v>
      </c>
    </row>
    <row r="809" spans="1:11">
      <c r="A809" s="31">
        <v>809</v>
      </c>
      <c r="B809" s="29" t="s">
        <v>8114</v>
      </c>
      <c r="C809" s="29" t="s">
        <v>8115</v>
      </c>
      <c r="D809" s="33">
        <v>1.53403</v>
      </c>
      <c r="E809" s="33">
        <v>-78.067689999999999</v>
      </c>
      <c r="F809" s="29" t="s">
        <v>8090</v>
      </c>
      <c r="G809" s="29" t="s">
        <v>8090</v>
      </c>
      <c r="H809" s="35" t="s">
        <v>8091</v>
      </c>
      <c r="I809" s="29"/>
      <c r="J809" s="29"/>
      <c r="K809" s="37">
        <v>1</v>
      </c>
    </row>
    <row r="810" spans="1:11">
      <c r="A810" s="31">
        <v>810</v>
      </c>
      <c r="B810" s="29" t="s">
        <v>5726</v>
      </c>
      <c r="C810" s="29" t="s">
        <v>5727</v>
      </c>
      <c r="D810" s="33">
        <v>6.6073443999999997</v>
      </c>
      <c r="E810" s="33">
        <v>-75.665902799999998</v>
      </c>
      <c r="F810" s="29" t="s">
        <v>8090</v>
      </c>
      <c r="G810" s="29" t="s">
        <v>8090</v>
      </c>
      <c r="H810" s="35" t="s">
        <v>8091</v>
      </c>
      <c r="I810" s="29"/>
      <c r="J810" s="29" t="s">
        <v>9105</v>
      </c>
      <c r="K810" s="37">
        <v>0</v>
      </c>
    </row>
    <row r="811" spans="1:11">
      <c r="A811" s="31">
        <v>811</v>
      </c>
      <c r="B811" s="29" t="s">
        <v>5733</v>
      </c>
      <c r="C811" s="29" t="s">
        <v>4194</v>
      </c>
      <c r="D811" s="33">
        <v>6.3166666999999999</v>
      </c>
      <c r="E811" s="33">
        <v>-75.683333300000001</v>
      </c>
      <c r="F811" s="29" t="s">
        <v>8090</v>
      </c>
      <c r="G811" s="29" t="s">
        <v>8090</v>
      </c>
      <c r="H811" s="35" t="s">
        <v>8091</v>
      </c>
      <c r="I811" s="29"/>
      <c r="J811" s="29" t="s">
        <v>9106</v>
      </c>
      <c r="K811" s="37">
        <v>0</v>
      </c>
    </row>
    <row r="812" spans="1:11">
      <c r="A812" s="31">
        <v>812</v>
      </c>
      <c r="B812" s="29" t="s">
        <v>560</v>
      </c>
      <c r="C812" s="29" t="s">
        <v>561</v>
      </c>
      <c r="D812" s="33">
        <v>6.09</v>
      </c>
      <c r="E812" s="33">
        <v>-75.638000000000005</v>
      </c>
      <c r="F812" s="29" t="s">
        <v>8090</v>
      </c>
      <c r="G812" s="29" t="s">
        <v>8090</v>
      </c>
      <c r="H812" s="35" t="s">
        <v>8091</v>
      </c>
      <c r="I812" s="29"/>
      <c r="J812" s="29"/>
      <c r="K812" s="37">
        <v>1</v>
      </c>
    </row>
    <row r="813" spans="1:11">
      <c r="A813" s="31">
        <v>813</v>
      </c>
      <c r="B813" s="29" t="s">
        <v>5751</v>
      </c>
      <c r="C813" s="29" t="s">
        <v>5752</v>
      </c>
      <c r="D813" s="33">
        <v>6.6218611000000003</v>
      </c>
      <c r="E813" s="33">
        <v>-75.674999999999997</v>
      </c>
      <c r="F813" s="29" t="s">
        <v>8090</v>
      </c>
      <c r="G813" s="29" t="s">
        <v>8090</v>
      </c>
      <c r="H813" s="35" t="s">
        <v>8091</v>
      </c>
      <c r="I813" s="29"/>
      <c r="J813" s="29" t="s">
        <v>9107</v>
      </c>
      <c r="K813" s="37">
        <v>0</v>
      </c>
    </row>
    <row r="814" spans="1:11">
      <c r="A814" s="31">
        <v>814</v>
      </c>
      <c r="B814" s="29" t="s">
        <v>2612</v>
      </c>
      <c r="C814" s="29" t="s">
        <v>5763</v>
      </c>
      <c r="D814" s="33">
        <v>5.4870000000000001</v>
      </c>
      <c r="E814" s="33">
        <v>-75.8979444</v>
      </c>
      <c r="F814" s="29" t="s">
        <v>8090</v>
      </c>
      <c r="G814" s="29" t="s">
        <v>8090</v>
      </c>
      <c r="H814" s="35" t="s">
        <v>8091</v>
      </c>
      <c r="I814" s="29"/>
      <c r="J814" s="29" t="s">
        <v>9108</v>
      </c>
      <c r="K814" s="37">
        <v>0</v>
      </c>
    </row>
    <row r="815" spans="1:11">
      <c r="A815" s="31">
        <v>815</v>
      </c>
      <c r="B815" s="29" t="s">
        <v>5774</v>
      </c>
      <c r="C815" s="29" t="s">
        <v>5775</v>
      </c>
      <c r="D815" s="33">
        <v>6.5999444</v>
      </c>
      <c r="E815" s="33">
        <v>-75.690611099999998</v>
      </c>
      <c r="F815" s="29" t="s">
        <v>8090</v>
      </c>
      <c r="G815" s="29" t="s">
        <v>8090</v>
      </c>
      <c r="H815" s="35" t="s">
        <v>8091</v>
      </c>
      <c r="I815" s="29"/>
      <c r="J815" s="29" t="s">
        <v>9109</v>
      </c>
      <c r="K815" s="37">
        <v>0</v>
      </c>
    </row>
    <row r="816" spans="1:11">
      <c r="A816" s="31">
        <v>816</v>
      </c>
      <c r="B816" s="29" t="s">
        <v>5774</v>
      </c>
      <c r="C816" s="29" t="s">
        <v>5775</v>
      </c>
      <c r="D816" s="33">
        <v>6.5999444</v>
      </c>
      <c r="E816" s="33">
        <v>-75.690611099999998</v>
      </c>
      <c r="F816" s="29" t="s">
        <v>8090</v>
      </c>
      <c r="G816" s="29" t="s">
        <v>8090</v>
      </c>
      <c r="H816" s="35" t="s">
        <v>8091</v>
      </c>
      <c r="I816" s="29"/>
      <c r="J816" s="29"/>
      <c r="K816" s="37">
        <v>1</v>
      </c>
    </row>
    <row r="817" spans="1:11">
      <c r="A817" s="31">
        <v>817</v>
      </c>
      <c r="B817" s="29" t="s">
        <v>5774</v>
      </c>
      <c r="C817" s="29" t="s">
        <v>5775</v>
      </c>
      <c r="D817" s="33">
        <v>6.5999444</v>
      </c>
      <c r="E817" s="33">
        <v>-75.690611099999998</v>
      </c>
      <c r="F817" s="29" t="s">
        <v>8090</v>
      </c>
      <c r="G817" s="29" t="s">
        <v>8090</v>
      </c>
      <c r="H817" s="35" t="s">
        <v>8091</v>
      </c>
      <c r="I817" s="29"/>
      <c r="J817" s="29"/>
      <c r="K817" s="37">
        <v>1</v>
      </c>
    </row>
    <row r="818" spans="1:11">
      <c r="A818" s="31">
        <v>818</v>
      </c>
      <c r="B818" s="29" t="s">
        <v>9110</v>
      </c>
      <c r="C818" s="29" t="s">
        <v>9111</v>
      </c>
      <c r="D818" s="33">
        <v>6.4988099999999998</v>
      </c>
      <c r="E818" s="33">
        <v>-75.636369999999999</v>
      </c>
      <c r="F818" s="29" t="s">
        <v>8090</v>
      </c>
      <c r="G818" s="29" t="s">
        <v>8090</v>
      </c>
      <c r="H818" s="35" t="s">
        <v>8091</v>
      </c>
      <c r="I818" s="29"/>
      <c r="J818" s="29" t="s">
        <v>9112</v>
      </c>
      <c r="K818" s="37">
        <v>0</v>
      </c>
    </row>
    <row r="819" spans="1:11">
      <c r="A819" s="31">
        <v>819</v>
      </c>
      <c r="B819" s="29" t="s">
        <v>9110</v>
      </c>
      <c r="C819" s="29" t="s">
        <v>9111</v>
      </c>
      <c r="D819" s="33">
        <v>6.4988099999999998</v>
      </c>
      <c r="E819" s="33">
        <v>-75.636369999999999</v>
      </c>
      <c r="F819" s="29" t="s">
        <v>8090</v>
      </c>
      <c r="G819" s="29" t="s">
        <v>8090</v>
      </c>
      <c r="H819" s="35" t="s">
        <v>8091</v>
      </c>
      <c r="I819" s="29"/>
      <c r="J819" s="29"/>
      <c r="K819" s="37">
        <v>1</v>
      </c>
    </row>
    <row r="820" spans="1:11">
      <c r="A820" s="31">
        <v>820</v>
      </c>
      <c r="B820" s="29" t="s">
        <v>9110</v>
      </c>
      <c r="C820" s="29" t="s">
        <v>9111</v>
      </c>
      <c r="D820" s="33">
        <v>6.4988099999999998</v>
      </c>
      <c r="E820" s="33">
        <v>-75.636369999999999</v>
      </c>
      <c r="F820" s="29" t="s">
        <v>8090</v>
      </c>
      <c r="G820" s="29" t="s">
        <v>8090</v>
      </c>
      <c r="H820" s="35" t="s">
        <v>8091</v>
      </c>
      <c r="I820" s="29"/>
      <c r="J820" s="29"/>
      <c r="K820" s="37">
        <v>1</v>
      </c>
    </row>
    <row r="821" spans="1:11">
      <c r="A821" s="31">
        <v>821</v>
      </c>
      <c r="B821" s="29" t="s">
        <v>2612</v>
      </c>
      <c r="C821" s="29" t="s">
        <v>5763</v>
      </c>
      <c r="D821" s="33">
        <v>5.4870000000000001</v>
      </c>
      <c r="E821" s="33">
        <v>-75.8979444</v>
      </c>
      <c r="F821" s="29" t="s">
        <v>8090</v>
      </c>
      <c r="G821" s="29" t="s">
        <v>8090</v>
      </c>
      <c r="H821" s="35" t="s">
        <v>8091</v>
      </c>
      <c r="I821" s="29"/>
      <c r="J821" s="29"/>
      <c r="K821" s="37">
        <v>1</v>
      </c>
    </row>
    <row r="822" spans="1:11">
      <c r="A822" s="31">
        <v>822</v>
      </c>
      <c r="B822" s="29" t="s">
        <v>4630</v>
      </c>
      <c r="C822" s="29" t="s">
        <v>4631</v>
      </c>
      <c r="D822" s="33">
        <v>5.5417778000000002</v>
      </c>
      <c r="E822" s="33">
        <v>-75.807527800000003</v>
      </c>
      <c r="F822" s="29" t="s">
        <v>8090</v>
      </c>
      <c r="G822" s="29" t="s">
        <v>8090</v>
      </c>
      <c r="H822" s="35" t="s">
        <v>8091</v>
      </c>
      <c r="I822" s="29"/>
      <c r="J822" s="29"/>
      <c r="K822" s="37">
        <v>1</v>
      </c>
    </row>
    <row r="823" spans="1:11">
      <c r="A823" s="31">
        <v>823</v>
      </c>
      <c r="B823" s="29" t="s">
        <v>4630</v>
      </c>
      <c r="C823" s="29" t="s">
        <v>4631</v>
      </c>
      <c r="D823" s="33">
        <v>5.5417778000000002</v>
      </c>
      <c r="E823" s="33">
        <v>-75.807527800000003</v>
      </c>
      <c r="F823" s="29" t="s">
        <v>8090</v>
      </c>
      <c r="G823" s="29" t="s">
        <v>8090</v>
      </c>
      <c r="H823" s="35" t="s">
        <v>8091</v>
      </c>
      <c r="I823" s="29"/>
      <c r="J823" s="29"/>
      <c r="K823" s="37">
        <v>1</v>
      </c>
    </row>
    <row r="824" spans="1:11">
      <c r="A824" s="31">
        <v>824</v>
      </c>
      <c r="B824" s="29" t="s">
        <v>4643</v>
      </c>
      <c r="C824" s="29" t="s">
        <v>4644</v>
      </c>
      <c r="D824" s="33">
        <v>6.3416667000000002</v>
      </c>
      <c r="E824" s="33">
        <v>-75.647222200000002</v>
      </c>
      <c r="F824" s="29" t="s">
        <v>8090</v>
      </c>
      <c r="G824" s="29" t="s">
        <v>8090</v>
      </c>
      <c r="H824" s="35" t="s">
        <v>8091</v>
      </c>
      <c r="I824" s="29"/>
      <c r="J824" s="29"/>
      <c r="K824" s="37">
        <v>1</v>
      </c>
    </row>
    <row r="825" spans="1:11">
      <c r="A825" s="31">
        <v>825</v>
      </c>
      <c r="B825" s="29" t="s">
        <v>5816</v>
      </c>
      <c r="C825" s="29" t="s">
        <v>5817</v>
      </c>
      <c r="D825" s="33">
        <v>6.2546472</v>
      </c>
      <c r="E825" s="33">
        <v>-75.711386099999999</v>
      </c>
      <c r="F825" s="29" t="s">
        <v>8090</v>
      </c>
      <c r="G825" s="29" t="s">
        <v>8090</v>
      </c>
      <c r="H825" s="35" t="s">
        <v>8091</v>
      </c>
      <c r="I825" s="29"/>
      <c r="J825" s="29" t="s">
        <v>9113</v>
      </c>
      <c r="K825" s="37">
        <v>0</v>
      </c>
    </row>
    <row r="826" spans="1:11">
      <c r="A826" s="31">
        <v>826</v>
      </c>
      <c r="B826" s="29" t="s">
        <v>5816</v>
      </c>
      <c r="C826" s="29" t="s">
        <v>5817</v>
      </c>
      <c r="D826" s="33">
        <v>6.2546472</v>
      </c>
      <c r="E826" s="33">
        <v>-75.711386099999999</v>
      </c>
      <c r="F826" s="29" t="s">
        <v>8090</v>
      </c>
      <c r="G826" s="29" t="s">
        <v>8090</v>
      </c>
      <c r="H826" s="35" t="s">
        <v>8091</v>
      </c>
      <c r="I826" s="29"/>
      <c r="J826" s="29"/>
      <c r="K826" s="37">
        <v>1</v>
      </c>
    </row>
    <row r="827" spans="1:11">
      <c r="A827" s="31">
        <v>827</v>
      </c>
      <c r="B827" s="29" t="s">
        <v>9114</v>
      </c>
      <c r="C827" s="29" t="s">
        <v>9115</v>
      </c>
      <c r="D827" s="33">
        <v>6.6219666669999997</v>
      </c>
      <c r="E827" s="33">
        <v>-75.644949999999994</v>
      </c>
      <c r="F827" s="29" t="s">
        <v>8090</v>
      </c>
      <c r="G827" s="29" t="s">
        <v>8090</v>
      </c>
      <c r="H827" s="35" t="s">
        <v>8091</v>
      </c>
      <c r="I827" s="29"/>
      <c r="J827" s="29" t="s">
        <v>9116</v>
      </c>
      <c r="K827" s="37">
        <v>0</v>
      </c>
    </row>
    <row r="828" spans="1:11">
      <c r="A828" s="31">
        <v>828</v>
      </c>
      <c r="B828" s="29" t="s">
        <v>9114</v>
      </c>
      <c r="C828" s="29" t="s">
        <v>9115</v>
      </c>
      <c r="D828" s="33">
        <v>6.6219666669999997</v>
      </c>
      <c r="E828" s="33">
        <v>-75.644949999999994</v>
      </c>
      <c r="F828" s="29" t="s">
        <v>8090</v>
      </c>
      <c r="G828" s="29" t="s">
        <v>8090</v>
      </c>
      <c r="H828" s="35" t="s">
        <v>8091</v>
      </c>
      <c r="I828" s="29"/>
      <c r="J828" s="29"/>
      <c r="K828" s="37">
        <v>1</v>
      </c>
    </row>
    <row r="829" spans="1:11">
      <c r="A829" s="31">
        <v>829</v>
      </c>
      <c r="B829" s="29" t="s">
        <v>9117</v>
      </c>
      <c r="C829" s="29" t="s">
        <v>9118</v>
      </c>
      <c r="D829" s="33">
        <v>5.6401599999999998</v>
      </c>
      <c r="E829" s="33">
        <v>-72.792090000000002</v>
      </c>
      <c r="F829" s="29" t="s">
        <v>8090</v>
      </c>
      <c r="G829" s="29" t="s">
        <v>8090</v>
      </c>
      <c r="H829" s="35" t="s">
        <v>8091</v>
      </c>
      <c r="I829" s="29"/>
      <c r="J829" s="29" t="s">
        <v>9119</v>
      </c>
      <c r="K829" s="37">
        <v>0</v>
      </c>
    </row>
    <row r="830" spans="1:11">
      <c r="A830" s="31">
        <v>830</v>
      </c>
      <c r="B830" s="29" t="s">
        <v>8571</v>
      </c>
      <c r="C830" s="29" t="s">
        <v>8572</v>
      </c>
      <c r="D830" s="33">
        <v>5.7076000000000002</v>
      </c>
      <c r="E830" s="33">
        <v>-73.461259999999996</v>
      </c>
      <c r="F830" s="29" t="s">
        <v>8090</v>
      </c>
      <c r="G830" s="29" t="s">
        <v>8090</v>
      </c>
      <c r="H830" s="35" t="s">
        <v>8091</v>
      </c>
      <c r="I830" s="29"/>
      <c r="J830" s="29"/>
      <c r="K830" s="37">
        <v>1</v>
      </c>
    </row>
    <row r="831" spans="1:11">
      <c r="A831" s="31">
        <v>831</v>
      </c>
      <c r="B831" s="29" t="s">
        <v>4894</v>
      </c>
      <c r="C831" s="29" t="s">
        <v>4895</v>
      </c>
      <c r="D831" s="33">
        <v>2.5499999999999998</v>
      </c>
      <c r="E831" s="33">
        <v>-76.066666699999999</v>
      </c>
      <c r="F831" s="29" t="s">
        <v>8090</v>
      </c>
      <c r="G831" s="29" t="s">
        <v>8090</v>
      </c>
      <c r="H831" s="35" t="s">
        <v>8091</v>
      </c>
      <c r="I831" s="29"/>
      <c r="J831" s="29"/>
      <c r="K831" s="37">
        <v>1</v>
      </c>
    </row>
    <row r="832" spans="1:11">
      <c r="A832" s="31">
        <v>832</v>
      </c>
      <c r="B832" s="29" t="s">
        <v>9120</v>
      </c>
      <c r="C832" s="29" t="s">
        <v>9121</v>
      </c>
      <c r="D832" s="33">
        <v>4.4641999999999999</v>
      </c>
      <c r="E832" s="33">
        <v>-74.297539999999998</v>
      </c>
      <c r="F832" s="29" t="s">
        <v>8090</v>
      </c>
      <c r="G832" s="29" t="s">
        <v>8090</v>
      </c>
      <c r="H832" s="35" t="s">
        <v>8091</v>
      </c>
      <c r="I832" s="29"/>
      <c r="J832" s="29" t="s">
        <v>9122</v>
      </c>
      <c r="K832" s="37">
        <v>0</v>
      </c>
    </row>
    <row r="833" spans="1:11">
      <c r="A833" s="31">
        <v>833</v>
      </c>
      <c r="B833" s="29" t="s">
        <v>9120</v>
      </c>
      <c r="C833" s="29" t="s">
        <v>9121</v>
      </c>
      <c r="D833" s="33">
        <v>4.4641999999999999</v>
      </c>
      <c r="E833" s="33">
        <v>-74.297539999999998</v>
      </c>
      <c r="F833" s="29" t="s">
        <v>8090</v>
      </c>
      <c r="G833" s="29" t="s">
        <v>8090</v>
      </c>
      <c r="H833" s="35" t="s">
        <v>8091</v>
      </c>
      <c r="I833" s="29"/>
      <c r="J833" s="29"/>
      <c r="K833" s="37">
        <v>1</v>
      </c>
    </row>
    <row r="834" spans="1:11">
      <c r="A834" s="31">
        <v>834</v>
      </c>
      <c r="B834" s="29" t="s">
        <v>9123</v>
      </c>
      <c r="C834" s="29" t="s">
        <v>9124</v>
      </c>
      <c r="D834" s="33">
        <v>4.9336500000000001</v>
      </c>
      <c r="E834" s="33">
        <v>-74.050399999999996</v>
      </c>
      <c r="F834" s="29" t="s">
        <v>8090</v>
      </c>
      <c r="G834" s="29" t="s">
        <v>8090</v>
      </c>
      <c r="H834" s="35" t="s">
        <v>8091</v>
      </c>
      <c r="I834" s="29"/>
      <c r="J834" s="29" t="s">
        <v>9125</v>
      </c>
      <c r="K834" s="37">
        <v>0</v>
      </c>
    </row>
    <row r="835" spans="1:11">
      <c r="A835" s="31">
        <v>835</v>
      </c>
      <c r="B835" s="29" t="s">
        <v>9126</v>
      </c>
      <c r="C835" s="29" t="s">
        <v>9127</v>
      </c>
      <c r="D835" s="33">
        <v>4.4438199999999997</v>
      </c>
      <c r="E835" s="33">
        <v>-74.302070000000001</v>
      </c>
      <c r="F835" s="29" t="s">
        <v>8090</v>
      </c>
      <c r="G835" s="29" t="s">
        <v>8090</v>
      </c>
      <c r="H835" s="35" t="s">
        <v>8091</v>
      </c>
      <c r="I835" s="29"/>
      <c r="J835" s="29" t="s">
        <v>9128</v>
      </c>
      <c r="K835" s="37">
        <v>0</v>
      </c>
    </row>
    <row r="836" spans="1:11">
      <c r="A836" s="31">
        <v>836</v>
      </c>
      <c r="B836" s="29" t="s">
        <v>9129</v>
      </c>
      <c r="C836" s="29" t="s">
        <v>9130</v>
      </c>
      <c r="D836" s="33">
        <v>1.1213</v>
      </c>
      <c r="E836" s="33">
        <v>-77.189530000000005</v>
      </c>
      <c r="F836" s="29" t="s">
        <v>8090</v>
      </c>
      <c r="G836" s="29" t="s">
        <v>8090</v>
      </c>
      <c r="H836" s="35" t="s">
        <v>8091</v>
      </c>
      <c r="I836" s="29"/>
      <c r="J836" s="29" t="s">
        <v>9131</v>
      </c>
      <c r="K836" s="37">
        <v>0</v>
      </c>
    </row>
    <row r="837" spans="1:11">
      <c r="A837" s="31">
        <v>837</v>
      </c>
      <c r="B837" s="29" t="s">
        <v>9129</v>
      </c>
      <c r="C837" s="29" t="s">
        <v>9130</v>
      </c>
      <c r="D837" s="33">
        <v>1.1213</v>
      </c>
      <c r="E837" s="33">
        <v>-77.189530000000005</v>
      </c>
      <c r="F837" s="29" t="s">
        <v>8090</v>
      </c>
      <c r="G837" s="29" t="s">
        <v>8090</v>
      </c>
      <c r="H837" s="35" t="s">
        <v>8091</v>
      </c>
      <c r="I837" s="29"/>
      <c r="J837" s="29"/>
      <c r="K837" s="37">
        <v>1</v>
      </c>
    </row>
    <row r="838" spans="1:11">
      <c r="A838" s="31">
        <v>838</v>
      </c>
      <c r="B838" s="29" t="s">
        <v>9132</v>
      </c>
      <c r="C838" s="29" t="s">
        <v>9133</v>
      </c>
      <c r="D838" s="33">
        <v>7.51532</v>
      </c>
      <c r="E838" s="33">
        <v>-72.476749999999996</v>
      </c>
      <c r="F838" s="29" t="s">
        <v>8090</v>
      </c>
      <c r="G838" s="29" t="s">
        <v>8090</v>
      </c>
      <c r="H838" s="35" t="s">
        <v>8091</v>
      </c>
      <c r="I838" s="29"/>
      <c r="J838" s="29" t="s">
        <v>9134</v>
      </c>
      <c r="K838" s="37">
        <v>0</v>
      </c>
    </row>
    <row r="839" spans="1:11">
      <c r="A839" s="31">
        <v>839</v>
      </c>
      <c r="B839" s="29" t="s">
        <v>8754</v>
      </c>
      <c r="C839" s="29" t="s">
        <v>8755</v>
      </c>
      <c r="D839" s="33">
        <v>7.4399300000000004</v>
      </c>
      <c r="E839" s="33">
        <v>-72.450950000000006</v>
      </c>
      <c r="F839" s="29" t="s">
        <v>8090</v>
      </c>
      <c r="G839" s="29" t="s">
        <v>8090</v>
      </c>
      <c r="H839" s="35" t="s">
        <v>8091</v>
      </c>
      <c r="I839" s="29"/>
      <c r="J839" s="29"/>
      <c r="K839" s="37">
        <v>1</v>
      </c>
    </row>
    <row r="840" spans="1:11">
      <c r="A840" s="31">
        <v>840</v>
      </c>
      <c r="B840" s="29" t="s">
        <v>8754</v>
      </c>
      <c r="C840" s="29" t="s">
        <v>8755</v>
      </c>
      <c r="D840" s="33">
        <v>7.4399300000000004</v>
      </c>
      <c r="E840" s="33">
        <v>-72.450950000000006</v>
      </c>
      <c r="F840" s="29" t="s">
        <v>8090</v>
      </c>
      <c r="G840" s="29" t="s">
        <v>8090</v>
      </c>
      <c r="H840" s="35" t="s">
        <v>8091</v>
      </c>
      <c r="I840" s="29"/>
      <c r="J840" s="29"/>
      <c r="K840" s="37">
        <v>1</v>
      </c>
    </row>
    <row r="841" spans="1:11">
      <c r="A841" s="31">
        <v>841</v>
      </c>
      <c r="B841" s="29" t="s">
        <v>9135</v>
      </c>
      <c r="C841" s="29" t="s">
        <v>9136</v>
      </c>
      <c r="D841" s="33">
        <v>1.23373</v>
      </c>
      <c r="E841" s="33">
        <v>-76.926270000000002</v>
      </c>
      <c r="F841" s="29" t="s">
        <v>8090</v>
      </c>
      <c r="G841" s="29" t="s">
        <v>8090</v>
      </c>
      <c r="H841" s="35" t="s">
        <v>8091</v>
      </c>
      <c r="I841" s="29"/>
      <c r="J841" s="29" t="s">
        <v>9137</v>
      </c>
      <c r="K841" s="37">
        <v>0</v>
      </c>
    </row>
    <row r="842" spans="1:11">
      <c r="A842" s="31">
        <v>842</v>
      </c>
      <c r="B842" s="29" t="s">
        <v>9135</v>
      </c>
      <c r="C842" s="29" t="s">
        <v>9136</v>
      </c>
      <c r="D842" s="33">
        <v>1.23373</v>
      </c>
      <c r="E842" s="33">
        <v>-76.926270000000002</v>
      </c>
      <c r="F842" s="29" t="s">
        <v>8090</v>
      </c>
      <c r="G842" s="29" t="s">
        <v>8090</v>
      </c>
      <c r="H842" s="35" t="s">
        <v>8091</v>
      </c>
      <c r="I842" s="29"/>
      <c r="J842" s="29"/>
      <c r="K842" s="37">
        <v>1</v>
      </c>
    </row>
    <row r="843" spans="1:11">
      <c r="A843" s="31">
        <v>843</v>
      </c>
      <c r="B843" s="29" t="s">
        <v>8686</v>
      </c>
      <c r="C843" s="29" t="s">
        <v>8687</v>
      </c>
      <c r="D843" s="33">
        <v>4.1099800000000002</v>
      </c>
      <c r="E843" s="33">
        <v>-75.808610000000002</v>
      </c>
      <c r="F843" s="29" t="s">
        <v>8090</v>
      </c>
      <c r="G843" s="29" t="s">
        <v>8090</v>
      </c>
      <c r="H843" s="35" t="s">
        <v>8091</v>
      </c>
      <c r="I843" s="29"/>
      <c r="J843" s="29"/>
      <c r="K843" s="37">
        <v>1</v>
      </c>
    </row>
    <row r="844" spans="1:11">
      <c r="A844" s="31">
        <v>844</v>
      </c>
      <c r="B844" s="29" t="s">
        <v>8701</v>
      </c>
      <c r="C844" s="29" t="s">
        <v>8702</v>
      </c>
      <c r="D844" s="33">
        <v>5.1244243999999997</v>
      </c>
      <c r="E844" s="33">
        <v>-76.041665399999999</v>
      </c>
      <c r="F844" s="29" t="s">
        <v>8090</v>
      </c>
      <c r="G844" s="29" t="s">
        <v>8090</v>
      </c>
      <c r="H844" s="35" t="s">
        <v>8091</v>
      </c>
      <c r="I844" s="29"/>
      <c r="J844" s="29"/>
      <c r="K844" s="37">
        <v>1</v>
      </c>
    </row>
    <row r="845" spans="1:11">
      <c r="A845" s="31">
        <v>845</v>
      </c>
      <c r="B845" s="29" t="s">
        <v>8482</v>
      </c>
      <c r="C845" s="29" t="s">
        <v>8483</v>
      </c>
      <c r="D845" s="33">
        <v>5.1208051000000001</v>
      </c>
      <c r="E845" s="33">
        <v>-76.059453199999993</v>
      </c>
      <c r="F845" s="29" t="s">
        <v>8090</v>
      </c>
      <c r="G845" s="29" t="s">
        <v>8090</v>
      </c>
      <c r="H845" s="35" t="s">
        <v>8091</v>
      </c>
      <c r="I845" s="29"/>
      <c r="J845" s="29"/>
      <c r="K845" s="37">
        <v>1</v>
      </c>
    </row>
    <row r="846" spans="1:11">
      <c r="A846" s="31">
        <v>846</v>
      </c>
      <c r="B846" s="29" t="s">
        <v>2309</v>
      </c>
      <c r="C846" s="29" t="s">
        <v>2310</v>
      </c>
      <c r="D846" s="33">
        <v>5.6833333000000001</v>
      </c>
      <c r="E846" s="33">
        <v>-75.233333299999998</v>
      </c>
      <c r="F846" s="29" t="s">
        <v>8090</v>
      </c>
      <c r="G846" s="29" t="s">
        <v>8090</v>
      </c>
      <c r="H846" s="35" t="s">
        <v>8091</v>
      </c>
      <c r="I846" s="29"/>
      <c r="J846" s="29"/>
      <c r="K846" s="37">
        <v>1</v>
      </c>
    </row>
    <row r="847" spans="1:11">
      <c r="A847" s="31">
        <v>847</v>
      </c>
      <c r="B847" s="29" t="s">
        <v>8742</v>
      </c>
      <c r="C847" s="29" t="s">
        <v>8743</v>
      </c>
      <c r="D847" s="33">
        <v>3.34415</v>
      </c>
      <c r="E847" s="33">
        <v>-76.695809999999994</v>
      </c>
      <c r="F847" s="29" t="s">
        <v>8090</v>
      </c>
      <c r="G847" s="29" t="s">
        <v>8090</v>
      </c>
      <c r="H847" s="35" t="s">
        <v>8091</v>
      </c>
      <c r="I847" s="29"/>
      <c r="J847" s="29"/>
      <c r="K847" s="37">
        <v>1</v>
      </c>
    </row>
    <row r="848" spans="1:11">
      <c r="A848" s="31">
        <v>848</v>
      </c>
      <c r="B848" s="29" t="s">
        <v>9138</v>
      </c>
      <c r="C848" s="29" t="s">
        <v>9139</v>
      </c>
      <c r="D848" s="33">
        <v>6.7691999999999997</v>
      </c>
      <c r="E848" s="33">
        <v>-76.249740000000003</v>
      </c>
      <c r="F848" s="29" t="s">
        <v>8090</v>
      </c>
      <c r="G848" s="29" t="s">
        <v>8090</v>
      </c>
      <c r="H848" s="35" t="s">
        <v>8091</v>
      </c>
      <c r="I848" s="29"/>
      <c r="J848" s="29" t="s">
        <v>9140</v>
      </c>
      <c r="K848" s="37">
        <v>0</v>
      </c>
    </row>
    <row r="849" spans="1:11">
      <c r="A849" s="31">
        <v>849</v>
      </c>
      <c r="B849" s="29" t="s">
        <v>9141</v>
      </c>
      <c r="C849" s="29" t="s">
        <v>9142</v>
      </c>
      <c r="D849" s="33">
        <v>6.7523</v>
      </c>
      <c r="E849" s="33">
        <v>-76.289580000000001</v>
      </c>
      <c r="F849" s="29" t="s">
        <v>8090</v>
      </c>
      <c r="G849" s="29" t="s">
        <v>8090</v>
      </c>
      <c r="H849" s="35" t="s">
        <v>8091</v>
      </c>
      <c r="I849" s="29"/>
      <c r="J849" s="29" t="s">
        <v>9143</v>
      </c>
      <c r="K849" s="37">
        <v>0</v>
      </c>
    </row>
    <row r="850" spans="1:11">
      <c r="A850" s="31">
        <v>850</v>
      </c>
      <c r="B850" s="29" t="s">
        <v>9086</v>
      </c>
      <c r="C850" s="29" t="s">
        <v>9087</v>
      </c>
      <c r="D850" s="33">
        <v>1.36416</v>
      </c>
      <c r="E850" s="33">
        <v>-78.100560000000002</v>
      </c>
      <c r="F850" s="29" t="s">
        <v>8090</v>
      </c>
      <c r="G850" s="29" t="s">
        <v>8090</v>
      </c>
      <c r="H850" s="35" t="s">
        <v>8091</v>
      </c>
      <c r="I850" s="29"/>
      <c r="J850" s="29"/>
      <c r="K850" s="37">
        <v>1</v>
      </c>
    </row>
    <row r="851" spans="1:11">
      <c r="A851" s="31">
        <v>851</v>
      </c>
      <c r="B851" s="29" t="s">
        <v>5950</v>
      </c>
      <c r="C851" s="29" t="s">
        <v>5951</v>
      </c>
      <c r="D851" s="33">
        <v>1.1602778</v>
      </c>
      <c r="E851" s="33">
        <v>-77.986944399999999</v>
      </c>
      <c r="F851" s="29" t="s">
        <v>8090</v>
      </c>
      <c r="G851" s="29" t="s">
        <v>8090</v>
      </c>
      <c r="H851" s="35" t="s">
        <v>8091</v>
      </c>
      <c r="I851" s="29"/>
      <c r="J851" s="29" t="s">
        <v>9144</v>
      </c>
      <c r="K851" s="37">
        <v>0</v>
      </c>
    </row>
    <row r="852" spans="1:11">
      <c r="A852" s="31">
        <v>852</v>
      </c>
      <c r="B852" s="29" t="s">
        <v>5960</v>
      </c>
      <c r="C852" s="29" t="s">
        <v>5961</v>
      </c>
      <c r="D852" s="33">
        <v>1.1652777999999999</v>
      </c>
      <c r="E852" s="33">
        <v>-77.978888900000001</v>
      </c>
      <c r="F852" s="29" t="s">
        <v>8090</v>
      </c>
      <c r="G852" s="29" t="s">
        <v>8090</v>
      </c>
      <c r="H852" s="35" t="s">
        <v>8091</v>
      </c>
      <c r="I852" s="29"/>
      <c r="J852" s="29" t="s">
        <v>9145</v>
      </c>
      <c r="K852" s="37">
        <v>0</v>
      </c>
    </row>
    <row r="853" spans="1:11">
      <c r="A853" s="31">
        <v>853</v>
      </c>
      <c r="B853" s="29" t="s">
        <v>1458</v>
      </c>
      <c r="C853" s="29" t="s">
        <v>1459</v>
      </c>
      <c r="D853" s="33">
        <v>1.1716667000000001</v>
      </c>
      <c r="E853" s="33">
        <v>-78.002499999999998</v>
      </c>
      <c r="F853" s="29" t="s">
        <v>8090</v>
      </c>
      <c r="G853" s="29" t="s">
        <v>8090</v>
      </c>
      <c r="H853" s="35" t="s">
        <v>8091</v>
      </c>
      <c r="I853" s="29"/>
      <c r="J853" s="29"/>
      <c r="K853" s="37">
        <v>1</v>
      </c>
    </row>
    <row r="854" spans="1:11">
      <c r="A854" s="31">
        <v>854</v>
      </c>
      <c r="B854" s="29" t="s">
        <v>649</v>
      </c>
      <c r="C854" s="29" t="s">
        <v>650</v>
      </c>
      <c r="D854" s="33">
        <v>1.1666666999999999</v>
      </c>
      <c r="E854" s="33">
        <v>-77.966666700000005</v>
      </c>
      <c r="F854" s="29" t="s">
        <v>8090</v>
      </c>
      <c r="G854" s="29" t="s">
        <v>8090</v>
      </c>
      <c r="H854" s="35" t="s">
        <v>8091</v>
      </c>
      <c r="I854" s="29"/>
      <c r="J854" s="29"/>
      <c r="K854" s="37">
        <v>1</v>
      </c>
    </row>
    <row r="855" spans="1:11">
      <c r="A855" s="31">
        <v>855</v>
      </c>
      <c r="B855" s="29" t="s">
        <v>649</v>
      </c>
      <c r="C855" s="29" t="s">
        <v>650</v>
      </c>
      <c r="D855" s="33">
        <v>1.1666666999999999</v>
      </c>
      <c r="E855" s="33">
        <v>-77.966666700000005</v>
      </c>
      <c r="F855" s="29" t="s">
        <v>8090</v>
      </c>
      <c r="G855" s="29" t="s">
        <v>8090</v>
      </c>
      <c r="H855" s="35" t="s">
        <v>8091</v>
      </c>
      <c r="I855" s="29"/>
      <c r="J855" s="29"/>
      <c r="K855" s="37">
        <v>1</v>
      </c>
    </row>
    <row r="856" spans="1:11">
      <c r="A856" s="31">
        <v>856</v>
      </c>
      <c r="B856" s="29" t="s">
        <v>8392</v>
      </c>
      <c r="C856" s="29" t="s">
        <v>8393</v>
      </c>
      <c r="D856" s="33">
        <v>1.2519499999999999</v>
      </c>
      <c r="E856" s="33">
        <v>-77.996679999999998</v>
      </c>
      <c r="F856" s="29" t="s">
        <v>8090</v>
      </c>
      <c r="G856" s="29" t="s">
        <v>8090</v>
      </c>
      <c r="H856" s="35" t="s">
        <v>8091</v>
      </c>
      <c r="I856" s="29"/>
      <c r="J856" s="29"/>
      <c r="K856" s="37">
        <v>1</v>
      </c>
    </row>
    <row r="857" spans="1:11">
      <c r="A857" s="31">
        <v>857</v>
      </c>
      <c r="B857" s="29" t="s">
        <v>8392</v>
      </c>
      <c r="C857" s="29" t="s">
        <v>8393</v>
      </c>
      <c r="D857" s="33">
        <v>1.2519499999999999</v>
      </c>
      <c r="E857" s="33">
        <v>-77.996679999999998</v>
      </c>
      <c r="F857" s="29" t="s">
        <v>8090</v>
      </c>
      <c r="G857" s="29" t="s">
        <v>8090</v>
      </c>
      <c r="H857" s="35" t="s">
        <v>8091</v>
      </c>
      <c r="I857" s="29"/>
      <c r="J857" s="29"/>
      <c r="K857" s="37">
        <v>1</v>
      </c>
    </row>
    <row r="858" spans="1:11">
      <c r="A858" s="31">
        <v>858</v>
      </c>
      <c r="B858" s="29" t="s">
        <v>5991</v>
      </c>
      <c r="C858" s="29" t="s">
        <v>5992</v>
      </c>
      <c r="D858" s="33">
        <v>3.5361110999999998</v>
      </c>
      <c r="E858" s="33">
        <v>-76.610277800000006</v>
      </c>
      <c r="F858" s="29" t="s">
        <v>8090</v>
      </c>
      <c r="G858" s="29" t="s">
        <v>8090</v>
      </c>
      <c r="H858" s="35" t="s">
        <v>8091</v>
      </c>
      <c r="I858" s="29"/>
      <c r="J858" s="29" t="s">
        <v>9146</v>
      </c>
      <c r="K858" s="37">
        <v>0</v>
      </c>
    </row>
    <row r="859" spans="1:11">
      <c r="A859" s="31">
        <v>859</v>
      </c>
      <c r="B859" s="29" t="s">
        <v>9147</v>
      </c>
      <c r="C859" s="29" t="s">
        <v>9148</v>
      </c>
      <c r="D859" s="33">
        <v>6.1333099999999998</v>
      </c>
      <c r="E859" s="33">
        <v>-75.699010000000001</v>
      </c>
      <c r="F859" s="29" t="s">
        <v>8090</v>
      </c>
      <c r="G859" s="29" t="s">
        <v>8090</v>
      </c>
      <c r="H859" s="35" t="s">
        <v>8091</v>
      </c>
      <c r="I859" s="29"/>
      <c r="J859" s="29" t="s">
        <v>9149</v>
      </c>
      <c r="K859" s="37">
        <v>0</v>
      </c>
    </row>
    <row r="860" spans="1:11">
      <c r="A860" s="31">
        <v>860</v>
      </c>
      <c r="B860" s="29" t="s">
        <v>9150</v>
      </c>
      <c r="C860" s="29" t="s">
        <v>9151</v>
      </c>
      <c r="D860" s="33">
        <v>5.5181100000000001</v>
      </c>
      <c r="E860" s="33">
        <v>-75.043909999999997</v>
      </c>
      <c r="F860" s="29" t="s">
        <v>8090</v>
      </c>
      <c r="G860" s="29" t="s">
        <v>8090</v>
      </c>
      <c r="H860" s="35" t="s">
        <v>8091</v>
      </c>
      <c r="I860" s="29"/>
      <c r="J860" s="29" t="s">
        <v>9152</v>
      </c>
      <c r="K860" s="37">
        <v>0</v>
      </c>
    </row>
    <row r="861" spans="1:11">
      <c r="A861" s="31">
        <v>861</v>
      </c>
      <c r="B861" s="29"/>
      <c r="C861" s="29"/>
      <c r="D861" s="33"/>
      <c r="E861" s="33"/>
      <c r="F861" s="29" t="s">
        <v>9153</v>
      </c>
      <c r="G861" s="29" t="s">
        <v>9153</v>
      </c>
      <c r="H861" s="35" t="s">
        <v>9154</v>
      </c>
      <c r="I861" s="29" t="s">
        <v>9155</v>
      </c>
      <c r="J861" s="29"/>
      <c r="K861" s="37">
        <v>0</v>
      </c>
    </row>
    <row r="862" spans="1:11">
      <c r="A862" s="31">
        <v>862</v>
      </c>
      <c r="B862" s="29"/>
      <c r="C862" s="29"/>
      <c r="D862" s="33"/>
      <c r="E862" s="33"/>
      <c r="F862" s="29" t="s">
        <v>9153</v>
      </c>
      <c r="G862" s="29" t="s">
        <v>9153</v>
      </c>
      <c r="H862" s="35" t="s">
        <v>9154</v>
      </c>
      <c r="I862" s="29" t="s">
        <v>9155</v>
      </c>
      <c r="J862" s="29"/>
      <c r="K862" s="37">
        <v>0</v>
      </c>
    </row>
    <row r="863" spans="1:11">
      <c r="A863" s="31">
        <v>863</v>
      </c>
      <c r="B863" s="29"/>
      <c r="C863" s="29"/>
      <c r="D863" s="33"/>
      <c r="E863" s="33"/>
      <c r="F863" s="29" t="s">
        <v>9153</v>
      </c>
      <c r="G863" s="29" t="s">
        <v>9153</v>
      </c>
      <c r="H863" s="35" t="s">
        <v>9154</v>
      </c>
      <c r="I863" s="29" t="s">
        <v>9155</v>
      </c>
      <c r="J863" s="29"/>
      <c r="K863" s="37">
        <v>0</v>
      </c>
    </row>
    <row r="864" spans="1:11">
      <c r="A864" s="31">
        <v>864</v>
      </c>
      <c r="B864" s="29" t="s">
        <v>9156</v>
      </c>
      <c r="C864" s="29" t="s">
        <v>9157</v>
      </c>
      <c r="D864" s="33">
        <v>7.1736199999999997</v>
      </c>
      <c r="E864" s="33">
        <v>-72.394300000000001</v>
      </c>
      <c r="F864" s="29" t="s">
        <v>8090</v>
      </c>
      <c r="G864" s="29" t="s">
        <v>8090</v>
      </c>
      <c r="H864" s="35" t="s">
        <v>8091</v>
      </c>
      <c r="I864" s="29"/>
      <c r="J864" s="29" t="s">
        <v>9158</v>
      </c>
      <c r="K864" s="37">
        <v>0</v>
      </c>
    </row>
    <row r="865" spans="1:11">
      <c r="A865" s="31">
        <v>865</v>
      </c>
      <c r="B865" s="29"/>
      <c r="C865" s="29"/>
      <c r="D865" s="33"/>
      <c r="E865" s="33"/>
      <c r="F865" s="29" t="s">
        <v>9153</v>
      </c>
      <c r="G865" s="29" t="s">
        <v>9153</v>
      </c>
      <c r="H865" s="35" t="s">
        <v>9154</v>
      </c>
      <c r="I865" s="29" t="s">
        <v>9155</v>
      </c>
      <c r="J865" s="29"/>
      <c r="K865" s="37">
        <v>0</v>
      </c>
    </row>
    <row r="866" spans="1:11">
      <c r="A866" s="31">
        <v>866</v>
      </c>
      <c r="B866" s="29" t="s">
        <v>9159</v>
      </c>
      <c r="C866" s="29" t="s">
        <v>9160</v>
      </c>
      <c r="D866" s="33">
        <v>-1.50668</v>
      </c>
      <c r="E866" s="33">
        <v>-70.016980000000004</v>
      </c>
      <c r="F866" s="29" t="s">
        <v>8090</v>
      </c>
      <c r="G866" s="29" t="s">
        <v>8090</v>
      </c>
      <c r="H866" s="35" t="s">
        <v>8091</v>
      </c>
      <c r="I866" s="29"/>
      <c r="J866" s="29" t="s">
        <v>9161</v>
      </c>
      <c r="K866" s="37">
        <v>0</v>
      </c>
    </row>
    <row r="867" spans="1:11">
      <c r="A867" s="31">
        <v>867</v>
      </c>
      <c r="B867" s="29" t="s">
        <v>9159</v>
      </c>
      <c r="C867" s="29" t="s">
        <v>9160</v>
      </c>
      <c r="D867" s="33">
        <v>-1.50668</v>
      </c>
      <c r="E867" s="33">
        <v>-70.016980000000004</v>
      </c>
      <c r="F867" s="29" t="s">
        <v>8090</v>
      </c>
      <c r="G867" s="29" t="s">
        <v>8090</v>
      </c>
      <c r="H867" s="35" t="s">
        <v>8091</v>
      </c>
      <c r="I867" s="29"/>
      <c r="J867" s="29"/>
      <c r="K867" s="37">
        <v>1</v>
      </c>
    </row>
    <row r="868" spans="1:11">
      <c r="A868" s="31">
        <v>868</v>
      </c>
      <c r="B868" s="29" t="s">
        <v>9159</v>
      </c>
      <c r="C868" s="29" t="s">
        <v>9160</v>
      </c>
      <c r="D868" s="33">
        <v>-1.50668</v>
      </c>
      <c r="E868" s="33">
        <v>-70.016980000000004</v>
      </c>
      <c r="F868" s="29" t="s">
        <v>8090</v>
      </c>
      <c r="G868" s="29" t="s">
        <v>8090</v>
      </c>
      <c r="H868" s="35" t="s">
        <v>8091</v>
      </c>
      <c r="I868" s="29"/>
      <c r="J868" s="29"/>
      <c r="K868" s="37">
        <v>1</v>
      </c>
    </row>
    <row r="869" spans="1:11">
      <c r="A869" s="31">
        <v>869</v>
      </c>
      <c r="B869" s="29" t="s">
        <v>9162</v>
      </c>
      <c r="C869" s="29" t="s">
        <v>9163</v>
      </c>
      <c r="D869" s="33">
        <v>6.3017200000000004</v>
      </c>
      <c r="E869" s="33">
        <v>-75.075729999999993</v>
      </c>
      <c r="F869" s="29" t="s">
        <v>8090</v>
      </c>
      <c r="G869" s="29" t="s">
        <v>8090</v>
      </c>
      <c r="H869" s="35" t="s">
        <v>8091</v>
      </c>
      <c r="I869" s="29"/>
      <c r="J869" s="29" t="s">
        <v>9164</v>
      </c>
      <c r="K869" s="37">
        <v>0</v>
      </c>
    </row>
    <row r="870" spans="1:11">
      <c r="A870" s="31">
        <v>870</v>
      </c>
      <c r="B870" s="29" t="s">
        <v>9162</v>
      </c>
      <c r="C870" s="29" t="s">
        <v>9163</v>
      </c>
      <c r="D870" s="33">
        <v>6.3017200000000004</v>
      </c>
      <c r="E870" s="33">
        <v>-75.075729999999993</v>
      </c>
      <c r="F870" s="29" t="s">
        <v>8090</v>
      </c>
      <c r="G870" s="29" t="s">
        <v>8090</v>
      </c>
      <c r="H870" s="35" t="s">
        <v>8091</v>
      </c>
      <c r="I870" s="29"/>
      <c r="J870" s="29"/>
      <c r="K870" s="37">
        <v>1</v>
      </c>
    </row>
    <row r="871" spans="1:11">
      <c r="A871" s="31">
        <v>871</v>
      </c>
      <c r="B871" s="29" t="s">
        <v>9162</v>
      </c>
      <c r="C871" s="29" t="s">
        <v>9163</v>
      </c>
      <c r="D871" s="33">
        <v>6.3017200000000004</v>
      </c>
      <c r="E871" s="33">
        <v>-75.075729999999993</v>
      </c>
      <c r="F871" s="29" t="s">
        <v>8090</v>
      </c>
      <c r="G871" s="29" t="s">
        <v>8090</v>
      </c>
      <c r="H871" s="35" t="s">
        <v>8091</v>
      </c>
      <c r="I871" s="29"/>
      <c r="J871" s="29"/>
      <c r="K871" s="37">
        <v>1</v>
      </c>
    </row>
    <row r="872" spans="1:11">
      <c r="A872" s="31">
        <v>872</v>
      </c>
      <c r="B872" s="29" t="s">
        <v>6062</v>
      </c>
      <c r="C872" s="29" t="s">
        <v>6063</v>
      </c>
      <c r="D872" s="33">
        <v>6.9</v>
      </c>
      <c r="E872" s="33">
        <v>-75.099999999999994</v>
      </c>
      <c r="F872" s="29" t="s">
        <v>8090</v>
      </c>
      <c r="G872" s="29" t="s">
        <v>8090</v>
      </c>
      <c r="H872" s="35" t="s">
        <v>8091</v>
      </c>
      <c r="I872" s="29"/>
      <c r="J872" s="29" t="s">
        <v>9165</v>
      </c>
      <c r="K872" s="37">
        <v>0</v>
      </c>
    </row>
    <row r="873" spans="1:11">
      <c r="A873" s="31">
        <v>873</v>
      </c>
      <c r="B873" s="29" t="s">
        <v>6062</v>
      </c>
      <c r="C873" s="29" t="s">
        <v>6063</v>
      </c>
      <c r="D873" s="33">
        <v>6.9</v>
      </c>
      <c r="E873" s="33">
        <v>-75.099999999999994</v>
      </c>
      <c r="F873" s="29" t="s">
        <v>8090</v>
      </c>
      <c r="G873" s="29" t="s">
        <v>8090</v>
      </c>
      <c r="H873" s="35" t="s">
        <v>8091</v>
      </c>
      <c r="I873" s="29"/>
      <c r="J873" s="29"/>
      <c r="K873" s="37">
        <v>1</v>
      </c>
    </row>
    <row r="874" spans="1:11">
      <c r="A874" s="31">
        <v>874</v>
      </c>
      <c r="B874" s="29" t="s">
        <v>6062</v>
      </c>
      <c r="C874" s="29" t="s">
        <v>6063</v>
      </c>
      <c r="D874" s="33">
        <v>6.9</v>
      </c>
      <c r="E874" s="33">
        <v>-75.099999999999994</v>
      </c>
      <c r="F874" s="29" t="s">
        <v>8090</v>
      </c>
      <c r="G874" s="29" t="s">
        <v>8090</v>
      </c>
      <c r="H874" s="35" t="s">
        <v>8091</v>
      </c>
      <c r="I874" s="29"/>
      <c r="J874" s="29"/>
      <c r="K874" s="37">
        <v>1</v>
      </c>
    </row>
    <row r="875" spans="1:11">
      <c r="A875" s="31">
        <v>875</v>
      </c>
      <c r="B875" s="29" t="s">
        <v>8506</v>
      </c>
      <c r="C875" s="29" t="s">
        <v>8507</v>
      </c>
      <c r="D875" s="33">
        <v>6.3112199999999996</v>
      </c>
      <c r="E875" s="33">
        <v>-75.146090000000001</v>
      </c>
      <c r="F875" s="29" t="s">
        <v>8090</v>
      </c>
      <c r="G875" s="29" t="s">
        <v>8090</v>
      </c>
      <c r="H875" s="35" t="s">
        <v>8091</v>
      </c>
      <c r="I875" s="29"/>
      <c r="J875" s="29"/>
      <c r="K875" s="37">
        <v>1</v>
      </c>
    </row>
    <row r="876" spans="1:11">
      <c r="A876" s="31">
        <v>876</v>
      </c>
      <c r="B876" s="29" t="s">
        <v>1484</v>
      </c>
      <c r="C876" s="29" t="s">
        <v>1485</v>
      </c>
      <c r="D876" s="33">
        <v>6.0333332999999998</v>
      </c>
      <c r="E876" s="33">
        <v>-75.133333300000004</v>
      </c>
      <c r="F876" s="29" t="s">
        <v>8090</v>
      </c>
      <c r="G876" s="29" t="s">
        <v>8090</v>
      </c>
      <c r="H876" s="35" t="s">
        <v>8091</v>
      </c>
      <c r="I876" s="29"/>
      <c r="J876" s="29"/>
      <c r="K876" s="37">
        <v>1</v>
      </c>
    </row>
    <row r="877" spans="1:11">
      <c r="A877" s="31">
        <v>877</v>
      </c>
      <c r="B877" s="29" t="s">
        <v>1484</v>
      </c>
      <c r="C877" s="29" t="s">
        <v>1485</v>
      </c>
      <c r="D877" s="33">
        <v>6.0333332999999998</v>
      </c>
      <c r="E877" s="33">
        <v>-75.133333300000004</v>
      </c>
      <c r="F877" s="29" t="s">
        <v>8090</v>
      </c>
      <c r="G877" s="29" t="s">
        <v>8090</v>
      </c>
      <c r="H877" s="35" t="s">
        <v>8091</v>
      </c>
      <c r="I877" s="29"/>
      <c r="J877" s="29"/>
      <c r="K877" s="37">
        <v>1</v>
      </c>
    </row>
    <row r="878" spans="1:11">
      <c r="A878" s="31">
        <v>878</v>
      </c>
      <c r="B878" s="29" t="s">
        <v>1695</v>
      </c>
      <c r="C878" s="29" t="s">
        <v>4467</v>
      </c>
      <c r="D878" s="33">
        <v>6.5</v>
      </c>
      <c r="E878" s="33">
        <v>-75.3</v>
      </c>
      <c r="F878" s="29" t="s">
        <v>8090</v>
      </c>
      <c r="G878" s="29" t="s">
        <v>8090</v>
      </c>
      <c r="H878" s="35" t="s">
        <v>8091</v>
      </c>
      <c r="I878" s="29"/>
      <c r="J878" s="29" t="s">
        <v>9166</v>
      </c>
      <c r="K878" s="37">
        <v>0</v>
      </c>
    </row>
    <row r="879" spans="1:11">
      <c r="A879" s="31">
        <v>879</v>
      </c>
      <c r="B879" s="29" t="s">
        <v>1695</v>
      </c>
      <c r="C879" s="29" t="s">
        <v>4467</v>
      </c>
      <c r="D879" s="33">
        <v>6.5</v>
      </c>
      <c r="E879" s="33">
        <v>-75.3</v>
      </c>
      <c r="F879" s="29" t="s">
        <v>8090</v>
      </c>
      <c r="G879" s="29" t="s">
        <v>8090</v>
      </c>
      <c r="H879" s="35" t="s">
        <v>8091</v>
      </c>
      <c r="I879" s="29"/>
      <c r="J879" s="29"/>
      <c r="K879" s="37">
        <v>1</v>
      </c>
    </row>
    <row r="880" spans="1:11">
      <c r="A880" s="31">
        <v>880</v>
      </c>
      <c r="B880" s="29" t="s">
        <v>1695</v>
      </c>
      <c r="C880" s="29" t="s">
        <v>4467</v>
      </c>
      <c r="D880" s="33">
        <v>6.5</v>
      </c>
      <c r="E880" s="33">
        <v>-75.3</v>
      </c>
      <c r="F880" s="29" t="s">
        <v>8090</v>
      </c>
      <c r="G880" s="29" t="s">
        <v>8090</v>
      </c>
      <c r="H880" s="35" t="s">
        <v>8091</v>
      </c>
      <c r="I880" s="29"/>
      <c r="J880" s="29"/>
      <c r="K880" s="37">
        <v>1</v>
      </c>
    </row>
    <row r="881" spans="1:11">
      <c r="A881" s="31">
        <v>881</v>
      </c>
      <c r="B881" s="29" t="s">
        <v>9167</v>
      </c>
      <c r="C881" s="29" t="s">
        <v>9168</v>
      </c>
      <c r="D881" s="33">
        <v>6.7925700000000004</v>
      </c>
      <c r="E881" s="33">
        <v>-75.122519999999994</v>
      </c>
      <c r="F881" s="29" t="s">
        <v>8090</v>
      </c>
      <c r="G881" s="29" t="s">
        <v>8090</v>
      </c>
      <c r="H881" s="35" t="s">
        <v>8091</v>
      </c>
      <c r="I881" s="29"/>
      <c r="J881" s="29" t="s">
        <v>9169</v>
      </c>
      <c r="K881" s="37">
        <v>0</v>
      </c>
    </row>
    <row r="882" spans="1:11">
      <c r="A882" s="31">
        <v>882</v>
      </c>
      <c r="B882" s="29" t="s">
        <v>9170</v>
      </c>
      <c r="C882" s="29" t="s">
        <v>9171</v>
      </c>
      <c r="D882" s="33">
        <v>6.4411199999999997</v>
      </c>
      <c r="E882" s="33">
        <v>-75.314790000000002</v>
      </c>
      <c r="F882" s="29" t="s">
        <v>8090</v>
      </c>
      <c r="G882" s="29" t="s">
        <v>8090</v>
      </c>
      <c r="H882" s="35" t="s">
        <v>8091</v>
      </c>
      <c r="I882" s="29"/>
      <c r="J882" s="29" t="s">
        <v>9172</v>
      </c>
      <c r="K882" s="37">
        <v>0</v>
      </c>
    </row>
    <row r="883" spans="1:11">
      <c r="A883" s="31">
        <v>883</v>
      </c>
      <c r="B883" s="29" t="s">
        <v>9170</v>
      </c>
      <c r="C883" s="29" t="s">
        <v>9171</v>
      </c>
      <c r="D883" s="33">
        <v>6.4411199999999997</v>
      </c>
      <c r="E883" s="33">
        <v>-75.314790000000002</v>
      </c>
      <c r="F883" s="29" t="s">
        <v>8090</v>
      </c>
      <c r="G883" s="29" t="s">
        <v>8090</v>
      </c>
      <c r="H883" s="35" t="s">
        <v>8091</v>
      </c>
      <c r="I883" s="29"/>
      <c r="J883" s="29"/>
      <c r="K883" s="37">
        <v>1</v>
      </c>
    </row>
    <row r="884" spans="1:11">
      <c r="A884" s="31">
        <v>884</v>
      </c>
      <c r="B884" s="29" t="s">
        <v>9170</v>
      </c>
      <c r="C884" s="29" t="s">
        <v>9171</v>
      </c>
      <c r="D884" s="33">
        <v>6.4411199999999997</v>
      </c>
      <c r="E884" s="33">
        <v>-75.314790000000002</v>
      </c>
      <c r="F884" s="29" t="s">
        <v>8090</v>
      </c>
      <c r="G884" s="29" t="s">
        <v>8090</v>
      </c>
      <c r="H884" s="35" t="s">
        <v>8091</v>
      </c>
      <c r="I884" s="29"/>
      <c r="J884" s="29"/>
      <c r="K884" s="37">
        <v>1</v>
      </c>
    </row>
    <row r="885" spans="1:11">
      <c r="A885" s="31">
        <v>885</v>
      </c>
      <c r="B885" s="29" t="s">
        <v>9167</v>
      </c>
      <c r="C885" s="29" t="s">
        <v>9168</v>
      </c>
      <c r="D885" s="33">
        <v>6.7925700000000004</v>
      </c>
      <c r="E885" s="33">
        <v>-75.122519999999994</v>
      </c>
      <c r="F885" s="29" t="s">
        <v>8090</v>
      </c>
      <c r="G885" s="29" t="s">
        <v>8090</v>
      </c>
      <c r="H885" s="35" t="s">
        <v>8091</v>
      </c>
      <c r="I885" s="29"/>
      <c r="J885" s="29"/>
      <c r="K885" s="37">
        <v>1</v>
      </c>
    </row>
    <row r="886" spans="1:11">
      <c r="A886" s="31">
        <v>886</v>
      </c>
      <c r="B886" s="29" t="s">
        <v>9167</v>
      </c>
      <c r="C886" s="29" t="s">
        <v>9168</v>
      </c>
      <c r="D886" s="33">
        <v>6.7925700000000004</v>
      </c>
      <c r="E886" s="33">
        <v>-75.122519999999994</v>
      </c>
      <c r="F886" s="29" t="s">
        <v>8090</v>
      </c>
      <c r="G886" s="29" t="s">
        <v>8090</v>
      </c>
      <c r="H886" s="35" t="s">
        <v>8091</v>
      </c>
      <c r="I886" s="29"/>
      <c r="J886" s="29"/>
      <c r="K886" s="37">
        <v>1</v>
      </c>
    </row>
    <row r="887" spans="1:11">
      <c r="A887" s="31">
        <v>887</v>
      </c>
      <c r="B887" s="29" t="s">
        <v>3583</v>
      </c>
      <c r="C887" s="29" t="s">
        <v>3584</v>
      </c>
      <c r="D887" s="33">
        <v>7.133</v>
      </c>
      <c r="E887" s="33">
        <v>-75.159694400000006</v>
      </c>
      <c r="F887" s="29" t="s">
        <v>8090</v>
      </c>
      <c r="G887" s="29" t="s">
        <v>8090</v>
      </c>
      <c r="H887" s="35" t="s">
        <v>8091</v>
      </c>
      <c r="I887" s="29"/>
      <c r="J887" s="29"/>
      <c r="K887" s="37">
        <v>1</v>
      </c>
    </row>
    <row r="888" spans="1:11">
      <c r="A888" s="31">
        <v>888</v>
      </c>
      <c r="B888" s="29" t="s">
        <v>3583</v>
      </c>
      <c r="C888" s="29" t="s">
        <v>3584</v>
      </c>
      <c r="D888" s="33">
        <v>7.133</v>
      </c>
      <c r="E888" s="33">
        <v>-75.159694400000006</v>
      </c>
      <c r="F888" s="29" t="s">
        <v>8090</v>
      </c>
      <c r="G888" s="29" t="s">
        <v>8090</v>
      </c>
      <c r="H888" s="35" t="s">
        <v>8091</v>
      </c>
      <c r="I888" s="29"/>
      <c r="J888" s="29"/>
      <c r="K888" s="37">
        <v>1</v>
      </c>
    </row>
    <row r="889" spans="1:11">
      <c r="A889" s="31">
        <v>889</v>
      </c>
      <c r="B889" s="29" t="s">
        <v>3583</v>
      </c>
      <c r="C889" s="29" t="s">
        <v>3584</v>
      </c>
      <c r="D889" s="33">
        <v>7.133</v>
      </c>
      <c r="E889" s="33">
        <v>-75.159694400000006</v>
      </c>
      <c r="F889" s="29" t="s">
        <v>8090</v>
      </c>
      <c r="G889" s="29" t="s">
        <v>8090</v>
      </c>
      <c r="H889" s="35" t="s">
        <v>8091</v>
      </c>
      <c r="I889" s="29"/>
      <c r="J889" s="29"/>
      <c r="K889" s="37">
        <v>1</v>
      </c>
    </row>
    <row r="890" spans="1:11">
      <c r="A890" s="31">
        <v>890</v>
      </c>
      <c r="B890" s="29" t="s">
        <v>3583</v>
      </c>
      <c r="C890" s="29" t="s">
        <v>3584</v>
      </c>
      <c r="D890" s="33">
        <v>7.133</v>
      </c>
      <c r="E890" s="33">
        <v>-75.159694400000006</v>
      </c>
      <c r="F890" s="29" t="s">
        <v>8090</v>
      </c>
      <c r="G890" s="29" t="s">
        <v>8090</v>
      </c>
      <c r="H890" s="35" t="s">
        <v>8091</v>
      </c>
      <c r="I890" s="29"/>
      <c r="J890" s="29"/>
      <c r="K890" s="37">
        <v>1</v>
      </c>
    </row>
    <row r="891" spans="1:11">
      <c r="A891" s="31">
        <v>891</v>
      </c>
      <c r="B891" s="29" t="s">
        <v>9173</v>
      </c>
      <c r="C891" s="29" t="s">
        <v>9174</v>
      </c>
      <c r="D891" s="33">
        <v>5.6524000000000001</v>
      </c>
      <c r="E891" s="33">
        <v>-74.035340000000005</v>
      </c>
      <c r="F891" s="29" t="s">
        <v>8090</v>
      </c>
      <c r="G891" s="29" t="s">
        <v>8090</v>
      </c>
      <c r="H891" s="35" t="s">
        <v>8091</v>
      </c>
      <c r="I891" s="29"/>
      <c r="J891" s="29" t="s">
        <v>9175</v>
      </c>
      <c r="K891" s="37">
        <v>0</v>
      </c>
    </row>
    <row r="892" spans="1:11">
      <c r="A892" s="31">
        <v>892</v>
      </c>
      <c r="B892" s="29" t="s">
        <v>6141</v>
      </c>
      <c r="C892" s="29" t="s">
        <v>6142</v>
      </c>
      <c r="D892" s="33">
        <v>0.9375</v>
      </c>
      <c r="E892" s="33">
        <v>-72.701666700000004</v>
      </c>
      <c r="F892" s="29" t="s">
        <v>8090</v>
      </c>
      <c r="G892" s="29" t="s">
        <v>8090</v>
      </c>
      <c r="H892" s="35" t="s">
        <v>8091</v>
      </c>
      <c r="I892" s="29"/>
      <c r="J892" s="29" t="s">
        <v>9176</v>
      </c>
      <c r="K892" s="37">
        <v>0</v>
      </c>
    </row>
    <row r="893" spans="1:11">
      <c r="A893" s="31">
        <v>893</v>
      </c>
      <c r="B893" s="29" t="s">
        <v>6141</v>
      </c>
      <c r="C893" s="29" t="s">
        <v>6142</v>
      </c>
      <c r="D893" s="33">
        <v>0.9375</v>
      </c>
      <c r="E893" s="33">
        <v>-72.701666700000004</v>
      </c>
      <c r="F893" s="29" t="s">
        <v>8090</v>
      </c>
      <c r="G893" s="29" t="s">
        <v>8090</v>
      </c>
      <c r="H893" s="35" t="s">
        <v>8091</v>
      </c>
      <c r="I893" s="29"/>
      <c r="J893" s="29"/>
      <c r="K893" s="37">
        <v>1</v>
      </c>
    </row>
    <row r="894" spans="1:11">
      <c r="A894" s="31">
        <v>894</v>
      </c>
      <c r="B894" s="29" t="s">
        <v>6156</v>
      </c>
      <c r="C894" s="29" t="s">
        <v>6157</v>
      </c>
      <c r="D894" s="33">
        <v>10.050000000000001</v>
      </c>
      <c r="E894" s="33">
        <v>-73.05</v>
      </c>
      <c r="F894" s="29" t="s">
        <v>8090</v>
      </c>
      <c r="G894" s="29" t="s">
        <v>8090</v>
      </c>
      <c r="H894" s="35" t="s">
        <v>8091</v>
      </c>
      <c r="I894" s="29"/>
      <c r="J894" s="29" t="s">
        <v>9177</v>
      </c>
      <c r="K894" s="37">
        <v>0</v>
      </c>
    </row>
    <row r="895" spans="1:11">
      <c r="A895" s="31">
        <v>895</v>
      </c>
      <c r="B895" s="29" t="s">
        <v>6156</v>
      </c>
      <c r="C895" s="29" t="s">
        <v>6157</v>
      </c>
      <c r="D895" s="33">
        <v>10.050000000000001</v>
      </c>
      <c r="E895" s="33">
        <v>-73.05</v>
      </c>
      <c r="F895" s="29" t="s">
        <v>8090</v>
      </c>
      <c r="G895" s="29" t="s">
        <v>8090</v>
      </c>
      <c r="H895" s="35" t="s">
        <v>8091</v>
      </c>
      <c r="I895" s="29"/>
      <c r="J895" s="29"/>
      <c r="K895" s="37">
        <v>1</v>
      </c>
    </row>
    <row r="896" spans="1:11">
      <c r="A896" s="31">
        <v>896</v>
      </c>
      <c r="B896" s="29" t="s">
        <v>8380</v>
      </c>
      <c r="C896" s="29" t="s">
        <v>8381</v>
      </c>
      <c r="D896" s="33">
        <v>4.9695400000000003</v>
      </c>
      <c r="E896" s="33">
        <v>-74.394469999999998</v>
      </c>
      <c r="F896" s="29" t="s">
        <v>8090</v>
      </c>
      <c r="G896" s="29" t="s">
        <v>8090</v>
      </c>
      <c r="H896" s="35" t="s">
        <v>8091</v>
      </c>
      <c r="I896" s="29"/>
      <c r="J896" s="29"/>
      <c r="K896" s="37">
        <v>1</v>
      </c>
    </row>
    <row r="897" spans="1:11">
      <c r="A897" s="31">
        <v>897</v>
      </c>
      <c r="B897" s="29" t="s">
        <v>9178</v>
      </c>
      <c r="C897" s="29" t="s">
        <v>9179</v>
      </c>
      <c r="D897" s="33">
        <v>4.9272900000000002</v>
      </c>
      <c r="E897" s="33">
        <v>-74.424409999999995</v>
      </c>
      <c r="F897" s="29" t="s">
        <v>8090</v>
      </c>
      <c r="G897" s="29" t="s">
        <v>8090</v>
      </c>
      <c r="H897" s="35" t="s">
        <v>8091</v>
      </c>
      <c r="I897" s="29"/>
      <c r="J897" s="29" t="s">
        <v>9180</v>
      </c>
      <c r="K897" s="37">
        <v>0</v>
      </c>
    </row>
    <row r="898" spans="1:11">
      <c r="A898" s="31">
        <v>898</v>
      </c>
      <c r="B898" s="29" t="s">
        <v>9181</v>
      </c>
      <c r="C898" s="29" t="s">
        <v>9182</v>
      </c>
      <c r="D898" s="33">
        <v>4.2047400000000001</v>
      </c>
      <c r="E898" s="33">
        <v>-73.892049999999998</v>
      </c>
      <c r="F898" s="29" t="s">
        <v>8090</v>
      </c>
      <c r="G898" s="29" t="s">
        <v>8090</v>
      </c>
      <c r="H898" s="35" t="s">
        <v>8091</v>
      </c>
      <c r="I898" s="29"/>
      <c r="J898" s="29" t="s">
        <v>9183</v>
      </c>
      <c r="K898" s="37">
        <v>0</v>
      </c>
    </row>
    <row r="899" spans="1:11">
      <c r="A899" s="31">
        <v>899</v>
      </c>
      <c r="B899" s="29" t="s">
        <v>9184</v>
      </c>
      <c r="C899" s="29" t="s">
        <v>9185</v>
      </c>
      <c r="D899" s="33">
        <v>5.5583200000000001</v>
      </c>
      <c r="E899" s="33">
        <v>-74.291569999999993</v>
      </c>
      <c r="F899" s="29" t="s">
        <v>8090</v>
      </c>
      <c r="G899" s="29" t="s">
        <v>8090</v>
      </c>
      <c r="H899" s="35" t="s">
        <v>8091</v>
      </c>
      <c r="I899" s="29"/>
      <c r="J899" s="29" t="s">
        <v>9186</v>
      </c>
      <c r="K899" s="37">
        <v>0</v>
      </c>
    </row>
    <row r="900" spans="1:11">
      <c r="A900" s="31">
        <v>900</v>
      </c>
      <c r="B900" s="29" t="s">
        <v>6191</v>
      </c>
      <c r="C900" s="29" t="s">
        <v>6192</v>
      </c>
      <c r="D900" s="33">
        <v>2.1833333000000001</v>
      </c>
      <c r="E900" s="33">
        <v>-74.05</v>
      </c>
      <c r="F900" s="29" t="s">
        <v>8090</v>
      </c>
      <c r="G900" s="29" t="s">
        <v>8090</v>
      </c>
      <c r="H900" s="35" t="s">
        <v>8091</v>
      </c>
      <c r="I900" s="29"/>
      <c r="J900" s="29" t="s">
        <v>9187</v>
      </c>
      <c r="K900" s="37">
        <v>0</v>
      </c>
    </row>
    <row r="901" spans="1:11">
      <c r="A901" s="31">
        <v>901</v>
      </c>
      <c r="B901" s="29" t="s">
        <v>739</v>
      </c>
      <c r="C901" s="29" t="s">
        <v>740</v>
      </c>
      <c r="D901" s="33">
        <v>2.7806582999999998</v>
      </c>
      <c r="E901" s="33">
        <v>-75.256655600000002</v>
      </c>
      <c r="F901" s="29" t="s">
        <v>8090</v>
      </c>
      <c r="G901" s="29" t="s">
        <v>8090</v>
      </c>
      <c r="H901" s="35" t="s">
        <v>8091</v>
      </c>
      <c r="I901" s="29"/>
      <c r="J901" s="29"/>
      <c r="K901" s="37">
        <v>1</v>
      </c>
    </row>
    <row r="902" spans="1:11">
      <c r="A902" s="31">
        <v>902</v>
      </c>
      <c r="B902" s="29" t="s">
        <v>248</v>
      </c>
      <c r="C902" s="29" t="s">
        <v>249</v>
      </c>
      <c r="D902" s="33">
        <v>1.8089999999999999</v>
      </c>
      <c r="E902" s="33">
        <v>-76.016499999999994</v>
      </c>
      <c r="F902" s="29" t="s">
        <v>8090</v>
      </c>
      <c r="G902" s="29" t="s">
        <v>8090</v>
      </c>
      <c r="H902" s="35" t="s">
        <v>8091</v>
      </c>
      <c r="I902" s="29"/>
      <c r="J902" s="29"/>
      <c r="K902" s="37">
        <v>1</v>
      </c>
    </row>
    <row r="903" spans="1:11">
      <c r="A903" s="31">
        <v>903</v>
      </c>
      <c r="B903" s="29" t="s">
        <v>6217</v>
      </c>
      <c r="C903" s="29" t="s">
        <v>6218</v>
      </c>
      <c r="D903" s="33">
        <v>1.7284721999999999</v>
      </c>
      <c r="E903" s="33">
        <v>-76.115222200000005</v>
      </c>
      <c r="F903" s="29" t="s">
        <v>8090</v>
      </c>
      <c r="G903" s="29" t="s">
        <v>8090</v>
      </c>
      <c r="H903" s="35" t="s">
        <v>8091</v>
      </c>
      <c r="I903" s="29"/>
      <c r="J903" s="29" t="s">
        <v>9188</v>
      </c>
      <c r="K903" s="37">
        <v>0</v>
      </c>
    </row>
    <row r="904" spans="1:11">
      <c r="A904" s="31">
        <v>904</v>
      </c>
      <c r="B904" s="29" t="s">
        <v>8568</v>
      </c>
      <c r="C904" s="29" t="s">
        <v>8569</v>
      </c>
      <c r="D904" s="33">
        <v>6.2927</v>
      </c>
      <c r="E904" s="33">
        <v>-75.507090000000005</v>
      </c>
      <c r="F904" s="29" t="s">
        <v>8090</v>
      </c>
      <c r="G904" s="29" t="s">
        <v>8090</v>
      </c>
      <c r="H904" s="35" t="s">
        <v>8091</v>
      </c>
      <c r="I904" s="29"/>
      <c r="J904" s="29"/>
      <c r="K904" s="37">
        <v>1</v>
      </c>
    </row>
    <row r="905" spans="1:11">
      <c r="A905" s="31">
        <v>905</v>
      </c>
      <c r="B905" s="29" t="s">
        <v>8568</v>
      </c>
      <c r="C905" s="29" t="s">
        <v>8569</v>
      </c>
      <c r="D905" s="33">
        <v>6.2927</v>
      </c>
      <c r="E905" s="33">
        <v>-75.507090000000005</v>
      </c>
      <c r="F905" s="29" t="s">
        <v>8090</v>
      </c>
      <c r="G905" s="29" t="s">
        <v>8090</v>
      </c>
      <c r="H905" s="35" t="s">
        <v>8091</v>
      </c>
      <c r="I905" s="29"/>
      <c r="J905" s="29"/>
      <c r="K905" s="37">
        <v>1</v>
      </c>
    </row>
    <row r="906" spans="1:11">
      <c r="A906" s="31">
        <v>906</v>
      </c>
      <c r="B906" s="29" t="s">
        <v>8506</v>
      </c>
      <c r="C906" s="29" t="s">
        <v>8507</v>
      </c>
      <c r="D906" s="33">
        <v>6.3112199999999996</v>
      </c>
      <c r="E906" s="33">
        <v>-75.146090000000001</v>
      </c>
      <c r="F906" s="29" t="s">
        <v>8090</v>
      </c>
      <c r="G906" s="29" t="s">
        <v>8090</v>
      </c>
      <c r="H906" s="35" t="s">
        <v>8091</v>
      </c>
      <c r="I906" s="29"/>
      <c r="J906" s="29"/>
      <c r="K906" s="37">
        <v>1</v>
      </c>
    </row>
    <row r="907" spans="1:11">
      <c r="A907" s="31">
        <v>907</v>
      </c>
      <c r="B907" s="29" t="s">
        <v>8506</v>
      </c>
      <c r="C907" s="29" t="s">
        <v>8507</v>
      </c>
      <c r="D907" s="33">
        <v>6.3112199999999996</v>
      </c>
      <c r="E907" s="33">
        <v>-75.146090000000001</v>
      </c>
      <c r="F907" s="29" t="s">
        <v>8090</v>
      </c>
      <c r="G907" s="29" t="s">
        <v>8090</v>
      </c>
      <c r="H907" s="35" t="s">
        <v>8091</v>
      </c>
      <c r="I907" s="29"/>
      <c r="J907" s="29"/>
      <c r="K907" s="37">
        <v>1</v>
      </c>
    </row>
    <row r="908" spans="1:11">
      <c r="A908" s="31">
        <v>908</v>
      </c>
      <c r="B908" s="29" t="s">
        <v>2309</v>
      </c>
      <c r="C908" s="29" t="s">
        <v>2310</v>
      </c>
      <c r="D908" s="33">
        <v>5.6833333000000001</v>
      </c>
      <c r="E908" s="33">
        <v>-75.233333299999998</v>
      </c>
      <c r="F908" s="29" t="s">
        <v>8090</v>
      </c>
      <c r="G908" s="29" t="s">
        <v>8090</v>
      </c>
      <c r="H908" s="35" t="s">
        <v>8091</v>
      </c>
      <c r="I908" s="29"/>
      <c r="J908" s="29"/>
      <c r="K908" s="37">
        <v>1</v>
      </c>
    </row>
    <row r="909" spans="1:11">
      <c r="A909" s="31">
        <v>909</v>
      </c>
      <c r="B909" s="29" t="s">
        <v>6250</v>
      </c>
      <c r="C909" s="29" t="s">
        <v>3457</v>
      </c>
      <c r="D909" s="33">
        <v>6.9058333000000003</v>
      </c>
      <c r="E909" s="33">
        <v>-75.134500000000003</v>
      </c>
      <c r="F909" s="29" t="s">
        <v>8090</v>
      </c>
      <c r="G909" s="29" t="s">
        <v>8090</v>
      </c>
      <c r="H909" s="35" t="s">
        <v>8091</v>
      </c>
      <c r="I909" s="29"/>
      <c r="J909" s="29" t="s">
        <v>9189</v>
      </c>
      <c r="K909" s="37">
        <v>0</v>
      </c>
    </row>
    <row r="910" spans="1:11">
      <c r="A910" s="31">
        <v>910</v>
      </c>
      <c r="B910" s="29" t="s">
        <v>8506</v>
      </c>
      <c r="C910" s="29" t="s">
        <v>8507</v>
      </c>
      <c r="D910" s="33">
        <v>6.3112199999999996</v>
      </c>
      <c r="E910" s="33">
        <v>-75.146090000000001</v>
      </c>
      <c r="F910" s="29" t="s">
        <v>8090</v>
      </c>
      <c r="G910" s="29" t="s">
        <v>8090</v>
      </c>
      <c r="H910" s="35" t="s">
        <v>8091</v>
      </c>
      <c r="I910" s="29"/>
      <c r="J910" s="29"/>
      <c r="K910" s="37">
        <v>1</v>
      </c>
    </row>
    <row r="911" spans="1:11">
      <c r="A911" s="31">
        <v>911</v>
      </c>
      <c r="B911" s="29" t="s">
        <v>8506</v>
      </c>
      <c r="C911" s="29" t="s">
        <v>8507</v>
      </c>
      <c r="D911" s="33">
        <v>6.3112199999999996</v>
      </c>
      <c r="E911" s="33">
        <v>-75.146090000000001</v>
      </c>
      <c r="F911" s="29" t="s">
        <v>8090</v>
      </c>
      <c r="G911" s="29" t="s">
        <v>8090</v>
      </c>
      <c r="H911" s="35" t="s">
        <v>8091</v>
      </c>
      <c r="I911" s="29"/>
      <c r="J911" s="29"/>
      <c r="K911" s="37">
        <v>1</v>
      </c>
    </row>
    <row r="912" spans="1:11">
      <c r="A912" s="31">
        <v>912</v>
      </c>
      <c r="B912" s="29" t="s">
        <v>9190</v>
      </c>
      <c r="C912" s="29" t="s">
        <v>9191</v>
      </c>
      <c r="D912" s="33">
        <v>6.3038699999999999</v>
      </c>
      <c r="E912" s="33">
        <v>-75.518129999999999</v>
      </c>
      <c r="F912" s="29" t="s">
        <v>8090</v>
      </c>
      <c r="G912" s="29" t="s">
        <v>8090</v>
      </c>
      <c r="H912" s="35" t="s">
        <v>8091</v>
      </c>
      <c r="I912" s="29"/>
      <c r="J912" s="29" t="s">
        <v>9192</v>
      </c>
      <c r="K912" s="37">
        <v>0</v>
      </c>
    </row>
    <row r="913" spans="1:11">
      <c r="A913" s="31">
        <v>913</v>
      </c>
      <c r="B913" s="29" t="s">
        <v>9190</v>
      </c>
      <c r="C913" s="29" t="s">
        <v>9191</v>
      </c>
      <c r="D913" s="33">
        <v>6.3038699999999999</v>
      </c>
      <c r="E913" s="33">
        <v>-75.518129999999999</v>
      </c>
      <c r="F913" s="29" t="s">
        <v>8090</v>
      </c>
      <c r="G913" s="29" t="s">
        <v>8090</v>
      </c>
      <c r="H913" s="35" t="s">
        <v>8091</v>
      </c>
      <c r="I913" s="29"/>
      <c r="J913" s="29"/>
      <c r="K913" s="37">
        <v>1</v>
      </c>
    </row>
    <row r="914" spans="1:11">
      <c r="A914" s="31">
        <v>914</v>
      </c>
      <c r="B914" s="29" t="s">
        <v>6271</v>
      </c>
      <c r="C914" s="29" t="s">
        <v>3558</v>
      </c>
      <c r="D914" s="33">
        <v>6.3056111000000001</v>
      </c>
      <c r="E914" s="33">
        <v>-75.515166699999995</v>
      </c>
      <c r="F914" s="29" t="s">
        <v>8090</v>
      </c>
      <c r="G914" s="29" t="s">
        <v>8090</v>
      </c>
      <c r="H914" s="35" t="s">
        <v>8091</v>
      </c>
      <c r="I914" s="29"/>
      <c r="J914" s="29" t="s">
        <v>9193</v>
      </c>
      <c r="K914" s="37">
        <v>0</v>
      </c>
    </row>
    <row r="915" spans="1:11">
      <c r="A915" s="31">
        <v>915</v>
      </c>
      <c r="B915" s="29" t="s">
        <v>977</v>
      </c>
      <c r="C915" s="29" t="s">
        <v>978</v>
      </c>
      <c r="D915" s="33">
        <v>6.2133333000000004</v>
      </c>
      <c r="E915" s="33">
        <v>-75.492277799999997</v>
      </c>
      <c r="F915" s="29" t="s">
        <v>8090</v>
      </c>
      <c r="G915" s="29" t="s">
        <v>8090</v>
      </c>
      <c r="H915" s="35" t="s">
        <v>8091</v>
      </c>
      <c r="I915" s="29"/>
      <c r="J915" s="29"/>
      <c r="K915" s="37">
        <v>1</v>
      </c>
    </row>
    <row r="916" spans="1:11">
      <c r="A916" s="31">
        <v>916</v>
      </c>
      <c r="B916" s="29" t="s">
        <v>3314</v>
      </c>
      <c r="C916" s="29" t="s">
        <v>3315</v>
      </c>
      <c r="D916" s="33">
        <v>6.9876667000000001</v>
      </c>
      <c r="E916" s="33">
        <v>-75.143222199999997</v>
      </c>
      <c r="F916" s="29" t="s">
        <v>8090</v>
      </c>
      <c r="G916" s="29" t="s">
        <v>8090</v>
      </c>
      <c r="H916" s="35" t="s">
        <v>8091</v>
      </c>
      <c r="I916" s="29"/>
      <c r="J916" s="29"/>
      <c r="K916" s="37">
        <v>1</v>
      </c>
    </row>
    <row r="917" spans="1:11">
      <c r="A917" s="31">
        <v>917</v>
      </c>
      <c r="B917" s="29" t="s">
        <v>9194</v>
      </c>
      <c r="C917" s="29" t="s">
        <v>9195</v>
      </c>
      <c r="D917" s="33">
        <v>6.1300999999999997</v>
      </c>
      <c r="E917" s="33">
        <v>-75.414150000000006</v>
      </c>
      <c r="F917" s="29" t="s">
        <v>8090</v>
      </c>
      <c r="G917" s="29" t="s">
        <v>8090</v>
      </c>
      <c r="H917" s="35" t="s">
        <v>8091</v>
      </c>
      <c r="I917" s="29"/>
      <c r="J917" s="29" t="s">
        <v>9196</v>
      </c>
      <c r="K917" s="37">
        <v>0</v>
      </c>
    </row>
    <row r="918" spans="1:11">
      <c r="A918" s="31">
        <v>918</v>
      </c>
      <c r="B918" s="29" t="s">
        <v>9197</v>
      </c>
      <c r="C918" s="29" t="s">
        <v>9198</v>
      </c>
      <c r="D918" s="33">
        <v>1.1691800000000001</v>
      </c>
      <c r="E918" s="33">
        <v>-76.693349999999995</v>
      </c>
      <c r="F918" s="29" t="s">
        <v>8090</v>
      </c>
      <c r="G918" s="29" t="s">
        <v>8090</v>
      </c>
      <c r="H918" s="35" t="s">
        <v>8091</v>
      </c>
      <c r="I918" s="29"/>
      <c r="J918" s="29" t="s">
        <v>9199</v>
      </c>
      <c r="K918" s="37">
        <v>0</v>
      </c>
    </row>
    <row r="919" spans="1:11">
      <c r="A919" s="31">
        <v>919</v>
      </c>
      <c r="B919" s="29" t="s">
        <v>9200</v>
      </c>
      <c r="C919" s="29" t="s">
        <v>9201</v>
      </c>
      <c r="D919" s="33">
        <v>4.9695</v>
      </c>
      <c r="E919" s="33">
        <v>-74.393960000000007</v>
      </c>
      <c r="F919" s="29" t="s">
        <v>8090</v>
      </c>
      <c r="G919" s="29" t="s">
        <v>8090</v>
      </c>
      <c r="H919" s="35" t="s">
        <v>8091</v>
      </c>
      <c r="I919" s="29"/>
      <c r="J919" s="29" t="s">
        <v>9202</v>
      </c>
      <c r="K919" s="37">
        <v>0</v>
      </c>
    </row>
    <row r="920" spans="1:11">
      <c r="A920" s="31">
        <v>920</v>
      </c>
      <c r="B920" s="29" t="s">
        <v>9203</v>
      </c>
      <c r="C920" s="29" t="s">
        <v>9204</v>
      </c>
      <c r="D920" s="33">
        <v>5.8185000000000002</v>
      </c>
      <c r="E920" s="33">
        <v>-74.078410000000005</v>
      </c>
      <c r="F920" s="29" t="s">
        <v>8090</v>
      </c>
      <c r="G920" s="29" t="s">
        <v>8090</v>
      </c>
      <c r="H920" s="35" t="s">
        <v>8091</v>
      </c>
      <c r="I920" s="29"/>
      <c r="J920" s="29" t="s">
        <v>9205</v>
      </c>
      <c r="K920" s="37">
        <v>0</v>
      </c>
    </row>
    <row r="921" spans="1:11">
      <c r="A921" s="31">
        <v>921</v>
      </c>
      <c r="B921" s="29" t="s">
        <v>9206</v>
      </c>
      <c r="C921" s="29" t="s">
        <v>9207</v>
      </c>
      <c r="D921" s="33">
        <v>1.0869599999999999</v>
      </c>
      <c r="E921" s="33">
        <v>-76.632549999999995</v>
      </c>
      <c r="F921" s="29" t="s">
        <v>8090</v>
      </c>
      <c r="G921" s="29" t="s">
        <v>8090</v>
      </c>
      <c r="H921" s="35" t="s">
        <v>8091</v>
      </c>
      <c r="I921" s="29"/>
      <c r="J921" s="29" t="s">
        <v>9208</v>
      </c>
      <c r="K921" s="37">
        <v>0</v>
      </c>
    </row>
    <row r="922" spans="1:11">
      <c r="A922" s="31">
        <v>922</v>
      </c>
      <c r="B922" s="29" t="s">
        <v>8211</v>
      </c>
      <c r="C922" s="29" t="s">
        <v>8212</v>
      </c>
      <c r="D922" s="33">
        <v>5.9228800000000001</v>
      </c>
      <c r="E922" s="33">
        <v>-75.303579999999997</v>
      </c>
      <c r="F922" s="29" t="s">
        <v>8090</v>
      </c>
      <c r="G922" s="29" t="s">
        <v>8090</v>
      </c>
      <c r="H922" s="35" t="s">
        <v>8091</v>
      </c>
      <c r="I922" s="29"/>
      <c r="J922" s="29"/>
      <c r="K922" s="37">
        <v>1</v>
      </c>
    </row>
    <row r="923" spans="1:11">
      <c r="A923" s="31">
        <v>923</v>
      </c>
      <c r="B923" s="29" t="s">
        <v>6347</v>
      </c>
      <c r="C923" s="29" t="s">
        <v>6348</v>
      </c>
      <c r="D923" s="33">
        <v>6.6259721999999996</v>
      </c>
      <c r="E923" s="33">
        <v>-75.666666699999993</v>
      </c>
      <c r="F923" s="29" t="s">
        <v>8090</v>
      </c>
      <c r="G923" s="29" t="s">
        <v>8090</v>
      </c>
      <c r="H923" s="35" t="s">
        <v>8091</v>
      </c>
      <c r="I923" s="29"/>
      <c r="J923" s="29" t="s">
        <v>9209</v>
      </c>
      <c r="K923" s="37">
        <v>0</v>
      </c>
    </row>
    <row r="924" spans="1:11">
      <c r="A924" s="31">
        <v>924</v>
      </c>
      <c r="B924" s="29" t="s">
        <v>2474</v>
      </c>
      <c r="C924" s="29" t="s">
        <v>2475</v>
      </c>
      <c r="D924" s="33">
        <v>5.85</v>
      </c>
      <c r="E924" s="33">
        <v>-75.366666699999996</v>
      </c>
      <c r="F924" s="29" t="s">
        <v>8090</v>
      </c>
      <c r="G924" s="29" t="s">
        <v>8090</v>
      </c>
      <c r="H924" s="35" t="s">
        <v>8091</v>
      </c>
      <c r="I924" s="29"/>
      <c r="J924" s="29"/>
      <c r="K924" s="37">
        <v>1</v>
      </c>
    </row>
    <row r="925" spans="1:11">
      <c r="A925" s="31">
        <v>925</v>
      </c>
      <c r="B925" s="29" t="s">
        <v>1707</v>
      </c>
      <c r="C925" s="29" t="s">
        <v>1708</v>
      </c>
      <c r="D925" s="33">
        <v>6.6858611000000003</v>
      </c>
      <c r="E925" s="33">
        <v>-75.674888899999999</v>
      </c>
      <c r="F925" s="29" t="s">
        <v>8090</v>
      </c>
      <c r="G925" s="29" t="s">
        <v>8090</v>
      </c>
      <c r="H925" s="35" t="s">
        <v>8091</v>
      </c>
      <c r="I925" s="29"/>
      <c r="J925" s="29"/>
      <c r="K925" s="37">
        <v>1</v>
      </c>
    </row>
    <row r="926" spans="1:11">
      <c r="A926" s="31">
        <v>926</v>
      </c>
      <c r="B926" s="29" t="s">
        <v>1707</v>
      </c>
      <c r="C926" s="29" t="s">
        <v>1708</v>
      </c>
      <c r="D926" s="33">
        <v>6.6858611000000003</v>
      </c>
      <c r="E926" s="33">
        <v>-75.674888899999999</v>
      </c>
      <c r="F926" s="29" t="s">
        <v>8090</v>
      </c>
      <c r="G926" s="29" t="s">
        <v>8090</v>
      </c>
      <c r="H926" s="35" t="s">
        <v>8091</v>
      </c>
      <c r="I926" s="29"/>
      <c r="J926" s="29"/>
      <c r="K926" s="37">
        <v>1</v>
      </c>
    </row>
    <row r="927" spans="1:11">
      <c r="A927" s="31">
        <v>927</v>
      </c>
      <c r="B927" s="29" t="s">
        <v>6373</v>
      </c>
      <c r="C927" s="29" t="s">
        <v>6374</v>
      </c>
      <c r="D927" s="33">
        <v>6.6928333000000002</v>
      </c>
      <c r="E927" s="33">
        <v>-75.696722199999996</v>
      </c>
      <c r="F927" s="29" t="s">
        <v>8090</v>
      </c>
      <c r="G927" s="29" t="s">
        <v>8090</v>
      </c>
      <c r="H927" s="35" t="s">
        <v>8091</v>
      </c>
      <c r="I927" s="29"/>
      <c r="J927" s="29" t="s">
        <v>9210</v>
      </c>
      <c r="K927" s="37">
        <v>0</v>
      </c>
    </row>
    <row r="928" spans="1:11">
      <c r="A928" s="31">
        <v>928</v>
      </c>
      <c r="B928" s="29" t="s">
        <v>1721</v>
      </c>
      <c r="C928" s="29" t="s">
        <v>1722</v>
      </c>
      <c r="D928" s="33">
        <v>6.7717499999999999</v>
      </c>
      <c r="E928" s="33">
        <v>-75.694694400000003</v>
      </c>
      <c r="F928" s="29" t="s">
        <v>8090</v>
      </c>
      <c r="G928" s="29" t="s">
        <v>8090</v>
      </c>
      <c r="H928" s="35" t="s">
        <v>8091</v>
      </c>
      <c r="I928" s="29"/>
      <c r="J928" s="29"/>
      <c r="K928" s="37">
        <v>1</v>
      </c>
    </row>
    <row r="929" spans="1:11">
      <c r="A929" s="31">
        <v>929</v>
      </c>
      <c r="B929" s="29" t="s">
        <v>1721</v>
      </c>
      <c r="C929" s="29" t="s">
        <v>1722</v>
      </c>
      <c r="D929" s="33">
        <v>6.7717499999999999</v>
      </c>
      <c r="E929" s="33">
        <v>-75.694694400000003</v>
      </c>
      <c r="F929" s="29" t="s">
        <v>8090</v>
      </c>
      <c r="G929" s="29" t="s">
        <v>8090</v>
      </c>
      <c r="H929" s="35" t="s">
        <v>8091</v>
      </c>
      <c r="I929" s="29"/>
      <c r="J929" s="29"/>
      <c r="K929" s="37">
        <v>1</v>
      </c>
    </row>
    <row r="930" spans="1:11">
      <c r="A930" s="31">
        <v>930</v>
      </c>
      <c r="B930" s="29" t="s">
        <v>6347</v>
      </c>
      <c r="C930" s="29" t="s">
        <v>6389</v>
      </c>
      <c r="D930" s="33">
        <v>6.6259721999999996</v>
      </c>
      <c r="E930" s="33">
        <v>-75.656722200000004</v>
      </c>
      <c r="F930" s="29" t="s">
        <v>8090</v>
      </c>
      <c r="G930" s="29" t="s">
        <v>8090</v>
      </c>
      <c r="H930" s="35" t="s">
        <v>8091</v>
      </c>
      <c r="I930" s="29"/>
      <c r="J930" s="29" t="s">
        <v>9211</v>
      </c>
      <c r="K930" s="37">
        <v>0</v>
      </c>
    </row>
    <row r="931" spans="1:11">
      <c r="A931" s="31">
        <v>931</v>
      </c>
      <c r="B931" s="29" t="s">
        <v>6347</v>
      </c>
      <c r="C931" s="29" t="s">
        <v>6389</v>
      </c>
      <c r="D931" s="33">
        <v>6.6259721999999996</v>
      </c>
      <c r="E931" s="33">
        <v>-75.656722200000004</v>
      </c>
      <c r="F931" s="29" t="s">
        <v>8090</v>
      </c>
      <c r="G931" s="29" t="s">
        <v>8090</v>
      </c>
      <c r="H931" s="35" t="s">
        <v>8091</v>
      </c>
      <c r="I931" s="29"/>
      <c r="J931" s="29"/>
      <c r="K931" s="37">
        <v>1</v>
      </c>
    </row>
    <row r="932" spans="1:11">
      <c r="A932" s="31">
        <v>932</v>
      </c>
      <c r="B932" s="29" t="s">
        <v>6347</v>
      </c>
      <c r="C932" s="29" t="s">
        <v>6389</v>
      </c>
      <c r="D932" s="33">
        <v>6.6259721999999996</v>
      </c>
      <c r="E932" s="33">
        <v>-75.656722200000004</v>
      </c>
      <c r="F932" s="29" t="s">
        <v>8090</v>
      </c>
      <c r="G932" s="29" t="s">
        <v>8090</v>
      </c>
      <c r="H932" s="35" t="s">
        <v>8091</v>
      </c>
      <c r="I932" s="29"/>
      <c r="J932" s="29"/>
      <c r="K932" s="37">
        <v>1</v>
      </c>
    </row>
    <row r="933" spans="1:11">
      <c r="A933" s="31">
        <v>933</v>
      </c>
      <c r="B933" s="29" t="s">
        <v>6402</v>
      </c>
      <c r="C933" s="29" t="s">
        <v>6403</v>
      </c>
      <c r="D933" s="33">
        <v>6.8886111000000003</v>
      </c>
      <c r="E933" s="33">
        <v>-75.355555600000002</v>
      </c>
      <c r="F933" s="29" t="s">
        <v>8090</v>
      </c>
      <c r="G933" s="29" t="s">
        <v>8090</v>
      </c>
      <c r="H933" s="35" t="s">
        <v>8091</v>
      </c>
      <c r="I933" s="29"/>
      <c r="J933" s="29" t="s">
        <v>9212</v>
      </c>
      <c r="K933" s="37">
        <v>0</v>
      </c>
    </row>
    <row r="934" spans="1:11">
      <c r="A934" s="31">
        <v>934</v>
      </c>
      <c r="B934" s="29" t="s">
        <v>6416</v>
      </c>
      <c r="C934" s="29" t="s">
        <v>6417</v>
      </c>
      <c r="D934" s="33">
        <v>6.2536110999999996</v>
      </c>
      <c r="E934" s="33">
        <v>-75.669444400000003</v>
      </c>
      <c r="F934" s="29" t="s">
        <v>8090</v>
      </c>
      <c r="G934" s="29" t="s">
        <v>8090</v>
      </c>
      <c r="H934" s="35" t="s">
        <v>8091</v>
      </c>
      <c r="I934" s="29"/>
      <c r="J934" s="29" t="s">
        <v>9213</v>
      </c>
      <c r="K934" s="37">
        <v>0</v>
      </c>
    </row>
    <row r="935" spans="1:11">
      <c r="A935" s="31">
        <v>935</v>
      </c>
      <c r="B935" s="29" t="s">
        <v>9114</v>
      </c>
      <c r="C935" s="29" t="s">
        <v>9115</v>
      </c>
      <c r="D935" s="33">
        <v>6.6219666669999997</v>
      </c>
      <c r="E935" s="33">
        <v>-75.644949999999994</v>
      </c>
      <c r="F935" s="29" t="s">
        <v>8090</v>
      </c>
      <c r="G935" s="29" t="s">
        <v>8090</v>
      </c>
      <c r="H935" s="35" t="s">
        <v>8091</v>
      </c>
      <c r="I935" s="29"/>
      <c r="J935" s="29"/>
      <c r="K935" s="37">
        <v>1</v>
      </c>
    </row>
    <row r="936" spans="1:11">
      <c r="A936" s="31">
        <v>936</v>
      </c>
      <c r="B936" s="29" t="s">
        <v>9214</v>
      </c>
      <c r="C936" s="29" t="s">
        <v>9215</v>
      </c>
      <c r="D936" s="33">
        <v>4.8548900000000001</v>
      </c>
      <c r="E936" s="33">
        <v>-73.300460000000001</v>
      </c>
      <c r="F936" s="29" t="s">
        <v>8090</v>
      </c>
      <c r="G936" s="29" t="s">
        <v>8090</v>
      </c>
      <c r="H936" s="35" t="s">
        <v>8091</v>
      </c>
      <c r="I936" s="29"/>
      <c r="J936" s="29" t="s">
        <v>9216</v>
      </c>
      <c r="K936" s="37">
        <v>0</v>
      </c>
    </row>
    <row r="937" spans="1:11">
      <c r="A937" s="31">
        <v>937</v>
      </c>
      <c r="B937" s="29" t="s">
        <v>577</v>
      </c>
      <c r="C937" s="29" t="s">
        <v>578</v>
      </c>
      <c r="D937" s="33">
        <v>5.0671333000000001</v>
      </c>
      <c r="E937" s="33">
        <v>-75.518288900000002</v>
      </c>
      <c r="F937" s="29" t="s">
        <v>8090</v>
      </c>
      <c r="G937" s="29" t="s">
        <v>8090</v>
      </c>
      <c r="H937" s="35" t="s">
        <v>8091</v>
      </c>
      <c r="I937" s="29"/>
      <c r="J937" s="29"/>
      <c r="K937" s="37">
        <v>1</v>
      </c>
    </row>
    <row r="938" spans="1:11">
      <c r="A938" s="31">
        <v>938</v>
      </c>
      <c r="B938" s="29" t="s">
        <v>8412</v>
      </c>
      <c r="C938" s="29" t="s">
        <v>8413</v>
      </c>
      <c r="D938" s="33">
        <v>5.3832899999999997</v>
      </c>
      <c r="E938" s="33">
        <v>-75.353309999999993</v>
      </c>
      <c r="F938" s="29" t="s">
        <v>8090</v>
      </c>
      <c r="G938" s="29" t="s">
        <v>8090</v>
      </c>
      <c r="H938" s="35" t="s">
        <v>8091</v>
      </c>
      <c r="I938" s="29"/>
      <c r="J938" s="29"/>
      <c r="K938" s="37">
        <v>1</v>
      </c>
    </row>
    <row r="939" spans="1:11">
      <c r="A939" s="31">
        <v>939</v>
      </c>
      <c r="B939" s="29" t="s">
        <v>8412</v>
      </c>
      <c r="C939" s="29" t="s">
        <v>8413</v>
      </c>
      <c r="D939" s="33">
        <v>5.3832899999999997</v>
      </c>
      <c r="E939" s="33">
        <v>-75.353309999999993</v>
      </c>
      <c r="F939" s="29" t="s">
        <v>8090</v>
      </c>
      <c r="G939" s="29" t="s">
        <v>8090</v>
      </c>
      <c r="H939" s="35" t="s">
        <v>8091</v>
      </c>
      <c r="I939" s="29"/>
      <c r="J939" s="29"/>
      <c r="K939" s="37">
        <v>1</v>
      </c>
    </row>
    <row r="940" spans="1:11">
      <c r="A940" s="31">
        <v>940</v>
      </c>
      <c r="B940" s="29" t="s">
        <v>8412</v>
      </c>
      <c r="C940" s="29" t="s">
        <v>8413</v>
      </c>
      <c r="D940" s="33">
        <v>5.3832899999999997</v>
      </c>
      <c r="E940" s="33">
        <v>-75.353309999999993</v>
      </c>
      <c r="F940" s="29" t="s">
        <v>8090</v>
      </c>
      <c r="G940" s="29" t="s">
        <v>8090</v>
      </c>
      <c r="H940" s="35" t="s">
        <v>8091</v>
      </c>
      <c r="I940" s="29"/>
      <c r="J940" s="29"/>
      <c r="K940" s="37">
        <v>1</v>
      </c>
    </row>
    <row r="941" spans="1:11">
      <c r="A941" s="31">
        <v>941</v>
      </c>
      <c r="B941" s="29" t="s">
        <v>8412</v>
      </c>
      <c r="C941" s="29" t="s">
        <v>8413</v>
      </c>
      <c r="D941" s="33">
        <v>5.3832899999999997</v>
      </c>
      <c r="E941" s="33">
        <v>-75.353309999999993</v>
      </c>
      <c r="F941" s="29" t="s">
        <v>8090</v>
      </c>
      <c r="G941" s="29" t="s">
        <v>8090</v>
      </c>
      <c r="H941" s="35" t="s">
        <v>8091</v>
      </c>
      <c r="I941" s="29"/>
      <c r="J941" s="29"/>
      <c r="K941" s="37">
        <v>1</v>
      </c>
    </row>
    <row r="942" spans="1:11">
      <c r="A942" s="31">
        <v>942</v>
      </c>
      <c r="B942" s="29" t="s">
        <v>8412</v>
      </c>
      <c r="C942" s="29" t="s">
        <v>8413</v>
      </c>
      <c r="D942" s="33">
        <v>5.3832899999999997</v>
      </c>
      <c r="E942" s="33">
        <v>-75.353309999999993</v>
      </c>
      <c r="F942" s="29" t="s">
        <v>8090</v>
      </c>
      <c r="G942" s="29" t="s">
        <v>8090</v>
      </c>
      <c r="H942" s="35" t="s">
        <v>8091</v>
      </c>
      <c r="I942" s="29"/>
      <c r="J942" s="29"/>
      <c r="K942" s="37">
        <v>1</v>
      </c>
    </row>
    <row r="943" spans="1:11">
      <c r="A943" s="31">
        <v>943</v>
      </c>
      <c r="B943" s="29" t="s">
        <v>8416</v>
      </c>
      <c r="C943" s="29" t="s">
        <v>8417</v>
      </c>
      <c r="D943" s="33">
        <v>5.3704499999999999</v>
      </c>
      <c r="E943" s="33">
        <v>-75.385949999999994</v>
      </c>
      <c r="F943" s="29" t="s">
        <v>8090</v>
      </c>
      <c r="G943" s="29" t="s">
        <v>8090</v>
      </c>
      <c r="H943" s="35" t="s">
        <v>8091</v>
      </c>
      <c r="I943" s="29"/>
      <c r="J943" s="29"/>
      <c r="K943" s="37">
        <v>1</v>
      </c>
    </row>
    <row r="944" spans="1:11">
      <c r="A944" s="31">
        <v>944</v>
      </c>
      <c r="B944" s="29" t="s">
        <v>6467</v>
      </c>
      <c r="C944" s="29" t="s">
        <v>6468</v>
      </c>
      <c r="D944" s="33">
        <v>2.2902722</v>
      </c>
      <c r="E944" s="33">
        <v>-76.381327799999994</v>
      </c>
      <c r="F944" s="29" t="s">
        <v>8090</v>
      </c>
      <c r="G944" s="29" t="s">
        <v>8090</v>
      </c>
      <c r="H944" s="35" t="s">
        <v>8091</v>
      </c>
      <c r="I944" s="29"/>
      <c r="J944" s="29" t="s">
        <v>9217</v>
      </c>
      <c r="K944" s="37">
        <v>0</v>
      </c>
    </row>
    <row r="945" spans="1:11">
      <c r="A945" s="31">
        <v>945</v>
      </c>
      <c r="B945" s="29" t="s">
        <v>6480</v>
      </c>
      <c r="C945" s="29" t="s">
        <v>6481</v>
      </c>
      <c r="D945" s="33">
        <v>2.7827111000000002</v>
      </c>
      <c r="E945" s="33">
        <v>-76.250455599999995</v>
      </c>
      <c r="F945" s="29" t="s">
        <v>8090</v>
      </c>
      <c r="G945" s="29" t="s">
        <v>8090</v>
      </c>
      <c r="H945" s="35" t="s">
        <v>8091</v>
      </c>
      <c r="I945" s="29"/>
      <c r="J945" s="29" t="s">
        <v>9218</v>
      </c>
      <c r="K945" s="37">
        <v>0</v>
      </c>
    </row>
    <row r="946" spans="1:11">
      <c r="A946" s="31">
        <v>946</v>
      </c>
      <c r="B946" s="29" t="s">
        <v>6492</v>
      </c>
      <c r="C946" s="29" t="s">
        <v>6493</v>
      </c>
      <c r="D946" s="33">
        <v>2.5931443999999999</v>
      </c>
      <c r="E946" s="33">
        <v>-76.329322199999993</v>
      </c>
      <c r="F946" s="29" t="s">
        <v>8090</v>
      </c>
      <c r="G946" s="29" t="s">
        <v>8090</v>
      </c>
      <c r="H946" s="35" t="s">
        <v>8091</v>
      </c>
      <c r="I946" s="29"/>
      <c r="J946" s="29" t="s">
        <v>9219</v>
      </c>
      <c r="K946" s="37">
        <v>0</v>
      </c>
    </row>
    <row r="947" spans="1:11">
      <c r="A947" s="31">
        <v>947</v>
      </c>
      <c r="B947" s="29" t="s">
        <v>6505</v>
      </c>
      <c r="C947" s="29" t="s">
        <v>6506</v>
      </c>
      <c r="D947" s="33">
        <v>1.8183332999999999</v>
      </c>
      <c r="E947" s="33">
        <v>-76.889444400000002</v>
      </c>
      <c r="F947" s="29" t="s">
        <v>8090</v>
      </c>
      <c r="G947" s="29" t="s">
        <v>8090</v>
      </c>
      <c r="H947" s="35" t="s">
        <v>8091</v>
      </c>
      <c r="I947" s="29"/>
      <c r="J947" s="29" t="s">
        <v>9220</v>
      </c>
      <c r="K947" s="37">
        <v>0</v>
      </c>
    </row>
    <row r="948" spans="1:11">
      <c r="A948" s="31">
        <v>948</v>
      </c>
      <c r="B948" s="29" t="s">
        <v>9221</v>
      </c>
      <c r="C948" s="29" t="s">
        <v>9222</v>
      </c>
      <c r="D948" s="33">
        <v>2.3807666666666671</v>
      </c>
      <c r="E948" s="33">
        <v>-76.444083333333339</v>
      </c>
      <c r="F948" s="29" t="s">
        <v>9223</v>
      </c>
      <c r="G948" s="29" t="s">
        <v>9223</v>
      </c>
      <c r="H948" s="35" t="s">
        <v>8091</v>
      </c>
      <c r="I948" s="29"/>
      <c r="J948" s="29" t="s">
        <v>9224</v>
      </c>
      <c r="K948" s="37">
        <v>0</v>
      </c>
    </row>
    <row r="949" spans="1:11">
      <c r="A949" s="31">
        <v>949</v>
      </c>
      <c r="B949" s="29" t="s">
        <v>6467</v>
      </c>
      <c r="C949" s="29" t="s">
        <v>6468</v>
      </c>
      <c r="D949" s="33">
        <v>2.2902722</v>
      </c>
      <c r="E949" s="33">
        <v>-76.381327799999994</v>
      </c>
      <c r="F949" s="29" t="s">
        <v>8090</v>
      </c>
      <c r="G949" s="29" t="s">
        <v>8090</v>
      </c>
      <c r="H949" s="35" t="s">
        <v>8091</v>
      </c>
      <c r="I949" s="29"/>
      <c r="J949" s="29"/>
      <c r="K949" s="37">
        <v>1</v>
      </c>
    </row>
    <row r="950" spans="1:11">
      <c r="A950" s="31">
        <v>950</v>
      </c>
      <c r="B950" s="29" t="s">
        <v>9225</v>
      </c>
      <c r="C950" s="29" t="s">
        <v>9226</v>
      </c>
      <c r="D950" s="33">
        <v>4.5693599999999996</v>
      </c>
      <c r="E950" s="33">
        <v>-73.826279999999997</v>
      </c>
      <c r="F950" s="29" t="s">
        <v>8090</v>
      </c>
      <c r="G950" s="29" t="s">
        <v>8090</v>
      </c>
      <c r="H950" s="35" t="s">
        <v>8091</v>
      </c>
      <c r="I950" s="29"/>
      <c r="J950" s="29" t="s">
        <v>9227</v>
      </c>
      <c r="K950" s="37">
        <v>0</v>
      </c>
    </row>
    <row r="951" spans="1:11">
      <c r="A951" s="31">
        <v>951</v>
      </c>
      <c r="B951" s="29" t="s">
        <v>6529</v>
      </c>
      <c r="C951" s="29" t="s">
        <v>6530</v>
      </c>
      <c r="D951" s="33">
        <v>2.3953250000000001</v>
      </c>
      <c r="E951" s="33">
        <v>-75.891202800000002</v>
      </c>
      <c r="F951" s="29" t="s">
        <v>8090</v>
      </c>
      <c r="G951" s="29" t="s">
        <v>8090</v>
      </c>
      <c r="H951" s="35" t="s">
        <v>8091</v>
      </c>
      <c r="I951" s="29"/>
      <c r="J951" s="29" t="s">
        <v>9228</v>
      </c>
      <c r="K951" s="37">
        <v>0</v>
      </c>
    </row>
    <row r="952" spans="1:11">
      <c r="A952" s="31">
        <v>952</v>
      </c>
      <c r="B952" s="29" t="s">
        <v>6542</v>
      </c>
      <c r="C952" s="29" t="s">
        <v>6543</v>
      </c>
      <c r="D952" s="33">
        <v>1.8527416999999999</v>
      </c>
      <c r="E952" s="33">
        <v>-76.035583299999999</v>
      </c>
      <c r="F952" s="29" t="s">
        <v>8090</v>
      </c>
      <c r="G952" s="29" t="s">
        <v>8090</v>
      </c>
      <c r="H952" s="35" t="s">
        <v>8091</v>
      </c>
      <c r="I952" s="29"/>
      <c r="J952" s="29" t="s">
        <v>9229</v>
      </c>
      <c r="K952" s="37">
        <v>0</v>
      </c>
    </row>
    <row r="953" spans="1:11">
      <c r="A953" s="31">
        <v>953</v>
      </c>
      <c r="B953" s="29" t="s">
        <v>6542</v>
      </c>
      <c r="C953" s="29" t="s">
        <v>6543</v>
      </c>
      <c r="D953" s="33">
        <v>1.8527416999999999</v>
      </c>
      <c r="E953" s="33">
        <v>-76.035583299999999</v>
      </c>
      <c r="F953" s="29" t="s">
        <v>8090</v>
      </c>
      <c r="G953" s="29" t="s">
        <v>8090</v>
      </c>
      <c r="H953" s="35" t="s">
        <v>8091</v>
      </c>
      <c r="I953" s="29"/>
      <c r="J953" s="29"/>
      <c r="K953" s="37">
        <v>1</v>
      </c>
    </row>
    <row r="954" spans="1:11">
      <c r="A954" s="31">
        <v>954</v>
      </c>
      <c r="B954" s="29" t="s">
        <v>8972</v>
      </c>
      <c r="C954" s="29" t="s">
        <v>8973</v>
      </c>
      <c r="D954" s="33">
        <v>2.2186300000000001</v>
      </c>
      <c r="E954" s="33">
        <v>-75.934240000000003</v>
      </c>
      <c r="F954" s="29" t="s">
        <v>8090</v>
      </c>
      <c r="G954" s="29" t="s">
        <v>8090</v>
      </c>
      <c r="H954" s="35" t="s">
        <v>8091</v>
      </c>
      <c r="I954" s="29"/>
      <c r="J954" s="29"/>
      <c r="K954" s="37">
        <v>1</v>
      </c>
    </row>
    <row r="955" spans="1:11">
      <c r="A955" s="31">
        <v>955</v>
      </c>
      <c r="B955" s="29" t="s">
        <v>6559</v>
      </c>
      <c r="C955" s="29" t="s">
        <v>6560</v>
      </c>
      <c r="D955" s="33">
        <v>2.1968193999999999</v>
      </c>
      <c r="E955" s="33">
        <v>-75.9769194</v>
      </c>
      <c r="F955" s="29" t="s">
        <v>8090</v>
      </c>
      <c r="G955" s="29" t="s">
        <v>8090</v>
      </c>
      <c r="H955" s="35" t="s">
        <v>8091</v>
      </c>
      <c r="I955" s="29"/>
      <c r="J955" s="29" t="s">
        <v>9230</v>
      </c>
      <c r="K955" s="37">
        <v>0</v>
      </c>
    </row>
    <row r="956" spans="1:11">
      <c r="A956" s="31">
        <v>956</v>
      </c>
      <c r="B956" s="29" t="s">
        <v>6571</v>
      </c>
      <c r="C956" s="29" t="s">
        <v>6572</v>
      </c>
      <c r="D956" s="33">
        <v>2.9216332999999999</v>
      </c>
      <c r="E956" s="33">
        <v>-75.276527799999997</v>
      </c>
      <c r="F956" s="29" t="s">
        <v>8090</v>
      </c>
      <c r="G956" s="29" t="s">
        <v>8090</v>
      </c>
      <c r="H956" s="35" t="s">
        <v>8091</v>
      </c>
      <c r="I956" s="29"/>
      <c r="J956" s="29" t="s">
        <v>9231</v>
      </c>
      <c r="K956" s="37">
        <v>0</v>
      </c>
    </row>
    <row r="957" spans="1:11">
      <c r="A957" s="31">
        <v>957</v>
      </c>
      <c r="B957" s="29" t="s">
        <v>2958</v>
      </c>
      <c r="C957" s="29" t="s">
        <v>329</v>
      </c>
      <c r="D957" s="33">
        <v>1.7689805999999999</v>
      </c>
      <c r="E957" s="33">
        <v>-76.018733299999994</v>
      </c>
      <c r="F957" s="29" t="s">
        <v>8090</v>
      </c>
      <c r="G957" s="29" t="s">
        <v>8090</v>
      </c>
      <c r="H957" s="35" t="s">
        <v>8091</v>
      </c>
      <c r="I957" s="29"/>
      <c r="J957" s="29"/>
      <c r="K957" s="37">
        <v>1</v>
      </c>
    </row>
    <row r="958" spans="1:11">
      <c r="A958" s="31">
        <v>958</v>
      </c>
      <c r="B958" s="29" t="s">
        <v>2958</v>
      </c>
      <c r="C958" s="29" t="s">
        <v>329</v>
      </c>
      <c r="D958" s="33">
        <v>1.7689805999999999</v>
      </c>
      <c r="E958" s="33">
        <v>-76.018733299999994</v>
      </c>
      <c r="F958" s="29" t="s">
        <v>8090</v>
      </c>
      <c r="G958" s="29" t="s">
        <v>8090</v>
      </c>
      <c r="H958" s="35" t="s">
        <v>8091</v>
      </c>
      <c r="I958" s="29"/>
      <c r="J958" s="29"/>
      <c r="K958" s="37">
        <v>1</v>
      </c>
    </row>
    <row r="959" spans="1:11">
      <c r="A959" s="31">
        <v>959</v>
      </c>
      <c r="B959" s="29" t="s">
        <v>2958</v>
      </c>
      <c r="C959" s="29" t="s">
        <v>329</v>
      </c>
      <c r="D959" s="33">
        <v>1.7689805999999999</v>
      </c>
      <c r="E959" s="33">
        <v>-76.018733299999994</v>
      </c>
      <c r="F959" s="29" t="s">
        <v>8090</v>
      </c>
      <c r="G959" s="29" t="s">
        <v>8090</v>
      </c>
      <c r="H959" s="35" t="s">
        <v>8091</v>
      </c>
      <c r="I959" s="29"/>
      <c r="J959" s="29"/>
      <c r="K959" s="37">
        <v>1</v>
      </c>
    </row>
    <row r="960" spans="1:11">
      <c r="A960" s="31">
        <v>960</v>
      </c>
      <c r="B960" s="29" t="s">
        <v>1993</v>
      </c>
      <c r="C960" s="29" t="s">
        <v>1994</v>
      </c>
      <c r="D960" s="33">
        <v>1.2136917</v>
      </c>
      <c r="E960" s="33">
        <v>-77.2726361</v>
      </c>
      <c r="F960" s="29" t="s">
        <v>8090</v>
      </c>
      <c r="G960" s="29" t="s">
        <v>8090</v>
      </c>
      <c r="H960" s="35" t="s">
        <v>8091</v>
      </c>
      <c r="I960" s="29"/>
      <c r="J960" s="29"/>
      <c r="K960" s="37">
        <v>1</v>
      </c>
    </row>
    <row r="961" spans="1:11">
      <c r="A961" s="31">
        <v>961</v>
      </c>
      <c r="B961" s="29" t="s">
        <v>8999</v>
      </c>
      <c r="C961" s="29" t="s">
        <v>9000</v>
      </c>
      <c r="D961" s="33">
        <v>1.12957</v>
      </c>
      <c r="E961" s="33">
        <v>-77.149439999999998</v>
      </c>
      <c r="F961" s="29" t="s">
        <v>8090</v>
      </c>
      <c r="G961" s="29" t="s">
        <v>8090</v>
      </c>
      <c r="H961" s="35" t="s">
        <v>8091</v>
      </c>
      <c r="I961" s="29"/>
      <c r="J961" s="29"/>
      <c r="K961" s="37">
        <v>1</v>
      </c>
    </row>
    <row r="962" spans="1:11">
      <c r="A962" s="31">
        <v>962</v>
      </c>
      <c r="B962" s="29" t="s">
        <v>8999</v>
      </c>
      <c r="C962" s="29" t="s">
        <v>9000</v>
      </c>
      <c r="D962" s="33">
        <v>1.12957</v>
      </c>
      <c r="E962" s="33">
        <v>-77.149439999999998</v>
      </c>
      <c r="F962" s="29" t="s">
        <v>8090</v>
      </c>
      <c r="G962" s="29" t="s">
        <v>8090</v>
      </c>
      <c r="H962" s="35" t="s">
        <v>8091</v>
      </c>
      <c r="I962" s="29"/>
      <c r="J962" s="29"/>
      <c r="K962" s="37">
        <v>1</v>
      </c>
    </row>
    <row r="963" spans="1:11">
      <c r="A963" s="31">
        <v>963</v>
      </c>
      <c r="B963" s="29" t="s">
        <v>1993</v>
      </c>
      <c r="C963" s="29" t="s">
        <v>1994</v>
      </c>
      <c r="D963" s="33">
        <v>1.2136917</v>
      </c>
      <c r="E963" s="33">
        <v>-77.2726361</v>
      </c>
      <c r="F963" s="29" t="s">
        <v>8090</v>
      </c>
      <c r="G963" s="29" t="s">
        <v>8090</v>
      </c>
      <c r="H963" s="35" t="s">
        <v>8091</v>
      </c>
      <c r="I963" s="29"/>
      <c r="J963" s="29"/>
      <c r="K963" s="37">
        <v>1</v>
      </c>
    </row>
    <row r="964" spans="1:11">
      <c r="A964" s="31">
        <v>964</v>
      </c>
      <c r="B964" s="29" t="s">
        <v>1993</v>
      </c>
      <c r="C964" s="29" t="s">
        <v>1994</v>
      </c>
      <c r="D964" s="33">
        <v>1.2136917</v>
      </c>
      <c r="E964" s="33">
        <v>-77.2726361</v>
      </c>
      <c r="F964" s="29" t="s">
        <v>8090</v>
      </c>
      <c r="G964" s="29" t="s">
        <v>8090</v>
      </c>
      <c r="H964" s="35" t="s">
        <v>8091</v>
      </c>
      <c r="I964" s="29"/>
      <c r="J964" s="29"/>
      <c r="K964" s="37">
        <v>1</v>
      </c>
    </row>
    <row r="965" spans="1:11">
      <c r="A965" s="31">
        <v>965</v>
      </c>
      <c r="B965" s="29" t="s">
        <v>6591</v>
      </c>
      <c r="C965" s="29" t="s">
        <v>6592</v>
      </c>
      <c r="D965" s="33">
        <v>1.2833333</v>
      </c>
      <c r="E965" s="33">
        <v>-78.233333299999998</v>
      </c>
      <c r="F965" s="29" t="s">
        <v>8090</v>
      </c>
      <c r="G965" s="29" t="s">
        <v>8090</v>
      </c>
      <c r="H965" s="35" t="s">
        <v>8091</v>
      </c>
      <c r="I965" s="29"/>
      <c r="J965" s="29" t="s">
        <v>9232</v>
      </c>
      <c r="K965" s="37">
        <v>0</v>
      </c>
    </row>
    <row r="966" spans="1:11">
      <c r="A966" s="31">
        <v>966</v>
      </c>
      <c r="B966" s="29" t="s">
        <v>801</v>
      </c>
      <c r="C966" s="29" t="s">
        <v>422</v>
      </c>
      <c r="D966" s="33">
        <v>4.6666667000000004</v>
      </c>
      <c r="E966" s="33">
        <v>-75.5</v>
      </c>
      <c r="F966" s="29" t="s">
        <v>8090</v>
      </c>
      <c r="G966" s="29" t="s">
        <v>8090</v>
      </c>
      <c r="H966" s="35" t="s">
        <v>8091</v>
      </c>
      <c r="I966" s="29"/>
      <c r="J966" s="29"/>
      <c r="K966" s="37">
        <v>1</v>
      </c>
    </row>
    <row r="967" spans="1:11">
      <c r="A967" s="31">
        <v>967</v>
      </c>
      <c r="B967" s="29" t="s">
        <v>801</v>
      </c>
      <c r="C967" s="29" t="s">
        <v>422</v>
      </c>
      <c r="D967" s="33">
        <v>4.6666667000000004</v>
      </c>
      <c r="E967" s="33">
        <v>-75.5</v>
      </c>
      <c r="F967" s="29" t="s">
        <v>8090</v>
      </c>
      <c r="G967" s="29" t="s">
        <v>8090</v>
      </c>
      <c r="H967" s="35" t="s">
        <v>8091</v>
      </c>
      <c r="I967" s="29"/>
      <c r="J967" s="29"/>
      <c r="K967" s="37">
        <v>1</v>
      </c>
    </row>
    <row r="968" spans="1:11">
      <c r="A968" s="31">
        <v>968</v>
      </c>
      <c r="B968" s="29" t="s">
        <v>801</v>
      </c>
      <c r="C968" s="29" t="s">
        <v>422</v>
      </c>
      <c r="D968" s="33">
        <v>4.6666667000000004</v>
      </c>
      <c r="E968" s="33">
        <v>-75.5</v>
      </c>
      <c r="F968" s="29" t="s">
        <v>8090</v>
      </c>
      <c r="G968" s="29" t="s">
        <v>8090</v>
      </c>
      <c r="H968" s="35" t="s">
        <v>8091</v>
      </c>
      <c r="I968" s="29"/>
      <c r="J968" s="29"/>
      <c r="K968" s="37">
        <v>1</v>
      </c>
    </row>
    <row r="969" spans="1:11">
      <c r="A969" s="31">
        <v>969</v>
      </c>
      <c r="B969" s="29" t="s">
        <v>8296</v>
      </c>
      <c r="C969" s="29" t="s">
        <v>8297</v>
      </c>
      <c r="D969" s="33">
        <v>4.6857300000000004</v>
      </c>
      <c r="E969" s="33">
        <v>-75.578029999999998</v>
      </c>
      <c r="F969" s="29" t="s">
        <v>8090</v>
      </c>
      <c r="G969" s="29" t="s">
        <v>8090</v>
      </c>
      <c r="H969" s="35" t="s">
        <v>8091</v>
      </c>
      <c r="I969" s="29"/>
      <c r="J969" s="29"/>
      <c r="K969" s="37">
        <v>1</v>
      </c>
    </row>
    <row r="970" spans="1:11">
      <c r="A970" s="31">
        <v>970</v>
      </c>
      <c r="B970" s="29" t="s">
        <v>8296</v>
      </c>
      <c r="C970" s="29" t="s">
        <v>8297</v>
      </c>
      <c r="D970" s="33">
        <v>4.6857300000000004</v>
      </c>
      <c r="E970" s="33">
        <v>-75.578029999999998</v>
      </c>
      <c r="F970" s="29" t="s">
        <v>8090</v>
      </c>
      <c r="G970" s="29" t="s">
        <v>8090</v>
      </c>
      <c r="H970" s="35" t="s">
        <v>8091</v>
      </c>
      <c r="I970" s="29"/>
      <c r="J970" s="29"/>
      <c r="K970" s="37">
        <v>1</v>
      </c>
    </row>
    <row r="971" spans="1:11">
      <c r="A971" s="31">
        <v>971</v>
      </c>
      <c r="B971" s="29" t="s">
        <v>8296</v>
      </c>
      <c r="C971" s="29" t="s">
        <v>8297</v>
      </c>
      <c r="D971" s="33">
        <v>4.6857300000000004</v>
      </c>
      <c r="E971" s="33">
        <v>-75.578029999999998</v>
      </c>
      <c r="F971" s="29" t="s">
        <v>8090</v>
      </c>
      <c r="G971" s="29" t="s">
        <v>8090</v>
      </c>
      <c r="H971" s="35" t="s">
        <v>8091</v>
      </c>
      <c r="I971" s="29"/>
      <c r="J971" s="29"/>
      <c r="K971" s="37">
        <v>1</v>
      </c>
    </row>
    <row r="972" spans="1:11">
      <c r="A972" s="31">
        <v>972</v>
      </c>
      <c r="B972" s="29" t="s">
        <v>8296</v>
      </c>
      <c r="C972" s="29" t="s">
        <v>8297</v>
      </c>
      <c r="D972" s="33">
        <v>4.6857300000000004</v>
      </c>
      <c r="E972" s="33">
        <v>-75.578029999999998</v>
      </c>
      <c r="F972" s="29" t="s">
        <v>8090</v>
      </c>
      <c r="G972" s="29" t="s">
        <v>8090</v>
      </c>
      <c r="H972" s="35" t="s">
        <v>8091</v>
      </c>
      <c r="I972" s="29"/>
      <c r="J972" s="29"/>
      <c r="K972" s="37">
        <v>1</v>
      </c>
    </row>
    <row r="973" spans="1:11">
      <c r="A973" s="31">
        <v>973</v>
      </c>
      <c r="B973" s="29" t="s">
        <v>8296</v>
      </c>
      <c r="C973" s="29" t="s">
        <v>8297</v>
      </c>
      <c r="D973" s="33">
        <v>4.6857300000000004</v>
      </c>
      <c r="E973" s="33">
        <v>-75.578029999999998</v>
      </c>
      <c r="F973" s="29" t="s">
        <v>8090</v>
      </c>
      <c r="G973" s="29" t="s">
        <v>8090</v>
      </c>
      <c r="H973" s="35" t="s">
        <v>8091</v>
      </c>
      <c r="I973" s="29"/>
      <c r="J973" s="29"/>
      <c r="K973" s="37">
        <v>1</v>
      </c>
    </row>
    <row r="974" spans="1:11">
      <c r="A974" s="31">
        <v>974</v>
      </c>
      <c r="B974" s="29" t="s">
        <v>2079</v>
      </c>
      <c r="C974" s="29" t="s">
        <v>2080</v>
      </c>
      <c r="D974" s="33">
        <v>4.6414999999999997</v>
      </c>
      <c r="E974" s="33">
        <v>-75.486777799999999</v>
      </c>
      <c r="F974" s="29" t="s">
        <v>8090</v>
      </c>
      <c r="G974" s="29" t="s">
        <v>8090</v>
      </c>
      <c r="H974" s="35" t="s">
        <v>8091</v>
      </c>
      <c r="I974" s="29"/>
      <c r="J974" s="29"/>
      <c r="K974" s="37">
        <v>1</v>
      </c>
    </row>
    <row r="975" spans="1:11">
      <c r="A975" s="31">
        <v>975</v>
      </c>
      <c r="B975" s="29" t="s">
        <v>9045</v>
      </c>
      <c r="C975" s="29" t="s">
        <v>9046</v>
      </c>
      <c r="D975" s="33">
        <v>5.1135799999999998</v>
      </c>
      <c r="E975" s="33">
        <v>-76.058359999999993</v>
      </c>
      <c r="F975" s="29" t="s">
        <v>8090</v>
      </c>
      <c r="G975" s="29" t="s">
        <v>8090</v>
      </c>
      <c r="H975" s="35" t="s">
        <v>8091</v>
      </c>
      <c r="I975" s="29"/>
      <c r="J975" s="29"/>
      <c r="K975" s="37">
        <v>1</v>
      </c>
    </row>
    <row r="976" spans="1:11">
      <c r="A976" s="31">
        <v>976</v>
      </c>
      <c r="B976" s="29" t="s">
        <v>8163</v>
      </c>
      <c r="C976" s="29" t="s">
        <v>8164</v>
      </c>
      <c r="D976" s="33">
        <v>4.72879</v>
      </c>
      <c r="E976" s="33">
        <v>-75.5779</v>
      </c>
      <c r="F976" s="29" t="s">
        <v>8090</v>
      </c>
      <c r="G976" s="29" t="s">
        <v>8090</v>
      </c>
      <c r="H976" s="35" t="s">
        <v>8091</v>
      </c>
      <c r="I976" s="29"/>
      <c r="J976" s="29"/>
      <c r="K976" s="37">
        <v>1</v>
      </c>
    </row>
    <row r="977" spans="1:11">
      <c r="A977" s="31">
        <v>977</v>
      </c>
      <c r="B977" s="29" t="s">
        <v>8163</v>
      </c>
      <c r="C977" s="29" t="s">
        <v>8164</v>
      </c>
      <c r="D977" s="33">
        <v>4.72879</v>
      </c>
      <c r="E977" s="33">
        <v>-75.5779</v>
      </c>
      <c r="F977" s="29" t="s">
        <v>8090</v>
      </c>
      <c r="G977" s="29" t="s">
        <v>8090</v>
      </c>
      <c r="H977" s="35" t="s">
        <v>8091</v>
      </c>
      <c r="I977" s="29"/>
      <c r="J977" s="29"/>
      <c r="K977" s="37">
        <v>1</v>
      </c>
    </row>
    <row r="978" spans="1:11">
      <c r="A978" s="31">
        <v>978</v>
      </c>
      <c r="B978" s="29" t="s">
        <v>8701</v>
      </c>
      <c r="C978" s="29" t="s">
        <v>8702</v>
      </c>
      <c r="D978" s="33">
        <v>5.1244243999999997</v>
      </c>
      <c r="E978" s="33">
        <v>-76.041665399999999</v>
      </c>
      <c r="F978" s="29" t="s">
        <v>8090</v>
      </c>
      <c r="G978" s="29" t="s">
        <v>8090</v>
      </c>
      <c r="H978" s="35" t="s">
        <v>8091</v>
      </c>
      <c r="I978" s="29"/>
      <c r="J978" s="29"/>
      <c r="K978" s="37">
        <v>1</v>
      </c>
    </row>
    <row r="979" spans="1:11">
      <c r="A979" s="31">
        <v>979</v>
      </c>
      <c r="B979" s="29" t="s">
        <v>8163</v>
      </c>
      <c r="C979" s="29" t="s">
        <v>8164</v>
      </c>
      <c r="D979" s="33">
        <v>4.72879</v>
      </c>
      <c r="E979" s="33">
        <v>-75.5779</v>
      </c>
      <c r="F979" s="29" t="s">
        <v>8090</v>
      </c>
      <c r="G979" s="29" t="s">
        <v>8090</v>
      </c>
      <c r="H979" s="35" t="s">
        <v>8091</v>
      </c>
      <c r="I979" s="29"/>
      <c r="J979" s="29"/>
      <c r="K979" s="37">
        <v>1</v>
      </c>
    </row>
    <row r="980" spans="1:11">
      <c r="A980" s="31">
        <v>980</v>
      </c>
      <c r="B980" s="29" t="s">
        <v>8485</v>
      </c>
      <c r="C980" s="29" t="s">
        <v>8486</v>
      </c>
      <c r="D980" s="33">
        <v>6.1998800000000003</v>
      </c>
      <c r="E980" s="33">
        <v>-72.833399999999997</v>
      </c>
      <c r="F980" s="29" t="s">
        <v>8090</v>
      </c>
      <c r="G980" s="29" t="s">
        <v>8090</v>
      </c>
      <c r="H980" s="35" t="s">
        <v>8091</v>
      </c>
      <c r="I980" s="29"/>
      <c r="J980" s="29"/>
      <c r="K980" s="37">
        <v>1</v>
      </c>
    </row>
    <row r="981" spans="1:11">
      <c r="A981" s="31">
        <v>981</v>
      </c>
      <c r="B981" s="29" t="s">
        <v>9233</v>
      </c>
      <c r="C981" s="29" t="s">
        <v>9234</v>
      </c>
      <c r="D981" s="33">
        <v>7.0823299999999998</v>
      </c>
      <c r="E981" s="33">
        <v>-72.994669999999999</v>
      </c>
      <c r="F981" s="29" t="s">
        <v>8090</v>
      </c>
      <c r="G981" s="29" t="s">
        <v>8090</v>
      </c>
      <c r="H981" s="35" t="s">
        <v>8091</v>
      </c>
      <c r="I981" s="29"/>
      <c r="J981" s="29" t="s">
        <v>9235</v>
      </c>
      <c r="K981" s="37">
        <v>0</v>
      </c>
    </row>
    <row r="982" spans="1:11">
      <c r="A982" s="31">
        <v>982</v>
      </c>
      <c r="B982" s="29" t="s">
        <v>8493</v>
      </c>
      <c r="C982" s="29" t="s">
        <v>8494</v>
      </c>
      <c r="D982" s="33">
        <v>4.5803900000000004</v>
      </c>
      <c r="E982" s="33">
        <v>-75.375399999999999</v>
      </c>
      <c r="F982" s="29" t="s">
        <v>8090</v>
      </c>
      <c r="G982" s="29" t="s">
        <v>8090</v>
      </c>
      <c r="H982" s="35" t="s">
        <v>8091</v>
      </c>
      <c r="I982" s="29"/>
      <c r="J982" s="29"/>
      <c r="K982" s="37">
        <v>1</v>
      </c>
    </row>
    <row r="983" spans="1:11">
      <c r="A983" s="31">
        <v>983</v>
      </c>
      <c r="B983" s="29" t="s">
        <v>8493</v>
      </c>
      <c r="C983" s="29" t="s">
        <v>8494</v>
      </c>
      <c r="D983" s="33">
        <v>4.5803900000000004</v>
      </c>
      <c r="E983" s="33">
        <v>-75.375399999999999</v>
      </c>
      <c r="F983" s="29" t="s">
        <v>8090</v>
      </c>
      <c r="G983" s="29" t="s">
        <v>8090</v>
      </c>
      <c r="H983" s="35" t="s">
        <v>8091</v>
      </c>
      <c r="I983" s="29"/>
      <c r="J983" s="29"/>
      <c r="K983" s="37">
        <v>1</v>
      </c>
    </row>
    <row r="984" spans="1:11">
      <c r="A984" s="31">
        <v>984</v>
      </c>
      <c r="B984" s="29" t="s">
        <v>8160</v>
      </c>
      <c r="C984" s="29" t="s">
        <v>8161</v>
      </c>
      <c r="D984" s="33">
        <v>4.5583499999999999</v>
      </c>
      <c r="E984" s="33">
        <v>-75.320210000000003</v>
      </c>
      <c r="F984" s="29" t="s">
        <v>8090</v>
      </c>
      <c r="G984" s="29" t="s">
        <v>8090</v>
      </c>
      <c r="H984" s="35" t="s">
        <v>8091</v>
      </c>
      <c r="I984" s="29"/>
      <c r="J984" s="29"/>
      <c r="K984" s="37">
        <v>1</v>
      </c>
    </row>
    <row r="985" spans="1:11">
      <c r="A985" s="31">
        <v>985</v>
      </c>
      <c r="B985" s="29" t="s">
        <v>8742</v>
      </c>
      <c r="C985" s="29" t="s">
        <v>8743</v>
      </c>
      <c r="D985" s="33">
        <v>3.34415</v>
      </c>
      <c r="E985" s="33">
        <v>-76.695809999999994</v>
      </c>
      <c r="F985" s="29" t="s">
        <v>8090</v>
      </c>
      <c r="G985" s="29" t="s">
        <v>8090</v>
      </c>
      <c r="H985" s="35" t="s">
        <v>8091</v>
      </c>
      <c r="I985" s="29"/>
      <c r="J985" s="29"/>
      <c r="K985" s="37">
        <v>1</v>
      </c>
    </row>
    <row r="986" spans="1:11">
      <c r="A986" s="31">
        <v>986</v>
      </c>
      <c r="B986" s="29" t="s">
        <v>6680</v>
      </c>
      <c r="C986" s="29" t="s">
        <v>6681</v>
      </c>
      <c r="D986" s="33">
        <v>3.8401944000000001</v>
      </c>
      <c r="E986" s="33">
        <v>-77.194722200000001</v>
      </c>
      <c r="F986" s="29" t="s">
        <v>8090</v>
      </c>
      <c r="G986" s="29" t="s">
        <v>8090</v>
      </c>
      <c r="H986" s="35" t="s">
        <v>8091</v>
      </c>
      <c r="I986" s="29"/>
      <c r="J986" s="29" t="s">
        <v>9236</v>
      </c>
      <c r="K986" s="37">
        <v>0</v>
      </c>
    </row>
    <row r="987" spans="1:11">
      <c r="A987" s="31">
        <v>987</v>
      </c>
      <c r="B987" s="29" t="s">
        <v>8398</v>
      </c>
      <c r="C987" s="29" t="s">
        <v>8399</v>
      </c>
      <c r="D987" s="33">
        <v>6.4375799999999996</v>
      </c>
      <c r="E987" s="33">
        <v>-76.115899999999996</v>
      </c>
      <c r="F987" s="29" t="s">
        <v>8090</v>
      </c>
      <c r="G987" s="29" t="s">
        <v>8090</v>
      </c>
      <c r="H987" s="35" t="s">
        <v>8091</v>
      </c>
      <c r="I987" s="29"/>
      <c r="J987" s="29"/>
      <c r="K987" s="37">
        <v>1</v>
      </c>
    </row>
    <row r="988" spans="1:11">
      <c r="A988" s="31">
        <v>988</v>
      </c>
      <c r="B988" s="29" t="s">
        <v>8398</v>
      </c>
      <c r="C988" s="29" t="s">
        <v>8399</v>
      </c>
      <c r="D988" s="33">
        <v>6.4375799999999996</v>
      </c>
      <c r="E988" s="33">
        <v>-76.115899999999996</v>
      </c>
      <c r="F988" s="29" t="s">
        <v>8090</v>
      </c>
      <c r="G988" s="29" t="s">
        <v>8090</v>
      </c>
      <c r="H988" s="35" t="s">
        <v>8091</v>
      </c>
      <c r="I988" s="29"/>
      <c r="J988" s="29"/>
      <c r="K988" s="37">
        <v>1</v>
      </c>
    </row>
    <row r="989" spans="1:11">
      <c r="A989" s="31">
        <v>989</v>
      </c>
      <c r="B989" s="29" t="s">
        <v>9110</v>
      </c>
      <c r="C989" s="29" t="s">
        <v>9111</v>
      </c>
      <c r="D989" s="33">
        <v>6.4988099999999998</v>
      </c>
      <c r="E989" s="33">
        <v>-75.636369999999999</v>
      </c>
      <c r="F989" s="29" t="s">
        <v>8090</v>
      </c>
      <c r="G989" s="29" t="s">
        <v>8090</v>
      </c>
      <c r="H989" s="35" t="s">
        <v>8091</v>
      </c>
      <c r="I989" s="29"/>
      <c r="J989" s="29"/>
      <c r="K989" s="37">
        <v>1</v>
      </c>
    </row>
    <row r="990" spans="1:11">
      <c r="A990" s="31">
        <v>990</v>
      </c>
      <c r="B990" s="29" t="s">
        <v>9110</v>
      </c>
      <c r="C990" s="29" t="s">
        <v>9111</v>
      </c>
      <c r="D990" s="33">
        <v>6.4988099999999998</v>
      </c>
      <c r="E990" s="33">
        <v>-75.636369999999999</v>
      </c>
      <c r="F990" s="29" t="s">
        <v>8090</v>
      </c>
      <c r="G990" s="29" t="s">
        <v>8090</v>
      </c>
      <c r="H990" s="35" t="s">
        <v>8091</v>
      </c>
      <c r="I990" s="29"/>
      <c r="J990" s="29"/>
      <c r="K990" s="37">
        <v>1</v>
      </c>
    </row>
    <row r="991" spans="1:11">
      <c r="A991" s="31">
        <v>991</v>
      </c>
      <c r="B991" s="29" t="s">
        <v>9110</v>
      </c>
      <c r="C991" s="29" t="s">
        <v>9111</v>
      </c>
      <c r="D991" s="33">
        <v>6.4988099999999998</v>
      </c>
      <c r="E991" s="33">
        <v>-75.636369999999999</v>
      </c>
      <c r="F991" s="29" t="s">
        <v>8090</v>
      </c>
      <c r="G991" s="29" t="s">
        <v>8090</v>
      </c>
      <c r="H991" s="35" t="s">
        <v>8091</v>
      </c>
      <c r="I991" s="29"/>
      <c r="J991" s="29"/>
      <c r="K991" s="37">
        <v>1</v>
      </c>
    </row>
    <row r="992" spans="1:11">
      <c r="A992" s="31">
        <v>992</v>
      </c>
      <c r="B992" s="29" t="s">
        <v>9110</v>
      </c>
      <c r="C992" s="29" t="s">
        <v>9111</v>
      </c>
      <c r="D992" s="33">
        <v>6.4988099999999998</v>
      </c>
      <c r="E992" s="33">
        <v>-75.636369999999999</v>
      </c>
      <c r="F992" s="29" t="s">
        <v>8090</v>
      </c>
      <c r="G992" s="29" t="s">
        <v>8090</v>
      </c>
      <c r="H992" s="35" t="s">
        <v>8091</v>
      </c>
      <c r="I992" s="29"/>
      <c r="J992" s="29"/>
      <c r="K992" s="37">
        <v>1</v>
      </c>
    </row>
    <row r="993" spans="1:11">
      <c r="A993" s="31">
        <v>993</v>
      </c>
      <c r="B993" s="29" t="s">
        <v>9114</v>
      </c>
      <c r="C993" s="29" t="s">
        <v>9115</v>
      </c>
      <c r="D993" s="33">
        <v>6.6219666669999997</v>
      </c>
      <c r="E993" s="33">
        <v>-75.644949999999994</v>
      </c>
      <c r="F993" s="29" t="s">
        <v>8090</v>
      </c>
      <c r="G993" s="29" t="s">
        <v>8090</v>
      </c>
      <c r="H993" s="35" t="s">
        <v>8091</v>
      </c>
      <c r="I993" s="29"/>
      <c r="J993" s="29"/>
      <c r="K993" s="37">
        <v>1</v>
      </c>
    </row>
    <row r="994" spans="1:11">
      <c r="A994" s="31">
        <v>994</v>
      </c>
      <c r="B994" s="29" t="s">
        <v>9237</v>
      </c>
      <c r="C994" s="29" t="s">
        <v>9238</v>
      </c>
      <c r="D994" s="33">
        <v>5.6657700000000002</v>
      </c>
      <c r="E994" s="33">
        <v>-73.365380000000002</v>
      </c>
      <c r="F994" s="29" t="s">
        <v>8090</v>
      </c>
      <c r="G994" s="29" t="s">
        <v>8090</v>
      </c>
      <c r="H994" s="35" t="s">
        <v>8091</v>
      </c>
      <c r="I994" s="29"/>
      <c r="J994" s="29" t="s">
        <v>9239</v>
      </c>
      <c r="K994" s="37">
        <v>0</v>
      </c>
    </row>
    <row r="995" spans="1:11">
      <c r="A995" s="31">
        <v>995</v>
      </c>
      <c r="B995" s="29" t="s">
        <v>9237</v>
      </c>
      <c r="C995" s="29" t="s">
        <v>9238</v>
      </c>
      <c r="D995" s="33">
        <v>5.6657700000000002</v>
      </c>
      <c r="E995" s="33">
        <v>-73.365380000000002</v>
      </c>
      <c r="F995" s="29" t="s">
        <v>8090</v>
      </c>
      <c r="G995" s="29" t="s">
        <v>8090</v>
      </c>
      <c r="H995" s="35" t="s">
        <v>8091</v>
      </c>
      <c r="I995" s="29"/>
      <c r="J995" s="29"/>
      <c r="K995" s="37">
        <v>1</v>
      </c>
    </row>
    <row r="996" spans="1:11">
      <c r="A996" s="31">
        <v>996</v>
      </c>
      <c r="B996" s="29" t="s">
        <v>8748</v>
      </c>
      <c r="C996" s="29" t="s">
        <v>8749</v>
      </c>
      <c r="D996" s="33">
        <v>5.42103</v>
      </c>
      <c r="E996" s="33">
        <v>-73.544179999999997</v>
      </c>
      <c r="F996" s="29" t="s">
        <v>8090</v>
      </c>
      <c r="G996" s="29" t="s">
        <v>8090</v>
      </c>
      <c r="H996" s="35" t="s">
        <v>8091</v>
      </c>
      <c r="I996" s="29"/>
      <c r="J996" s="29"/>
      <c r="K996" s="37">
        <v>1</v>
      </c>
    </row>
    <row r="997" spans="1:11">
      <c r="A997" s="31">
        <v>997</v>
      </c>
      <c r="B997" s="29" t="s">
        <v>9240</v>
      </c>
      <c r="C997" s="29" t="s">
        <v>9241</v>
      </c>
      <c r="D997" s="33">
        <v>5.9510500000000004</v>
      </c>
      <c r="E997" s="33">
        <v>-73.118390000000005</v>
      </c>
      <c r="F997" s="29" t="s">
        <v>8090</v>
      </c>
      <c r="G997" s="29" t="s">
        <v>8090</v>
      </c>
      <c r="H997" s="35" t="s">
        <v>8091</v>
      </c>
      <c r="I997" s="29"/>
      <c r="J997" s="29" t="s">
        <v>9242</v>
      </c>
      <c r="K997" s="37">
        <v>0</v>
      </c>
    </row>
    <row r="998" spans="1:11">
      <c r="A998" s="31">
        <v>998</v>
      </c>
      <c r="B998" s="29" t="s">
        <v>9243</v>
      </c>
      <c r="C998" s="29" t="s">
        <v>9244</v>
      </c>
      <c r="D998" s="33">
        <v>5.7177800000000003</v>
      </c>
      <c r="E998" s="33">
        <v>-73.458420000000004</v>
      </c>
      <c r="F998" s="29" t="s">
        <v>8090</v>
      </c>
      <c r="G998" s="29" t="s">
        <v>8090</v>
      </c>
      <c r="H998" s="35" t="s">
        <v>8091</v>
      </c>
      <c r="I998" s="29"/>
      <c r="J998" s="29" t="s">
        <v>9245</v>
      </c>
      <c r="K998" s="37">
        <v>0</v>
      </c>
    </row>
    <row r="999" spans="1:11">
      <c r="A999" s="31">
        <v>999</v>
      </c>
      <c r="B999" s="29" t="s">
        <v>6740</v>
      </c>
      <c r="C999" s="29" t="s">
        <v>6741</v>
      </c>
      <c r="D999" s="33">
        <v>4.9268944000000001</v>
      </c>
      <c r="E999" s="33">
        <v>-75.416205599999998</v>
      </c>
      <c r="F999" s="29" t="s">
        <v>8090</v>
      </c>
      <c r="G999" s="29" t="s">
        <v>8090</v>
      </c>
      <c r="H999" s="35" t="s">
        <v>8091</v>
      </c>
      <c r="I999" s="29"/>
      <c r="J999" s="29" t="s">
        <v>9246</v>
      </c>
      <c r="K999" s="37">
        <v>0</v>
      </c>
    </row>
    <row r="1000" spans="1:11">
      <c r="A1000" s="31">
        <v>1000</v>
      </c>
      <c r="B1000" s="29" t="s">
        <v>8408</v>
      </c>
      <c r="C1000" s="29" t="s">
        <v>8409</v>
      </c>
      <c r="D1000" s="33">
        <v>4.9722</v>
      </c>
      <c r="E1000" s="33">
        <v>-75.380589999999998</v>
      </c>
      <c r="F1000" s="29" t="s">
        <v>8090</v>
      </c>
      <c r="G1000" s="29" t="s">
        <v>8090</v>
      </c>
      <c r="H1000" s="35" t="s">
        <v>8091</v>
      </c>
      <c r="I1000" s="29"/>
      <c r="J1000" s="29"/>
      <c r="K1000" s="37">
        <v>1</v>
      </c>
    </row>
    <row r="1001" spans="1:11">
      <c r="A1001" s="31">
        <v>1001</v>
      </c>
      <c r="B1001" s="29" t="s">
        <v>8408</v>
      </c>
      <c r="C1001" s="29" t="s">
        <v>8409</v>
      </c>
      <c r="D1001" s="33">
        <v>4.9722</v>
      </c>
      <c r="E1001" s="33">
        <v>-75.380589999999998</v>
      </c>
      <c r="F1001" s="29" t="s">
        <v>8090</v>
      </c>
      <c r="G1001" s="29" t="s">
        <v>8090</v>
      </c>
      <c r="H1001" s="35" t="s">
        <v>8091</v>
      </c>
      <c r="I1001" s="29"/>
      <c r="J1001" s="29"/>
      <c r="K1001" s="37">
        <v>1</v>
      </c>
    </row>
    <row r="1002" spans="1:11">
      <c r="A1002" s="31">
        <v>1002</v>
      </c>
      <c r="B1002" s="29" t="s">
        <v>8412</v>
      </c>
      <c r="C1002" s="29" t="s">
        <v>8413</v>
      </c>
      <c r="D1002" s="33">
        <v>5.3832899999999997</v>
      </c>
      <c r="E1002" s="33">
        <v>-75.353309999999993</v>
      </c>
      <c r="F1002" s="29" t="s">
        <v>8090</v>
      </c>
      <c r="G1002" s="29" t="s">
        <v>8090</v>
      </c>
      <c r="H1002" s="35" t="s">
        <v>8091</v>
      </c>
      <c r="I1002" s="29"/>
      <c r="J1002" s="29"/>
      <c r="K1002" s="37">
        <v>1</v>
      </c>
    </row>
    <row r="1003" spans="1:11">
      <c r="A1003" s="31">
        <v>1003</v>
      </c>
      <c r="B1003" s="29" t="s">
        <v>1832</v>
      </c>
      <c r="C1003" s="29" t="s">
        <v>1833</v>
      </c>
      <c r="D1003" s="33">
        <v>5.0627500000000003</v>
      </c>
      <c r="E1003" s="33">
        <v>-75.382388899999995</v>
      </c>
      <c r="F1003" s="29" t="s">
        <v>8090</v>
      </c>
      <c r="G1003" s="29" t="s">
        <v>8090</v>
      </c>
      <c r="H1003" s="35" t="s">
        <v>8091</v>
      </c>
      <c r="I1003" s="29"/>
      <c r="J1003" s="29"/>
      <c r="K1003" s="37">
        <v>1</v>
      </c>
    </row>
    <row r="1004" spans="1:11">
      <c r="A1004" s="31">
        <v>1004</v>
      </c>
      <c r="B1004" s="29" t="s">
        <v>8416</v>
      </c>
      <c r="C1004" s="29" t="s">
        <v>8417</v>
      </c>
      <c r="D1004" s="33">
        <v>5.3704499999999999</v>
      </c>
      <c r="E1004" s="33">
        <v>-75.385949999999994</v>
      </c>
      <c r="F1004" s="29" t="s">
        <v>8090</v>
      </c>
      <c r="G1004" s="29" t="s">
        <v>8090</v>
      </c>
      <c r="H1004" s="35" t="s">
        <v>8091</v>
      </c>
      <c r="I1004" s="29"/>
      <c r="J1004" s="29"/>
      <c r="K1004" s="37">
        <v>1</v>
      </c>
    </row>
    <row r="1005" spans="1:11">
      <c r="A1005" s="31">
        <v>1005</v>
      </c>
      <c r="B1005" s="29" t="s">
        <v>6767</v>
      </c>
      <c r="C1005" s="29" t="s">
        <v>6768</v>
      </c>
      <c r="D1005" s="33">
        <v>2.3112194000000001</v>
      </c>
      <c r="E1005" s="33">
        <v>-76.392288899999997</v>
      </c>
      <c r="F1005" s="29" t="s">
        <v>8090</v>
      </c>
      <c r="G1005" s="29" t="s">
        <v>8090</v>
      </c>
      <c r="H1005" s="35" t="s">
        <v>8091</v>
      </c>
      <c r="I1005" s="29"/>
      <c r="J1005" s="29" t="s">
        <v>9247</v>
      </c>
      <c r="K1005" s="37">
        <v>0</v>
      </c>
    </row>
    <row r="1006" spans="1:11">
      <c r="A1006" s="31">
        <v>1006</v>
      </c>
      <c r="B1006" s="29" t="s">
        <v>773</v>
      </c>
      <c r="C1006" s="29" t="s">
        <v>774</v>
      </c>
      <c r="D1006" s="33">
        <v>2.4500000000000002</v>
      </c>
      <c r="E1006" s="33">
        <v>-76.616666699999996</v>
      </c>
      <c r="F1006" s="29" t="s">
        <v>8090</v>
      </c>
      <c r="G1006" s="29" t="s">
        <v>8090</v>
      </c>
      <c r="H1006" s="35" t="s">
        <v>8091</v>
      </c>
      <c r="I1006" s="29"/>
      <c r="J1006" s="29"/>
      <c r="K1006" s="37">
        <v>1</v>
      </c>
    </row>
    <row r="1007" spans="1:11">
      <c r="A1007" s="31">
        <v>1007</v>
      </c>
      <c r="B1007" s="29" t="s">
        <v>1919</v>
      </c>
      <c r="C1007" s="29" t="s">
        <v>1920</v>
      </c>
      <c r="D1007" s="33">
        <v>1.7598611</v>
      </c>
      <c r="E1007" s="33">
        <v>-76.905833299999998</v>
      </c>
      <c r="F1007" s="29" t="s">
        <v>8090</v>
      </c>
      <c r="G1007" s="29" t="s">
        <v>8090</v>
      </c>
      <c r="H1007" s="35" t="s">
        <v>8091</v>
      </c>
      <c r="I1007" s="29"/>
      <c r="J1007" s="29"/>
      <c r="K1007" s="37">
        <v>1</v>
      </c>
    </row>
    <row r="1008" spans="1:11">
      <c r="A1008" s="31">
        <v>1008</v>
      </c>
      <c r="B1008" s="29" t="s">
        <v>773</v>
      </c>
      <c r="C1008" s="29" t="s">
        <v>774</v>
      </c>
      <c r="D1008" s="33">
        <v>2.4500000000000002</v>
      </c>
      <c r="E1008" s="33">
        <v>-76.616666699999996</v>
      </c>
      <c r="F1008" s="29" t="s">
        <v>8090</v>
      </c>
      <c r="G1008" s="29" t="s">
        <v>8090</v>
      </c>
      <c r="H1008" s="35" t="s">
        <v>8091</v>
      </c>
      <c r="I1008" s="29"/>
      <c r="J1008" s="29"/>
      <c r="K1008" s="37">
        <v>1</v>
      </c>
    </row>
    <row r="1009" spans="1:11">
      <c r="A1009" s="31">
        <v>1009</v>
      </c>
      <c r="B1009" s="29" t="s">
        <v>773</v>
      </c>
      <c r="C1009" s="29" t="s">
        <v>774</v>
      </c>
      <c r="D1009" s="33">
        <v>2.4500000000000002</v>
      </c>
      <c r="E1009" s="33">
        <v>-76.616666699999996</v>
      </c>
      <c r="F1009" s="29" t="s">
        <v>8090</v>
      </c>
      <c r="G1009" s="29" t="s">
        <v>8090</v>
      </c>
      <c r="H1009" s="35" t="s">
        <v>8091</v>
      </c>
      <c r="I1009" s="29"/>
      <c r="J1009" s="29"/>
      <c r="K1009" s="37">
        <v>1</v>
      </c>
    </row>
    <row r="1010" spans="1:11">
      <c r="A1010" s="31">
        <v>1010</v>
      </c>
      <c r="B1010" s="29" t="s">
        <v>1919</v>
      </c>
      <c r="C1010" s="29" t="s">
        <v>1920</v>
      </c>
      <c r="D1010" s="33">
        <v>1.7598611</v>
      </c>
      <c r="E1010" s="33">
        <v>-76.905833299999998</v>
      </c>
      <c r="F1010" s="29" t="s">
        <v>8090</v>
      </c>
      <c r="G1010" s="29" t="s">
        <v>8090</v>
      </c>
      <c r="H1010" s="35" t="s">
        <v>8091</v>
      </c>
      <c r="I1010" s="29"/>
      <c r="J1010" s="29"/>
      <c r="K1010" s="37">
        <v>1</v>
      </c>
    </row>
    <row r="1011" spans="1:11">
      <c r="A1011" s="31">
        <v>1011</v>
      </c>
      <c r="B1011" s="29" t="s">
        <v>6796</v>
      </c>
      <c r="C1011" s="29" t="s">
        <v>4895</v>
      </c>
      <c r="D1011" s="33">
        <v>2.5500028000000001</v>
      </c>
      <c r="E1011" s="33">
        <v>-76.066666699999999</v>
      </c>
      <c r="F1011" s="29" t="s">
        <v>8090</v>
      </c>
      <c r="G1011" s="29" t="s">
        <v>8090</v>
      </c>
      <c r="H1011" s="35" t="s">
        <v>8091</v>
      </c>
      <c r="I1011" s="29"/>
      <c r="J1011" s="29" t="s">
        <v>9248</v>
      </c>
      <c r="K1011" s="37">
        <v>0</v>
      </c>
    </row>
    <row r="1012" spans="1:11">
      <c r="A1012" s="31">
        <v>1012</v>
      </c>
      <c r="B1012" s="29" t="s">
        <v>9249</v>
      </c>
      <c r="C1012" s="29" t="s">
        <v>9250</v>
      </c>
      <c r="D1012" s="33">
        <v>2.5862099999999999</v>
      </c>
      <c r="E1012" s="33">
        <v>-76.319789999999998</v>
      </c>
      <c r="F1012" s="29" t="s">
        <v>8090</v>
      </c>
      <c r="G1012" s="29" t="s">
        <v>8090</v>
      </c>
      <c r="H1012" s="35" t="s">
        <v>8091</v>
      </c>
      <c r="I1012" s="29"/>
      <c r="J1012" s="29" t="s">
        <v>9251</v>
      </c>
      <c r="K1012" s="37">
        <v>0</v>
      </c>
    </row>
    <row r="1013" spans="1:11">
      <c r="A1013" s="31">
        <v>1013</v>
      </c>
      <c r="B1013" s="29" t="s">
        <v>6812</v>
      </c>
      <c r="C1013" s="29" t="s">
        <v>6813</v>
      </c>
      <c r="D1013" s="33">
        <v>2.3510277999999998</v>
      </c>
      <c r="E1013" s="33">
        <v>-76.681697200000002</v>
      </c>
      <c r="F1013" s="29" t="s">
        <v>8090</v>
      </c>
      <c r="G1013" s="29" t="s">
        <v>8090</v>
      </c>
      <c r="H1013" s="35" t="s">
        <v>8091</v>
      </c>
      <c r="I1013" s="29"/>
      <c r="J1013" s="29" t="s">
        <v>9252</v>
      </c>
      <c r="K1013" s="37">
        <v>0</v>
      </c>
    </row>
    <row r="1014" spans="1:11">
      <c r="A1014" s="31">
        <v>1014</v>
      </c>
      <c r="B1014" s="29" t="s">
        <v>790</v>
      </c>
      <c r="C1014" s="29" t="s">
        <v>791</v>
      </c>
      <c r="D1014" s="33">
        <v>2.5039278</v>
      </c>
      <c r="E1014" s="33">
        <v>-76.391227799999996</v>
      </c>
      <c r="F1014" s="29" t="s">
        <v>8090</v>
      </c>
      <c r="G1014" s="29" t="s">
        <v>8090</v>
      </c>
      <c r="H1014" s="35" t="s">
        <v>8091</v>
      </c>
      <c r="I1014" s="29"/>
      <c r="J1014" s="29"/>
      <c r="K1014" s="37">
        <v>1</v>
      </c>
    </row>
    <row r="1015" spans="1:11">
      <c r="A1015" s="31">
        <v>1015</v>
      </c>
      <c r="B1015" s="29" t="s">
        <v>6767</v>
      </c>
      <c r="C1015" s="29" t="s">
        <v>6768</v>
      </c>
      <c r="D1015" s="33">
        <v>2.3112194000000001</v>
      </c>
      <c r="E1015" s="33">
        <v>-76.392288899999997</v>
      </c>
      <c r="F1015" s="29" t="s">
        <v>8090</v>
      </c>
      <c r="G1015" s="29" t="s">
        <v>8090</v>
      </c>
      <c r="H1015" s="35" t="s">
        <v>8091</v>
      </c>
      <c r="I1015" s="29"/>
      <c r="J1015" s="29"/>
      <c r="K1015" s="37">
        <v>1</v>
      </c>
    </row>
    <row r="1016" spans="1:11">
      <c r="A1016" s="31">
        <v>1016</v>
      </c>
      <c r="B1016" s="29" t="s">
        <v>8981</v>
      </c>
      <c r="C1016" s="29" t="s">
        <v>8982</v>
      </c>
      <c r="D1016" s="33">
        <v>10.00286</v>
      </c>
      <c r="E1016" s="33">
        <v>-73.01576</v>
      </c>
      <c r="F1016" s="29" t="s">
        <v>8090</v>
      </c>
      <c r="G1016" s="29" t="s">
        <v>8090</v>
      </c>
      <c r="H1016" s="35" t="s">
        <v>8091</v>
      </c>
      <c r="I1016" s="29"/>
      <c r="J1016" s="29"/>
      <c r="K1016" s="37">
        <v>1</v>
      </c>
    </row>
    <row r="1017" spans="1:11">
      <c r="A1017" s="31">
        <v>1017</v>
      </c>
      <c r="B1017" s="29" t="s">
        <v>9253</v>
      </c>
      <c r="C1017" s="29" t="s">
        <v>9254</v>
      </c>
      <c r="D1017" s="33">
        <v>4.4435900000000004</v>
      </c>
      <c r="E1017" s="33">
        <v>-74.128619999999998</v>
      </c>
      <c r="F1017" s="29" t="s">
        <v>8090</v>
      </c>
      <c r="G1017" s="29" t="s">
        <v>8090</v>
      </c>
      <c r="H1017" s="35" t="s">
        <v>8091</v>
      </c>
      <c r="I1017" s="29"/>
      <c r="J1017" s="29" t="s">
        <v>9255</v>
      </c>
      <c r="K1017" s="37">
        <v>0</v>
      </c>
    </row>
    <row r="1018" spans="1:11">
      <c r="A1018" s="31">
        <v>1018</v>
      </c>
      <c r="B1018" s="29" t="s">
        <v>9126</v>
      </c>
      <c r="C1018" s="29" t="s">
        <v>9127</v>
      </c>
      <c r="D1018" s="33">
        <v>4.4438199999999997</v>
      </c>
      <c r="E1018" s="33">
        <v>-74.302070000000001</v>
      </c>
      <c r="F1018" s="29" t="s">
        <v>8090</v>
      </c>
      <c r="G1018" s="29" t="s">
        <v>8090</v>
      </c>
      <c r="H1018" s="35" t="s">
        <v>8091</v>
      </c>
      <c r="I1018" s="29"/>
      <c r="J1018" s="29"/>
      <c r="K1018" s="37">
        <v>1</v>
      </c>
    </row>
    <row r="1019" spans="1:11">
      <c r="A1019" s="31">
        <v>1019</v>
      </c>
      <c r="B1019" s="29" t="s">
        <v>9256</v>
      </c>
      <c r="C1019" s="29" t="s">
        <v>9257</v>
      </c>
      <c r="D1019" s="33">
        <v>4.6613499999999997</v>
      </c>
      <c r="E1019" s="33">
        <v>-74.021050000000002</v>
      </c>
      <c r="F1019" s="29" t="s">
        <v>8090</v>
      </c>
      <c r="G1019" s="29" t="s">
        <v>8090</v>
      </c>
      <c r="H1019" s="35" t="s">
        <v>8091</v>
      </c>
      <c r="I1019" s="29"/>
      <c r="J1019" s="29" t="s">
        <v>9258</v>
      </c>
      <c r="K1019" s="37">
        <v>0</v>
      </c>
    </row>
    <row r="1020" spans="1:11">
      <c r="A1020" s="31">
        <v>1020</v>
      </c>
      <c r="B1020" s="29" t="s">
        <v>8445</v>
      </c>
      <c r="C1020" s="29" t="s">
        <v>8446</v>
      </c>
      <c r="D1020" s="33">
        <v>4.6320499999999996</v>
      </c>
      <c r="E1020" s="33">
        <v>-74.035039999999995</v>
      </c>
      <c r="F1020" s="29" t="s">
        <v>8090</v>
      </c>
      <c r="G1020" s="29" t="s">
        <v>8090</v>
      </c>
      <c r="H1020" s="35" t="s">
        <v>8091</v>
      </c>
      <c r="I1020" s="29"/>
      <c r="J1020" s="29"/>
      <c r="K1020" s="37">
        <v>1</v>
      </c>
    </row>
    <row r="1021" spans="1:11">
      <c r="A1021" s="31">
        <v>1021</v>
      </c>
      <c r="B1021" s="29" t="s">
        <v>8445</v>
      </c>
      <c r="C1021" s="29" t="s">
        <v>8446</v>
      </c>
      <c r="D1021" s="33">
        <v>4.6320499999999996</v>
      </c>
      <c r="E1021" s="33">
        <v>-74.035039999999995</v>
      </c>
      <c r="F1021" s="29" t="s">
        <v>8090</v>
      </c>
      <c r="G1021" s="29" t="s">
        <v>8090</v>
      </c>
      <c r="H1021" s="35" t="s">
        <v>8091</v>
      </c>
      <c r="I1021" s="29"/>
      <c r="J1021" s="29"/>
      <c r="K1021" s="37">
        <v>1</v>
      </c>
    </row>
    <row r="1022" spans="1:11">
      <c r="A1022" s="31">
        <v>1022</v>
      </c>
      <c r="B1022" s="29" t="s">
        <v>8445</v>
      </c>
      <c r="C1022" s="29" t="s">
        <v>8446</v>
      </c>
      <c r="D1022" s="33">
        <v>4.6320499999999996</v>
      </c>
      <c r="E1022" s="33">
        <v>-74.035039999999995</v>
      </c>
      <c r="F1022" s="29" t="s">
        <v>8090</v>
      </c>
      <c r="G1022" s="29" t="s">
        <v>8090</v>
      </c>
      <c r="H1022" s="35" t="s">
        <v>8091</v>
      </c>
      <c r="I1022" s="29"/>
      <c r="J1022" s="29"/>
      <c r="K1022" s="37">
        <v>1</v>
      </c>
    </row>
    <row r="1023" spans="1:11">
      <c r="A1023" s="31">
        <v>1023</v>
      </c>
      <c r="B1023" s="29" t="s">
        <v>8445</v>
      </c>
      <c r="C1023" s="29" t="s">
        <v>8446</v>
      </c>
      <c r="D1023" s="33">
        <v>4.6320499999999996</v>
      </c>
      <c r="E1023" s="33">
        <v>-74.035039999999995</v>
      </c>
      <c r="F1023" s="29" t="s">
        <v>8090</v>
      </c>
      <c r="G1023" s="29" t="s">
        <v>8090</v>
      </c>
      <c r="H1023" s="35" t="s">
        <v>8091</v>
      </c>
      <c r="I1023" s="29"/>
      <c r="J1023" s="29"/>
      <c r="K1023" s="37">
        <v>1</v>
      </c>
    </row>
    <row r="1024" spans="1:11">
      <c r="A1024" s="31">
        <v>1024</v>
      </c>
      <c r="B1024" s="29" t="s">
        <v>9259</v>
      </c>
      <c r="C1024" s="29" t="s">
        <v>9260</v>
      </c>
      <c r="D1024" s="33">
        <v>5.1134000000000004</v>
      </c>
      <c r="E1024" s="33">
        <v>-73.843590000000006</v>
      </c>
      <c r="F1024" s="29" t="s">
        <v>8090</v>
      </c>
      <c r="G1024" s="29" t="s">
        <v>8090</v>
      </c>
      <c r="H1024" s="35" t="s">
        <v>8091</v>
      </c>
      <c r="I1024" s="29"/>
      <c r="J1024" s="29" t="s">
        <v>9261</v>
      </c>
      <c r="K1024" s="37">
        <v>0</v>
      </c>
    </row>
    <row r="1025" spans="1:11">
      <c r="A1025" s="31">
        <v>1025</v>
      </c>
      <c r="B1025" s="29" t="s">
        <v>8965</v>
      </c>
      <c r="C1025" s="29" t="s">
        <v>8966</v>
      </c>
      <c r="D1025" s="33">
        <v>4.9978899999999999</v>
      </c>
      <c r="E1025" s="33">
        <v>-74.149029999999996</v>
      </c>
      <c r="F1025" s="29" t="s">
        <v>8090</v>
      </c>
      <c r="G1025" s="29" t="s">
        <v>8090</v>
      </c>
      <c r="H1025" s="35" t="s">
        <v>8091</v>
      </c>
      <c r="I1025" s="29"/>
      <c r="J1025" s="29"/>
      <c r="K1025" s="37">
        <v>1</v>
      </c>
    </row>
    <row r="1026" spans="1:11">
      <c r="A1026" s="31">
        <v>1026</v>
      </c>
      <c r="B1026" s="29" t="s">
        <v>8656</v>
      </c>
      <c r="C1026" s="29" t="s">
        <v>8657</v>
      </c>
      <c r="D1026" s="33">
        <v>10.916600000000001</v>
      </c>
      <c r="E1026" s="33">
        <v>-73.833290000000005</v>
      </c>
      <c r="F1026" s="29" t="s">
        <v>8090</v>
      </c>
      <c r="G1026" s="29" t="s">
        <v>8090</v>
      </c>
      <c r="H1026" s="35" t="s">
        <v>8091</v>
      </c>
      <c r="I1026" s="29"/>
      <c r="J1026" s="29"/>
      <c r="K1026" s="37">
        <v>1</v>
      </c>
    </row>
    <row r="1027" spans="1:11">
      <c r="A1027" s="31">
        <v>1027</v>
      </c>
      <c r="B1027" s="29" t="s">
        <v>9262</v>
      </c>
      <c r="C1027" s="29" t="s">
        <v>9263</v>
      </c>
      <c r="D1027" s="33">
        <v>1.1454899999999999</v>
      </c>
      <c r="E1027" s="33">
        <v>-77.197980000000001</v>
      </c>
      <c r="F1027" s="29" t="s">
        <v>8090</v>
      </c>
      <c r="G1027" s="29" t="s">
        <v>8090</v>
      </c>
      <c r="H1027" s="35" t="s">
        <v>8091</v>
      </c>
      <c r="I1027" s="29"/>
      <c r="J1027" s="29" t="s">
        <v>9264</v>
      </c>
      <c r="K1027" s="37">
        <v>0</v>
      </c>
    </row>
    <row r="1028" spans="1:11">
      <c r="A1028" s="31">
        <v>1028</v>
      </c>
      <c r="B1028" s="29" t="s">
        <v>1993</v>
      </c>
      <c r="C1028" s="29" t="s">
        <v>1994</v>
      </c>
      <c r="D1028" s="33">
        <v>1.2136917</v>
      </c>
      <c r="E1028" s="33">
        <v>-77.2726361</v>
      </c>
      <c r="F1028" s="29" t="s">
        <v>8090</v>
      </c>
      <c r="G1028" s="29" t="s">
        <v>8090</v>
      </c>
      <c r="H1028" s="35" t="s">
        <v>8091</v>
      </c>
      <c r="I1028" s="29"/>
      <c r="J1028" s="29"/>
      <c r="K1028" s="37">
        <v>1</v>
      </c>
    </row>
    <row r="1029" spans="1:11">
      <c r="A1029" s="31">
        <v>1029</v>
      </c>
      <c r="B1029" s="29" t="s">
        <v>9129</v>
      </c>
      <c r="C1029" s="29" t="s">
        <v>9130</v>
      </c>
      <c r="D1029" s="33">
        <v>1.1213</v>
      </c>
      <c r="E1029" s="33">
        <v>-77.189530000000005</v>
      </c>
      <c r="F1029" s="29" t="s">
        <v>8090</v>
      </c>
      <c r="G1029" s="29" t="s">
        <v>8090</v>
      </c>
      <c r="H1029" s="35" t="s">
        <v>8091</v>
      </c>
      <c r="I1029" s="29"/>
      <c r="J1029" s="29"/>
      <c r="K1029" s="37">
        <v>1</v>
      </c>
    </row>
    <row r="1030" spans="1:11">
      <c r="A1030" s="31">
        <v>1030</v>
      </c>
      <c r="B1030" s="29" t="s">
        <v>6906</v>
      </c>
      <c r="C1030" s="29" t="s">
        <v>6907</v>
      </c>
      <c r="D1030" s="33">
        <v>1.2</v>
      </c>
      <c r="E1030" s="33">
        <v>-77.2</v>
      </c>
      <c r="F1030" s="29" t="s">
        <v>8090</v>
      </c>
      <c r="G1030" s="29" t="s">
        <v>8090</v>
      </c>
      <c r="H1030" s="35" t="s">
        <v>8091</v>
      </c>
      <c r="I1030" s="29"/>
      <c r="J1030" s="29" t="s">
        <v>9265</v>
      </c>
      <c r="K1030" s="37">
        <v>0</v>
      </c>
    </row>
    <row r="1031" spans="1:11">
      <c r="A1031" s="31">
        <v>1031</v>
      </c>
      <c r="B1031" s="29" t="s">
        <v>1993</v>
      </c>
      <c r="C1031" s="29" t="s">
        <v>1994</v>
      </c>
      <c r="D1031" s="33">
        <v>1.2136917</v>
      </c>
      <c r="E1031" s="33">
        <v>-77.2726361</v>
      </c>
      <c r="F1031" s="29" t="s">
        <v>8090</v>
      </c>
      <c r="G1031" s="29" t="s">
        <v>8090</v>
      </c>
      <c r="H1031" s="35" t="s">
        <v>8091</v>
      </c>
      <c r="I1031" s="29"/>
      <c r="J1031" s="29"/>
      <c r="K1031" s="37">
        <v>1</v>
      </c>
    </row>
    <row r="1032" spans="1:11">
      <c r="A1032" s="31">
        <v>1032</v>
      </c>
      <c r="B1032" s="29" t="s">
        <v>1993</v>
      </c>
      <c r="C1032" s="29" t="s">
        <v>1994</v>
      </c>
      <c r="D1032" s="33">
        <v>1.2136917</v>
      </c>
      <c r="E1032" s="33">
        <v>-77.2726361</v>
      </c>
      <c r="F1032" s="29" t="s">
        <v>8090</v>
      </c>
      <c r="G1032" s="29" t="s">
        <v>8090</v>
      </c>
      <c r="H1032" s="35" t="s">
        <v>8091</v>
      </c>
      <c r="I1032" s="29"/>
      <c r="J1032" s="29"/>
      <c r="K1032" s="37">
        <v>1</v>
      </c>
    </row>
    <row r="1033" spans="1:11">
      <c r="A1033" s="31">
        <v>1033</v>
      </c>
      <c r="B1033" s="29" t="s">
        <v>6923</v>
      </c>
      <c r="C1033" s="29" t="s">
        <v>6924</v>
      </c>
      <c r="D1033" s="33">
        <v>1.1626666999999999</v>
      </c>
      <c r="E1033" s="33">
        <v>-77.152747199999993</v>
      </c>
      <c r="F1033" s="29" t="s">
        <v>8090</v>
      </c>
      <c r="G1033" s="29" t="s">
        <v>8090</v>
      </c>
      <c r="H1033" s="35" t="s">
        <v>8091</v>
      </c>
      <c r="I1033" s="29"/>
      <c r="J1033" s="29" t="s">
        <v>9266</v>
      </c>
      <c r="K1033" s="37">
        <v>0</v>
      </c>
    </row>
    <row r="1034" spans="1:11">
      <c r="A1034" s="31">
        <v>1034</v>
      </c>
      <c r="B1034" s="29" t="s">
        <v>8754</v>
      </c>
      <c r="C1034" s="29" t="s">
        <v>8755</v>
      </c>
      <c r="D1034" s="33">
        <v>7.4399300000000004</v>
      </c>
      <c r="E1034" s="33">
        <v>-72.450950000000006</v>
      </c>
      <c r="F1034" s="29" t="s">
        <v>8090</v>
      </c>
      <c r="G1034" s="29" t="s">
        <v>8090</v>
      </c>
      <c r="H1034" s="35" t="s">
        <v>8091</v>
      </c>
      <c r="I1034" s="29"/>
      <c r="J1034" s="29"/>
      <c r="K1034" s="37">
        <v>1</v>
      </c>
    </row>
    <row r="1035" spans="1:11">
      <c r="A1035" s="31">
        <v>1035</v>
      </c>
      <c r="B1035" s="29" t="s">
        <v>801</v>
      </c>
      <c r="C1035" s="29" t="s">
        <v>422</v>
      </c>
      <c r="D1035" s="33">
        <v>4.6666667000000004</v>
      </c>
      <c r="E1035" s="33">
        <v>-75.5</v>
      </c>
      <c r="F1035" s="29" t="s">
        <v>8090</v>
      </c>
      <c r="G1035" s="29" t="s">
        <v>8090</v>
      </c>
      <c r="H1035" s="35" t="s">
        <v>8091</v>
      </c>
      <c r="I1035" s="29"/>
      <c r="J1035" s="29"/>
      <c r="K1035" s="37">
        <v>1</v>
      </c>
    </row>
    <row r="1036" spans="1:11">
      <c r="A1036" s="31">
        <v>1036</v>
      </c>
      <c r="B1036" s="29" t="s">
        <v>801</v>
      </c>
      <c r="C1036" s="29" t="s">
        <v>422</v>
      </c>
      <c r="D1036" s="33">
        <v>4.6666667000000004</v>
      </c>
      <c r="E1036" s="33">
        <v>-75.5</v>
      </c>
      <c r="F1036" s="29" t="s">
        <v>8090</v>
      </c>
      <c r="G1036" s="29" t="s">
        <v>8090</v>
      </c>
      <c r="H1036" s="35" t="s">
        <v>8091</v>
      </c>
      <c r="I1036" s="29"/>
      <c r="J1036" s="29"/>
      <c r="K1036" s="37">
        <v>1</v>
      </c>
    </row>
    <row r="1037" spans="1:11">
      <c r="A1037" s="31">
        <v>1037</v>
      </c>
      <c r="B1037" s="29" t="s">
        <v>801</v>
      </c>
      <c r="C1037" s="29" t="s">
        <v>422</v>
      </c>
      <c r="D1037" s="33">
        <v>4.6666667000000004</v>
      </c>
      <c r="E1037" s="33">
        <v>-75.5</v>
      </c>
      <c r="F1037" s="29" t="s">
        <v>8090</v>
      </c>
      <c r="G1037" s="29" t="s">
        <v>8090</v>
      </c>
      <c r="H1037" s="35" t="s">
        <v>8091</v>
      </c>
      <c r="I1037" s="29"/>
      <c r="J1037" s="29"/>
      <c r="K1037" s="37">
        <v>1</v>
      </c>
    </row>
    <row r="1038" spans="1:11">
      <c r="A1038" s="31">
        <v>1038</v>
      </c>
      <c r="B1038" s="29" t="s">
        <v>9267</v>
      </c>
      <c r="C1038" s="29" t="s">
        <v>9268</v>
      </c>
      <c r="D1038" s="33">
        <v>4.63795</v>
      </c>
      <c r="E1038" s="33">
        <v>-75.489130000000003</v>
      </c>
      <c r="F1038" s="29" t="s">
        <v>8090</v>
      </c>
      <c r="G1038" s="29" t="s">
        <v>8090</v>
      </c>
      <c r="H1038" s="35" t="s">
        <v>8091</v>
      </c>
      <c r="I1038" s="29"/>
      <c r="J1038" s="29" t="s">
        <v>9269</v>
      </c>
      <c r="K1038" s="37">
        <v>0</v>
      </c>
    </row>
    <row r="1039" spans="1:11">
      <c r="A1039" s="31">
        <v>1039</v>
      </c>
      <c r="B1039" s="29" t="s">
        <v>8701</v>
      </c>
      <c r="C1039" s="29" t="s">
        <v>8702</v>
      </c>
      <c r="D1039" s="33">
        <v>5.1244243999999997</v>
      </c>
      <c r="E1039" s="33">
        <v>-76.041665399999999</v>
      </c>
      <c r="F1039" s="29" t="s">
        <v>8090</v>
      </c>
      <c r="G1039" s="29" t="s">
        <v>8090</v>
      </c>
      <c r="H1039" s="35" t="s">
        <v>8091</v>
      </c>
      <c r="I1039" s="29"/>
      <c r="J1039" s="29"/>
      <c r="K1039" s="37">
        <v>1</v>
      </c>
    </row>
    <row r="1040" spans="1:11">
      <c r="A1040" s="31">
        <v>1040</v>
      </c>
      <c r="B1040" s="29" t="s">
        <v>6951</v>
      </c>
      <c r="C1040" s="29" t="s">
        <v>6952</v>
      </c>
      <c r="D1040" s="33">
        <v>4.4400361000000004</v>
      </c>
      <c r="E1040" s="33">
        <v>-75.430113899999995</v>
      </c>
      <c r="F1040" s="29" t="s">
        <v>8090</v>
      </c>
      <c r="G1040" s="29" t="s">
        <v>8090</v>
      </c>
      <c r="H1040" s="35" t="s">
        <v>8091</v>
      </c>
      <c r="I1040" s="29"/>
      <c r="J1040" s="29" t="s">
        <v>9270</v>
      </c>
      <c r="K1040" s="37">
        <v>0</v>
      </c>
    </row>
    <row r="1041" spans="1:11">
      <c r="A1041" s="31">
        <v>1041</v>
      </c>
      <c r="B1041" s="29" t="s">
        <v>8493</v>
      </c>
      <c r="C1041" s="29" t="s">
        <v>8494</v>
      </c>
      <c r="D1041" s="33">
        <v>4.5803900000000004</v>
      </c>
      <c r="E1041" s="33">
        <v>-75.375399999999999</v>
      </c>
      <c r="F1041" s="29" t="s">
        <v>8090</v>
      </c>
      <c r="G1041" s="29" t="s">
        <v>8090</v>
      </c>
      <c r="H1041" s="35" t="s">
        <v>8091</v>
      </c>
      <c r="I1041" s="29"/>
      <c r="J1041" s="29"/>
      <c r="K1041" s="37">
        <v>1</v>
      </c>
    </row>
    <row r="1042" spans="1:11">
      <c r="A1042" s="31">
        <v>1042</v>
      </c>
      <c r="B1042" s="29" t="s">
        <v>9271</v>
      </c>
      <c r="C1042" s="29" t="s">
        <v>9272</v>
      </c>
      <c r="D1042" s="33">
        <v>11.15513</v>
      </c>
      <c r="E1042" s="33">
        <v>-74.068470000000005</v>
      </c>
      <c r="F1042" s="29" t="s">
        <v>8090</v>
      </c>
      <c r="G1042" s="29" t="s">
        <v>8090</v>
      </c>
      <c r="H1042" s="35" t="s">
        <v>8091</v>
      </c>
      <c r="I1042" s="29"/>
      <c r="J1042" s="29" t="s">
        <v>9273</v>
      </c>
      <c r="K1042" s="37">
        <v>0</v>
      </c>
    </row>
    <row r="1043" spans="1:11">
      <c r="A1043" s="31">
        <v>1043</v>
      </c>
      <c r="B1043" s="29" t="s">
        <v>9274</v>
      </c>
      <c r="C1043" s="29" t="s">
        <v>9275</v>
      </c>
      <c r="D1043" s="33">
        <v>11.0961944</v>
      </c>
      <c r="E1043" s="33">
        <v>-74.075416700000005</v>
      </c>
      <c r="F1043" s="29" t="s">
        <v>8090</v>
      </c>
      <c r="G1043" s="29" t="s">
        <v>8090</v>
      </c>
      <c r="H1043" s="35" t="s">
        <v>8091</v>
      </c>
      <c r="I1043" s="29"/>
      <c r="J1043" s="29" t="s">
        <v>9276</v>
      </c>
      <c r="K1043" s="37">
        <v>0</v>
      </c>
    </row>
    <row r="1044" spans="1:11">
      <c r="A1044" s="31">
        <v>1044</v>
      </c>
      <c r="B1044" s="29" t="s">
        <v>9274</v>
      </c>
      <c r="C1044" s="29" t="s">
        <v>9275</v>
      </c>
      <c r="D1044" s="33">
        <v>11.0961944</v>
      </c>
      <c r="E1044" s="33">
        <v>-74.075416700000005</v>
      </c>
      <c r="F1044" s="29" t="s">
        <v>8090</v>
      </c>
      <c r="G1044" s="29" t="s">
        <v>8090</v>
      </c>
      <c r="H1044" s="35" t="s">
        <v>8091</v>
      </c>
      <c r="I1044" s="29"/>
      <c r="J1044" s="29"/>
      <c r="K1044" s="37">
        <v>1</v>
      </c>
    </row>
    <row r="1045" spans="1:11">
      <c r="A1045" s="31">
        <v>1045</v>
      </c>
      <c r="B1045" s="29" t="s">
        <v>9277</v>
      </c>
      <c r="C1045" s="29" t="s">
        <v>9278</v>
      </c>
      <c r="D1045" s="33">
        <v>-0.63239000000000001</v>
      </c>
      <c r="E1045" s="33">
        <v>-72.338489999999993</v>
      </c>
      <c r="F1045" s="29" t="s">
        <v>8090</v>
      </c>
      <c r="G1045" s="29" t="s">
        <v>8090</v>
      </c>
      <c r="H1045" s="35" t="s">
        <v>8091</v>
      </c>
      <c r="I1045" s="29"/>
      <c r="J1045" s="29" t="s">
        <v>9279</v>
      </c>
      <c r="K1045" s="37">
        <v>0</v>
      </c>
    </row>
    <row r="1046" spans="1:11">
      <c r="A1046" s="31">
        <v>1046</v>
      </c>
      <c r="B1046" s="29" t="s">
        <v>9280</v>
      </c>
      <c r="C1046" s="29" t="s">
        <v>9281</v>
      </c>
      <c r="D1046" s="33">
        <v>-3.7871999999999999</v>
      </c>
      <c r="E1046" s="33">
        <v>-70.297030000000007</v>
      </c>
      <c r="F1046" s="29" t="s">
        <v>8090</v>
      </c>
      <c r="G1046" s="29" t="s">
        <v>8090</v>
      </c>
      <c r="H1046" s="35" t="s">
        <v>8091</v>
      </c>
      <c r="I1046" s="29"/>
      <c r="J1046" s="29" t="s">
        <v>9282</v>
      </c>
      <c r="K1046" s="37">
        <v>0</v>
      </c>
    </row>
    <row r="1047" spans="1:11">
      <c r="A1047" s="31">
        <v>1047</v>
      </c>
      <c r="B1047" s="29" t="s">
        <v>9283</v>
      </c>
      <c r="C1047" s="29" t="s">
        <v>9284</v>
      </c>
      <c r="D1047" s="33">
        <v>-3.7796099999999999</v>
      </c>
      <c r="E1047" s="33">
        <v>-70.206180000000003</v>
      </c>
      <c r="F1047" s="29" t="s">
        <v>8090</v>
      </c>
      <c r="G1047" s="29" t="s">
        <v>8090</v>
      </c>
      <c r="H1047" s="35" t="s">
        <v>8091</v>
      </c>
      <c r="I1047" s="29"/>
      <c r="J1047" s="29" t="s">
        <v>9285</v>
      </c>
      <c r="K1047" s="37">
        <v>0</v>
      </c>
    </row>
    <row r="1048" spans="1:11">
      <c r="A1048" s="31">
        <v>1048</v>
      </c>
      <c r="B1048" s="29" t="s">
        <v>9286</v>
      </c>
      <c r="C1048" s="29" t="s">
        <v>9287</v>
      </c>
      <c r="D1048" s="33">
        <v>5.9666399999999999</v>
      </c>
      <c r="E1048" s="33">
        <v>-74.921139999999994</v>
      </c>
      <c r="F1048" s="29" t="s">
        <v>8090</v>
      </c>
      <c r="G1048" s="29" t="s">
        <v>8090</v>
      </c>
      <c r="H1048" s="35" t="s">
        <v>8091</v>
      </c>
      <c r="I1048" s="29"/>
      <c r="J1048" s="29" t="s">
        <v>9288</v>
      </c>
      <c r="K1048" s="37">
        <v>0</v>
      </c>
    </row>
    <row r="1049" spans="1:11">
      <c r="A1049" s="31">
        <v>1049</v>
      </c>
      <c r="B1049" s="29" t="s">
        <v>9289</v>
      </c>
      <c r="C1049" s="29" t="s">
        <v>9290</v>
      </c>
      <c r="D1049" s="33">
        <v>6.2263999999999999</v>
      </c>
      <c r="E1049" s="33">
        <v>-75.566599999999994</v>
      </c>
      <c r="F1049" s="29" t="s">
        <v>8090</v>
      </c>
      <c r="G1049" s="29" t="s">
        <v>8090</v>
      </c>
      <c r="H1049" s="35" t="s">
        <v>8091</v>
      </c>
      <c r="I1049" s="29"/>
      <c r="J1049" s="29" t="s">
        <v>9291</v>
      </c>
      <c r="K1049" s="37">
        <v>0</v>
      </c>
    </row>
    <row r="1050" spans="1:11">
      <c r="A1050" s="31">
        <v>1050</v>
      </c>
      <c r="B1050" s="29" t="s">
        <v>9289</v>
      </c>
      <c r="C1050" s="29" t="s">
        <v>9290</v>
      </c>
      <c r="D1050" s="33">
        <v>6.2263999999999999</v>
      </c>
      <c r="E1050" s="33">
        <v>-75.566599999999994</v>
      </c>
      <c r="F1050" s="29" t="s">
        <v>8090</v>
      </c>
      <c r="G1050" s="29" t="s">
        <v>8090</v>
      </c>
      <c r="H1050" s="35" t="s">
        <v>8091</v>
      </c>
      <c r="I1050" s="29"/>
      <c r="J1050" s="29"/>
      <c r="K1050" s="37">
        <v>1</v>
      </c>
    </row>
    <row r="1051" spans="1:11">
      <c r="A1051" s="31">
        <v>1051</v>
      </c>
      <c r="B1051" s="29" t="s">
        <v>9292</v>
      </c>
      <c r="C1051" s="29" t="s">
        <v>9293</v>
      </c>
      <c r="D1051" s="33">
        <v>6.2309900000000003</v>
      </c>
      <c r="E1051" s="33">
        <v>-75.657300000000006</v>
      </c>
      <c r="F1051" s="29" t="s">
        <v>8090</v>
      </c>
      <c r="G1051" s="29" t="s">
        <v>8090</v>
      </c>
      <c r="H1051" s="35" t="s">
        <v>8091</v>
      </c>
      <c r="I1051" s="29"/>
      <c r="J1051" s="29" t="s">
        <v>9294</v>
      </c>
      <c r="K1051" s="37">
        <v>0</v>
      </c>
    </row>
    <row r="1052" spans="1:11">
      <c r="A1052" s="31">
        <v>1052</v>
      </c>
      <c r="B1052" s="29" t="s">
        <v>1181</v>
      </c>
      <c r="C1052" s="29" t="s">
        <v>1182</v>
      </c>
      <c r="D1052" s="33">
        <v>7.0764389000000003</v>
      </c>
      <c r="E1052" s="33">
        <v>-75.156538900000001</v>
      </c>
      <c r="F1052" s="29" t="s">
        <v>8090</v>
      </c>
      <c r="G1052" s="29" t="s">
        <v>8090</v>
      </c>
      <c r="H1052" s="35" t="s">
        <v>8091</v>
      </c>
      <c r="I1052" s="29"/>
      <c r="J1052" s="29"/>
      <c r="K1052" s="37">
        <v>1</v>
      </c>
    </row>
    <row r="1053" spans="1:11">
      <c r="A1053" s="31">
        <v>1053</v>
      </c>
      <c r="B1053" s="29" t="s">
        <v>8807</v>
      </c>
      <c r="C1053" s="29" t="s">
        <v>8808</v>
      </c>
      <c r="D1053" s="33">
        <v>7.3167600000000004</v>
      </c>
      <c r="E1053" s="33">
        <v>-75.056430000000006</v>
      </c>
      <c r="F1053" s="29" t="s">
        <v>8090</v>
      </c>
      <c r="G1053" s="29" t="s">
        <v>8090</v>
      </c>
      <c r="H1053" s="35" t="s">
        <v>8091</v>
      </c>
      <c r="I1053" s="29"/>
      <c r="J1053" s="29"/>
      <c r="K1053" s="37">
        <v>1</v>
      </c>
    </row>
    <row r="1054" spans="1:11">
      <c r="A1054" s="31">
        <v>1054</v>
      </c>
      <c r="B1054" s="29" t="s">
        <v>8807</v>
      </c>
      <c r="C1054" s="29" t="s">
        <v>8808</v>
      </c>
      <c r="D1054" s="33">
        <v>7.3167600000000004</v>
      </c>
      <c r="E1054" s="33">
        <v>-75.056430000000006</v>
      </c>
      <c r="F1054" s="29" t="s">
        <v>8090</v>
      </c>
      <c r="G1054" s="29" t="s">
        <v>8090</v>
      </c>
      <c r="H1054" s="35" t="s">
        <v>8091</v>
      </c>
      <c r="I1054" s="29"/>
      <c r="J1054" s="29"/>
      <c r="K1054" s="37">
        <v>1</v>
      </c>
    </row>
    <row r="1055" spans="1:11">
      <c r="A1055" s="31">
        <v>1055</v>
      </c>
      <c r="B1055" s="29" t="s">
        <v>7055</v>
      </c>
      <c r="C1055" s="29" t="s">
        <v>7056</v>
      </c>
      <c r="D1055" s="33">
        <v>6.4390000000000001</v>
      </c>
      <c r="E1055" s="33">
        <v>-75.332999999999998</v>
      </c>
      <c r="F1055" s="29" t="s">
        <v>8090</v>
      </c>
      <c r="G1055" s="29" t="s">
        <v>8090</v>
      </c>
      <c r="H1055" s="35" t="s">
        <v>8091</v>
      </c>
      <c r="I1055" s="29"/>
      <c r="J1055" s="29" t="s">
        <v>9295</v>
      </c>
      <c r="K1055" s="37">
        <v>0</v>
      </c>
    </row>
    <row r="1056" spans="1:11">
      <c r="A1056" s="31">
        <v>1056</v>
      </c>
      <c r="B1056" s="29" t="s">
        <v>7055</v>
      </c>
      <c r="C1056" s="29" t="s">
        <v>7056</v>
      </c>
      <c r="D1056" s="33">
        <v>6.4390000000000001</v>
      </c>
      <c r="E1056" s="33">
        <v>-75.332999999999998</v>
      </c>
      <c r="F1056" s="29" t="s">
        <v>8090</v>
      </c>
      <c r="G1056" s="29" t="s">
        <v>8090</v>
      </c>
      <c r="H1056" s="35" t="s">
        <v>8091</v>
      </c>
      <c r="I1056" s="29"/>
      <c r="J1056" s="29"/>
      <c r="K1056" s="37">
        <v>1</v>
      </c>
    </row>
    <row r="1057" spans="1:11">
      <c r="A1057" s="31">
        <v>1057</v>
      </c>
      <c r="B1057" s="29" t="s">
        <v>7055</v>
      </c>
      <c r="C1057" s="29" t="s">
        <v>7056</v>
      </c>
      <c r="D1057" s="33">
        <v>6.4390000000000001</v>
      </c>
      <c r="E1057" s="33">
        <v>-75.332999999999998</v>
      </c>
      <c r="F1057" s="29" t="s">
        <v>8090</v>
      </c>
      <c r="G1057" s="29" t="s">
        <v>8090</v>
      </c>
      <c r="H1057" s="35" t="s">
        <v>8091</v>
      </c>
      <c r="I1057" s="29"/>
      <c r="J1057" s="29"/>
      <c r="K1057" s="37">
        <v>1</v>
      </c>
    </row>
    <row r="1058" spans="1:11">
      <c r="A1058" s="31">
        <v>1058</v>
      </c>
      <c r="B1058" s="29" t="s">
        <v>560</v>
      </c>
      <c r="C1058" s="29" t="s">
        <v>561</v>
      </c>
      <c r="D1058" s="33">
        <v>6.09</v>
      </c>
      <c r="E1058" s="33">
        <v>-75.638000000000005</v>
      </c>
      <c r="F1058" s="29" t="s">
        <v>8090</v>
      </c>
      <c r="G1058" s="29" t="s">
        <v>8090</v>
      </c>
      <c r="H1058" s="35" t="s">
        <v>8091</v>
      </c>
      <c r="I1058" s="29"/>
      <c r="J1058" s="29"/>
      <c r="K1058" s="37">
        <v>1</v>
      </c>
    </row>
    <row r="1059" spans="1:11">
      <c r="A1059" s="31">
        <v>1059</v>
      </c>
      <c r="B1059" s="29" t="s">
        <v>1210</v>
      </c>
      <c r="C1059" s="29" t="s">
        <v>1216</v>
      </c>
      <c r="D1059" s="33">
        <v>6.05</v>
      </c>
      <c r="E1059" s="33">
        <v>-75</v>
      </c>
      <c r="F1059" s="29" t="s">
        <v>8090</v>
      </c>
      <c r="G1059" s="29" t="s">
        <v>8090</v>
      </c>
      <c r="H1059" s="35" t="s">
        <v>8091</v>
      </c>
      <c r="I1059" s="29"/>
      <c r="J1059" s="29"/>
      <c r="K1059" s="37">
        <v>1</v>
      </c>
    </row>
    <row r="1060" spans="1:11">
      <c r="A1060" s="31">
        <v>1060</v>
      </c>
      <c r="B1060" s="29" t="s">
        <v>1210</v>
      </c>
      <c r="C1060" s="29" t="s">
        <v>1216</v>
      </c>
      <c r="D1060" s="33">
        <v>6.05</v>
      </c>
      <c r="E1060" s="33">
        <v>-75</v>
      </c>
      <c r="F1060" s="29" t="s">
        <v>8090</v>
      </c>
      <c r="G1060" s="29" t="s">
        <v>8090</v>
      </c>
      <c r="H1060" s="35" t="s">
        <v>8091</v>
      </c>
      <c r="I1060" s="29"/>
      <c r="J1060" s="29"/>
      <c r="K1060" s="37">
        <v>1</v>
      </c>
    </row>
    <row r="1061" spans="1:11">
      <c r="A1061" s="31">
        <v>1061</v>
      </c>
      <c r="B1061" s="29" t="s">
        <v>7012</v>
      </c>
      <c r="C1061" s="29" t="s">
        <v>7078</v>
      </c>
      <c r="D1061" s="33">
        <v>6</v>
      </c>
      <c r="E1061" s="33">
        <v>-74.833333300000007</v>
      </c>
      <c r="F1061" s="29" t="s">
        <v>8090</v>
      </c>
      <c r="G1061" s="29" t="s">
        <v>8090</v>
      </c>
      <c r="H1061" s="35" t="s">
        <v>8091</v>
      </c>
      <c r="I1061" s="29"/>
      <c r="J1061" s="29" t="s">
        <v>9296</v>
      </c>
      <c r="K1061" s="37">
        <v>0</v>
      </c>
    </row>
    <row r="1062" spans="1:11">
      <c r="A1062" s="31">
        <v>1062</v>
      </c>
      <c r="B1062" s="29" t="s">
        <v>9297</v>
      </c>
      <c r="C1062" s="29" t="s">
        <v>9298</v>
      </c>
      <c r="D1062" s="33">
        <v>5.6499300000000003</v>
      </c>
      <c r="E1062" s="33">
        <v>-75.900049999999993</v>
      </c>
      <c r="F1062" s="29" t="s">
        <v>8090</v>
      </c>
      <c r="G1062" s="29" t="s">
        <v>8090</v>
      </c>
      <c r="H1062" s="35" t="s">
        <v>8091</v>
      </c>
      <c r="I1062" s="29"/>
      <c r="J1062" s="29" t="s">
        <v>9299</v>
      </c>
      <c r="K1062" s="37">
        <v>0</v>
      </c>
    </row>
    <row r="1063" spans="1:11">
      <c r="A1063" s="31">
        <v>1063</v>
      </c>
      <c r="B1063" s="29" t="s">
        <v>1484</v>
      </c>
      <c r="C1063" s="29" t="s">
        <v>1485</v>
      </c>
      <c r="D1063" s="33">
        <v>6.0333332999999998</v>
      </c>
      <c r="E1063" s="33">
        <v>-75.133333300000004</v>
      </c>
      <c r="F1063" s="29" t="s">
        <v>8090</v>
      </c>
      <c r="G1063" s="29" t="s">
        <v>8090</v>
      </c>
      <c r="H1063" s="35" t="s">
        <v>8091</v>
      </c>
      <c r="I1063" s="29"/>
      <c r="J1063" s="29"/>
      <c r="K1063" s="37">
        <v>1</v>
      </c>
    </row>
    <row r="1064" spans="1:11">
      <c r="A1064" s="31">
        <v>1064</v>
      </c>
      <c r="B1064" s="29" t="s">
        <v>1484</v>
      </c>
      <c r="C1064" s="29" t="s">
        <v>1485</v>
      </c>
      <c r="D1064" s="33">
        <v>6.0333332999999998</v>
      </c>
      <c r="E1064" s="33">
        <v>-75.133333300000004</v>
      </c>
      <c r="F1064" s="29" t="s">
        <v>8090</v>
      </c>
      <c r="G1064" s="29" t="s">
        <v>8090</v>
      </c>
      <c r="H1064" s="35" t="s">
        <v>8091</v>
      </c>
      <c r="I1064" s="29"/>
      <c r="J1064" s="29"/>
      <c r="K1064" s="37">
        <v>1</v>
      </c>
    </row>
    <row r="1065" spans="1:11">
      <c r="A1065" s="31">
        <v>1065</v>
      </c>
      <c r="B1065" s="29" t="s">
        <v>3583</v>
      </c>
      <c r="C1065" s="29" t="s">
        <v>3584</v>
      </c>
      <c r="D1065" s="33">
        <v>7.133</v>
      </c>
      <c r="E1065" s="33">
        <v>-75.159694400000006</v>
      </c>
      <c r="F1065" s="29" t="s">
        <v>8090</v>
      </c>
      <c r="G1065" s="29" t="s">
        <v>8090</v>
      </c>
      <c r="H1065" s="35" t="s">
        <v>8091</v>
      </c>
      <c r="I1065" s="29"/>
      <c r="J1065" s="29"/>
      <c r="K1065" s="37">
        <v>1</v>
      </c>
    </row>
    <row r="1066" spans="1:11">
      <c r="A1066" s="31">
        <v>1066</v>
      </c>
      <c r="B1066" s="29" t="s">
        <v>8108</v>
      </c>
      <c r="C1066" s="29" t="s">
        <v>8109</v>
      </c>
      <c r="D1066" s="33">
        <v>5.6283099999999999</v>
      </c>
      <c r="E1066" s="33">
        <v>-73.902479999999997</v>
      </c>
      <c r="F1066" s="29" t="s">
        <v>8090</v>
      </c>
      <c r="G1066" s="29" t="s">
        <v>8090</v>
      </c>
      <c r="H1066" s="35" t="s">
        <v>8091</v>
      </c>
      <c r="I1066" s="29"/>
      <c r="J1066" s="29"/>
      <c r="K1066" s="37">
        <v>1</v>
      </c>
    </row>
    <row r="1067" spans="1:11">
      <c r="A1067" s="31">
        <v>1067</v>
      </c>
      <c r="B1067" s="29" t="s">
        <v>9300</v>
      </c>
      <c r="C1067" s="29" t="s">
        <v>9301</v>
      </c>
      <c r="D1067" s="33">
        <v>5.62418</v>
      </c>
      <c r="E1067" s="33">
        <v>-73.578109999999995</v>
      </c>
      <c r="F1067" s="29" t="s">
        <v>8090</v>
      </c>
      <c r="G1067" s="29" t="s">
        <v>8090</v>
      </c>
      <c r="H1067" s="35" t="s">
        <v>8091</v>
      </c>
      <c r="I1067" s="29"/>
      <c r="J1067" s="29" t="s">
        <v>9302</v>
      </c>
      <c r="K1067" s="37">
        <v>0</v>
      </c>
    </row>
    <row r="1068" spans="1:11">
      <c r="A1068" s="31">
        <v>1068</v>
      </c>
      <c r="B1068" s="29" t="s">
        <v>9303</v>
      </c>
      <c r="C1068" s="29" t="s">
        <v>9304</v>
      </c>
      <c r="D1068" s="33">
        <v>5.6251699999999998</v>
      </c>
      <c r="E1068" s="33">
        <v>-73.513679999999994</v>
      </c>
      <c r="F1068" s="29" t="s">
        <v>8090</v>
      </c>
      <c r="G1068" s="29" t="s">
        <v>8090</v>
      </c>
      <c r="H1068" s="35" t="s">
        <v>8091</v>
      </c>
      <c r="I1068" s="29"/>
      <c r="J1068" s="29" t="s">
        <v>9305</v>
      </c>
      <c r="K1068" s="37">
        <v>0</v>
      </c>
    </row>
    <row r="1069" spans="1:11">
      <c r="A1069" s="31">
        <v>1069</v>
      </c>
      <c r="B1069" s="29" t="s">
        <v>7122</v>
      </c>
      <c r="C1069" s="29" t="s">
        <v>7123</v>
      </c>
      <c r="D1069" s="33">
        <v>5.4286111000000004</v>
      </c>
      <c r="E1069" s="33">
        <v>-75.699349999999995</v>
      </c>
      <c r="F1069" s="29" t="s">
        <v>8090</v>
      </c>
      <c r="G1069" s="29" t="s">
        <v>8090</v>
      </c>
      <c r="H1069" s="35" t="s">
        <v>8091</v>
      </c>
      <c r="I1069" s="29"/>
      <c r="J1069" s="29" t="s">
        <v>9306</v>
      </c>
      <c r="K1069" s="37">
        <v>0</v>
      </c>
    </row>
    <row r="1070" spans="1:11">
      <c r="A1070" s="31">
        <v>1070</v>
      </c>
      <c r="B1070" s="29" t="s">
        <v>577</v>
      </c>
      <c r="C1070" s="29" t="s">
        <v>578</v>
      </c>
      <c r="D1070" s="33">
        <v>5.0671333000000001</v>
      </c>
      <c r="E1070" s="33">
        <v>-75.518288900000002</v>
      </c>
      <c r="F1070" s="29" t="s">
        <v>8090</v>
      </c>
      <c r="G1070" s="29" t="s">
        <v>8090</v>
      </c>
      <c r="H1070" s="35" t="s">
        <v>8091</v>
      </c>
      <c r="I1070" s="29"/>
      <c r="J1070" s="29"/>
      <c r="K1070" s="37">
        <v>1</v>
      </c>
    </row>
    <row r="1071" spans="1:11">
      <c r="A1071" s="31">
        <v>1071</v>
      </c>
      <c r="B1071" s="29" t="s">
        <v>577</v>
      </c>
      <c r="C1071" s="29" t="s">
        <v>578</v>
      </c>
      <c r="D1071" s="33">
        <v>5.0671333000000001</v>
      </c>
      <c r="E1071" s="33">
        <v>-75.518288900000002</v>
      </c>
      <c r="F1071" s="29" t="s">
        <v>8090</v>
      </c>
      <c r="G1071" s="29" t="s">
        <v>8090</v>
      </c>
      <c r="H1071" s="35" t="s">
        <v>8091</v>
      </c>
      <c r="I1071" s="29"/>
      <c r="J1071" s="29"/>
      <c r="K1071" s="37">
        <v>1</v>
      </c>
    </row>
    <row r="1072" spans="1:11">
      <c r="A1072" s="31">
        <v>1072</v>
      </c>
      <c r="B1072" s="29" t="s">
        <v>7141</v>
      </c>
      <c r="C1072" s="29" t="s">
        <v>7142</v>
      </c>
      <c r="D1072" s="33">
        <v>5.0886389000000003</v>
      </c>
      <c r="E1072" s="33">
        <v>-75.619305600000004</v>
      </c>
      <c r="F1072" s="29" t="s">
        <v>8090</v>
      </c>
      <c r="G1072" s="29" t="s">
        <v>8090</v>
      </c>
      <c r="H1072" s="35" t="s">
        <v>8091</v>
      </c>
      <c r="I1072" s="29"/>
      <c r="J1072" s="29" t="s">
        <v>9307</v>
      </c>
      <c r="K1072" s="37">
        <v>0</v>
      </c>
    </row>
    <row r="1073" spans="1:11">
      <c r="A1073" s="31">
        <v>1073</v>
      </c>
      <c r="B1073" s="29" t="s">
        <v>7152</v>
      </c>
      <c r="C1073" s="29" t="s">
        <v>7153</v>
      </c>
      <c r="D1073" s="33">
        <v>4.9429166999999996</v>
      </c>
      <c r="E1073" s="33">
        <v>-75.696111099999996</v>
      </c>
      <c r="F1073" s="29" t="s">
        <v>8090</v>
      </c>
      <c r="G1073" s="29" t="s">
        <v>8090</v>
      </c>
      <c r="H1073" s="35" t="s">
        <v>8091</v>
      </c>
      <c r="I1073" s="29"/>
      <c r="J1073" s="29" t="s">
        <v>9308</v>
      </c>
      <c r="K1073" s="37">
        <v>0</v>
      </c>
    </row>
    <row r="1074" spans="1:11">
      <c r="A1074" s="31">
        <v>1074</v>
      </c>
      <c r="B1074" s="29" t="s">
        <v>7164</v>
      </c>
      <c r="C1074" s="29" t="s">
        <v>7165</v>
      </c>
      <c r="D1074" s="33">
        <v>5.2024999999999997</v>
      </c>
      <c r="E1074" s="33">
        <v>-75.590566699999997</v>
      </c>
      <c r="F1074" s="29" t="s">
        <v>8090</v>
      </c>
      <c r="G1074" s="29" t="s">
        <v>8090</v>
      </c>
      <c r="H1074" s="35" t="s">
        <v>8091</v>
      </c>
      <c r="I1074" s="29"/>
      <c r="J1074" s="29" t="s">
        <v>9309</v>
      </c>
      <c r="K1074" s="37">
        <v>0</v>
      </c>
    </row>
    <row r="1075" spans="1:11">
      <c r="A1075" s="31">
        <v>1075</v>
      </c>
      <c r="B1075" s="29" t="s">
        <v>7173</v>
      </c>
      <c r="C1075" s="29" t="s">
        <v>2426</v>
      </c>
      <c r="D1075" s="33">
        <v>4.9833333</v>
      </c>
      <c r="E1075" s="33">
        <v>-75.583333300000007</v>
      </c>
      <c r="F1075" s="29" t="s">
        <v>8090</v>
      </c>
      <c r="G1075" s="29" t="s">
        <v>8090</v>
      </c>
      <c r="H1075" s="35" t="s">
        <v>8091</v>
      </c>
      <c r="I1075" s="29"/>
      <c r="J1075" s="29" t="s">
        <v>9310</v>
      </c>
      <c r="K1075" s="37">
        <v>0</v>
      </c>
    </row>
    <row r="1076" spans="1:11">
      <c r="A1076" s="31">
        <v>1076</v>
      </c>
      <c r="B1076" s="29" t="s">
        <v>9311</v>
      </c>
      <c r="C1076" s="29" t="s">
        <v>9312</v>
      </c>
      <c r="D1076" s="33">
        <v>5.0609900000000003</v>
      </c>
      <c r="E1076" s="33">
        <v>-75.608980000000003</v>
      </c>
      <c r="F1076" s="29" t="s">
        <v>8090</v>
      </c>
      <c r="G1076" s="29" t="s">
        <v>8090</v>
      </c>
      <c r="H1076" s="35" t="s">
        <v>8091</v>
      </c>
      <c r="I1076" s="29"/>
      <c r="J1076" s="29" t="s">
        <v>9313</v>
      </c>
      <c r="K1076" s="37">
        <v>0</v>
      </c>
    </row>
    <row r="1077" spans="1:11">
      <c r="A1077" s="31">
        <v>1077</v>
      </c>
      <c r="B1077" s="29" t="s">
        <v>9314</v>
      </c>
      <c r="C1077" s="29" t="s">
        <v>9315</v>
      </c>
      <c r="D1077" s="33">
        <v>4.9252222220000004</v>
      </c>
      <c r="E1077" s="33">
        <v>-75.453083329999998</v>
      </c>
      <c r="F1077" s="29" t="s">
        <v>8090</v>
      </c>
      <c r="G1077" s="29" t="s">
        <v>8090</v>
      </c>
      <c r="H1077" s="35" t="s">
        <v>8091</v>
      </c>
      <c r="I1077" s="29"/>
      <c r="J1077" s="29" t="s">
        <v>9316</v>
      </c>
      <c r="K1077" s="37">
        <v>0</v>
      </c>
    </row>
    <row r="1078" spans="1:11">
      <c r="A1078" s="31">
        <v>1078</v>
      </c>
      <c r="B1078" s="29" t="s">
        <v>1536</v>
      </c>
      <c r="C1078" s="29" t="s">
        <v>1537</v>
      </c>
      <c r="D1078" s="33">
        <v>5.0588889000000004</v>
      </c>
      <c r="E1078" s="33">
        <v>-75.735444400000006</v>
      </c>
      <c r="F1078" s="29" t="s">
        <v>8090</v>
      </c>
      <c r="G1078" s="29" t="s">
        <v>8090</v>
      </c>
      <c r="H1078" s="35" t="s">
        <v>8091</v>
      </c>
      <c r="I1078" s="29"/>
      <c r="J1078" s="29"/>
      <c r="K1078" s="37">
        <v>1</v>
      </c>
    </row>
    <row r="1079" spans="1:11">
      <c r="A1079" s="31">
        <v>1079</v>
      </c>
      <c r="B1079" s="29" t="s">
        <v>9317</v>
      </c>
      <c r="C1079" s="29" t="s">
        <v>9318</v>
      </c>
      <c r="D1079" s="33">
        <v>1.4173100000000001</v>
      </c>
      <c r="E1079" s="33">
        <v>-75.879739999999998</v>
      </c>
      <c r="F1079" s="29" t="s">
        <v>8090</v>
      </c>
      <c r="G1079" s="29" t="s">
        <v>8090</v>
      </c>
      <c r="H1079" s="35" t="s">
        <v>8091</v>
      </c>
      <c r="I1079" s="29"/>
      <c r="J1079" s="29" t="s">
        <v>9319</v>
      </c>
      <c r="K1079" s="37">
        <v>0</v>
      </c>
    </row>
    <row r="1080" spans="1:11">
      <c r="A1080" s="31">
        <v>1080</v>
      </c>
      <c r="B1080" s="29" t="s">
        <v>9317</v>
      </c>
      <c r="C1080" s="29" t="s">
        <v>9318</v>
      </c>
      <c r="D1080" s="33">
        <v>1.4173100000000001</v>
      </c>
      <c r="E1080" s="33">
        <v>-75.879739999999998</v>
      </c>
      <c r="F1080" s="29" t="s">
        <v>8090</v>
      </c>
      <c r="G1080" s="29" t="s">
        <v>8090</v>
      </c>
      <c r="H1080" s="35" t="s">
        <v>8091</v>
      </c>
      <c r="I1080" s="29"/>
      <c r="J1080" s="29"/>
      <c r="K1080" s="37">
        <v>1</v>
      </c>
    </row>
    <row r="1081" spans="1:11">
      <c r="A1081" s="31">
        <v>1081</v>
      </c>
      <c r="B1081" s="29" t="s">
        <v>7211</v>
      </c>
      <c r="C1081" s="29" t="s">
        <v>7212</v>
      </c>
      <c r="D1081" s="33">
        <v>0.91666669999999995</v>
      </c>
      <c r="E1081" s="33">
        <v>-72.75</v>
      </c>
      <c r="F1081" s="29" t="s">
        <v>8090</v>
      </c>
      <c r="G1081" s="29" t="s">
        <v>8090</v>
      </c>
      <c r="H1081" s="35" t="s">
        <v>8091</v>
      </c>
      <c r="I1081" s="29"/>
      <c r="J1081" s="29" t="s">
        <v>9320</v>
      </c>
      <c r="K1081" s="37">
        <v>0</v>
      </c>
    </row>
    <row r="1082" spans="1:11">
      <c r="A1082" s="31">
        <v>1082</v>
      </c>
      <c r="B1082" s="29" t="s">
        <v>5703</v>
      </c>
      <c r="C1082" s="29" t="s">
        <v>7223</v>
      </c>
      <c r="D1082" s="33">
        <v>1.0833333000000001</v>
      </c>
      <c r="E1082" s="33">
        <v>-72.666666699999993</v>
      </c>
      <c r="F1082" s="29" t="s">
        <v>8090</v>
      </c>
      <c r="G1082" s="29" t="s">
        <v>8090</v>
      </c>
      <c r="H1082" s="35" t="s">
        <v>8091</v>
      </c>
      <c r="I1082" s="29"/>
      <c r="J1082" s="29" t="s">
        <v>9321</v>
      </c>
      <c r="K1082" s="37">
        <v>0</v>
      </c>
    </row>
    <row r="1083" spans="1:11">
      <c r="A1083" s="31">
        <v>1083</v>
      </c>
      <c r="B1083" s="29" t="s">
        <v>5703</v>
      </c>
      <c r="C1083" s="29" t="s">
        <v>7223</v>
      </c>
      <c r="D1083" s="33">
        <v>1.0833333000000001</v>
      </c>
      <c r="E1083" s="33">
        <v>-72.666666699999993</v>
      </c>
      <c r="F1083" s="29" t="s">
        <v>8090</v>
      </c>
      <c r="G1083" s="29" t="s">
        <v>8090</v>
      </c>
      <c r="H1083" s="35" t="s">
        <v>8091</v>
      </c>
      <c r="I1083" s="29"/>
      <c r="J1083" s="29"/>
      <c r="K1083" s="37">
        <v>1</v>
      </c>
    </row>
    <row r="1084" spans="1:11">
      <c r="A1084" s="31">
        <v>1084</v>
      </c>
      <c r="B1084" s="29" t="s">
        <v>7236</v>
      </c>
      <c r="C1084" s="29" t="s">
        <v>7237</v>
      </c>
      <c r="D1084" s="33">
        <v>8.8999999999999996E-2</v>
      </c>
      <c r="E1084" s="33">
        <v>-72.445333300000001</v>
      </c>
      <c r="F1084" s="29" t="s">
        <v>8090</v>
      </c>
      <c r="G1084" s="29" t="s">
        <v>8090</v>
      </c>
      <c r="H1084" s="35" t="s">
        <v>8091</v>
      </c>
      <c r="I1084" s="29"/>
      <c r="J1084" s="29" t="s">
        <v>9322</v>
      </c>
      <c r="K1084" s="37">
        <v>0</v>
      </c>
    </row>
    <row r="1085" spans="1:11">
      <c r="A1085" s="31">
        <v>1085</v>
      </c>
      <c r="B1085" s="29" t="s">
        <v>7247</v>
      </c>
      <c r="C1085" s="29" t="s">
        <v>7248</v>
      </c>
      <c r="D1085" s="33">
        <v>0.27305560000000001</v>
      </c>
      <c r="E1085" s="33">
        <v>-72.506500000000003</v>
      </c>
      <c r="F1085" s="29" t="s">
        <v>8090</v>
      </c>
      <c r="G1085" s="29" t="s">
        <v>8090</v>
      </c>
      <c r="H1085" s="35" t="s">
        <v>8091</v>
      </c>
      <c r="I1085" s="29"/>
      <c r="J1085" s="29" t="s">
        <v>9323</v>
      </c>
      <c r="K1085" s="37">
        <v>0</v>
      </c>
    </row>
    <row r="1086" spans="1:11">
      <c r="A1086" s="31">
        <v>1086</v>
      </c>
      <c r="B1086" s="29" t="s">
        <v>7258</v>
      </c>
      <c r="C1086" s="29" t="s">
        <v>7259</v>
      </c>
      <c r="D1086" s="33">
        <v>7.1111099999999997E-2</v>
      </c>
      <c r="E1086" s="33">
        <v>-72.446666699999994</v>
      </c>
      <c r="F1086" s="29" t="s">
        <v>8090</v>
      </c>
      <c r="G1086" s="29" t="s">
        <v>8090</v>
      </c>
      <c r="H1086" s="35" t="s">
        <v>8091</v>
      </c>
      <c r="I1086" s="29"/>
      <c r="J1086" s="29" t="s">
        <v>9324</v>
      </c>
      <c r="K1086" s="37">
        <v>0</v>
      </c>
    </row>
    <row r="1087" spans="1:11">
      <c r="A1087" s="31">
        <v>1087</v>
      </c>
      <c r="B1087" s="29" t="s">
        <v>6141</v>
      </c>
      <c r="C1087" s="29" t="s">
        <v>7268</v>
      </c>
      <c r="D1087" s="33">
        <v>0.9375</v>
      </c>
      <c r="E1087" s="33">
        <v>-72.700166699999997</v>
      </c>
      <c r="F1087" s="29" t="s">
        <v>8090</v>
      </c>
      <c r="G1087" s="29" t="s">
        <v>8090</v>
      </c>
      <c r="H1087" s="35" t="s">
        <v>8091</v>
      </c>
      <c r="I1087" s="29"/>
      <c r="J1087" s="29" t="s">
        <v>9325</v>
      </c>
      <c r="K1087" s="37">
        <v>0</v>
      </c>
    </row>
    <row r="1088" spans="1:11">
      <c r="A1088" s="31">
        <v>1088</v>
      </c>
      <c r="B1088" s="29" t="s">
        <v>7279</v>
      </c>
      <c r="C1088" s="29" t="s">
        <v>7280</v>
      </c>
      <c r="D1088" s="33">
        <v>2.2612777999999998</v>
      </c>
      <c r="E1088" s="33">
        <v>-76.741425000000007</v>
      </c>
      <c r="F1088" s="29" t="s">
        <v>8090</v>
      </c>
      <c r="G1088" s="29" t="s">
        <v>8090</v>
      </c>
      <c r="H1088" s="35" t="s">
        <v>8091</v>
      </c>
      <c r="I1088" s="29"/>
      <c r="J1088" s="29" t="s">
        <v>9326</v>
      </c>
      <c r="K1088" s="37">
        <v>0</v>
      </c>
    </row>
    <row r="1089" spans="1:11">
      <c r="A1089" s="31">
        <v>1089</v>
      </c>
      <c r="B1089" s="29" t="s">
        <v>9327</v>
      </c>
      <c r="C1089" s="29" t="s">
        <v>9328</v>
      </c>
      <c r="D1089" s="33">
        <v>2.5521199999999999</v>
      </c>
      <c r="E1089" s="33">
        <v>-77.864909999999995</v>
      </c>
      <c r="F1089" s="29" t="s">
        <v>8090</v>
      </c>
      <c r="G1089" s="29" t="s">
        <v>8090</v>
      </c>
      <c r="H1089" s="35" t="s">
        <v>8091</v>
      </c>
      <c r="I1089" s="29"/>
      <c r="J1089" s="29" t="s">
        <v>9329</v>
      </c>
      <c r="K1089" s="37">
        <v>0</v>
      </c>
    </row>
    <row r="1090" spans="1:11">
      <c r="A1090" s="31">
        <v>1090</v>
      </c>
      <c r="B1090" s="29" t="s">
        <v>773</v>
      </c>
      <c r="C1090" s="29" t="s">
        <v>774</v>
      </c>
      <c r="D1090" s="33">
        <v>2.4500000000000002</v>
      </c>
      <c r="E1090" s="33">
        <v>-76.616666699999996</v>
      </c>
      <c r="F1090" s="29" t="s">
        <v>8090</v>
      </c>
      <c r="G1090" s="29" t="s">
        <v>8090</v>
      </c>
      <c r="H1090" s="35" t="s">
        <v>8091</v>
      </c>
      <c r="I1090" s="29"/>
      <c r="J1090" s="29"/>
      <c r="K1090" s="37">
        <v>1</v>
      </c>
    </row>
    <row r="1091" spans="1:11">
      <c r="A1091" s="31">
        <v>1091</v>
      </c>
      <c r="B1091" s="29" t="s">
        <v>773</v>
      </c>
      <c r="C1091" s="29" t="s">
        <v>774</v>
      </c>
      <c r="D1091" s="33">
        <v>2.4500000000000002</v>
      </c>
      <c r="E1091" s="33">
        <v>-76.616666699999996</v>
      </c>
      <c r="F1091" s="29" t="s">
        <v>8090</v>
      </c>
      <c r="G1091" s="29" t="s">
        <v>8090</v>
      </c>
      <c r="H1091" s="35" t="s">
        <v>8091</v>
      </c>
      <c r="I1091" s="29"/>
      <c r="J1091" s="29"/>
      <c r="K1091" s="37">
        <v>1</v>
      </c>
    </row>
    <row r="1092" spans="1:11">
      <c r="A1092" s="31">
        <v>1092</v>
      </c>
      <c r="B1092" s="29" t="s">
        <v>773</v>
      </c>
      <c r="C1092" s="29" t="s">
        <v>774</v>
      </c>
      <c r="D1092" s="33">
        <v>2.4500000000000002</v>
      </c>
      <c r="E1092" s="33">
        <v>-76.616666699999996</v>
      </c>
      <c r="F1092" s="29" t="s">
        <v>8090</v>
      </c>
      <c r="G1092" s="29" t="s">
        <v>8090</v>
      </c>
      <c r="H1092" s="35" t="s">
        <v>8091</v>
      </c>
      <c r="I1092" s="29"/>
      <c r="J1092" s="29"/>
      <c r="K1092" s="37">
        <v>1</v>
      </c>
    </row>
    <row r="1093" spans="1:11">
      <c r="A1093" s="31">
        <v>1093</v>
      </c>
      <c r="B1093" s="29" t="s">
        <v>8146</v>
      </c>
      <c r="C1093" s="29" t="s">
        <v>8147</v>
      </c>
      <c r="D1093" s="33">
        <v>2.51058</v>
      </c>
      <c r="E1093" s="33">
        <v>-76.984210000000004</v>
      </c>
      <c r="F1093" s="29" t="s">
        <v>8090</v>
      </c>
      <c r="G1093" s="29" t="s">
        <v>8090</v>
      </c>
      <c r="H1093" s="35" t="s">
        <v>8091</v>
      </c>
      <c r="I1093" s="29"/>
      <c r="J1093" s="29"/>
      <c r="K1093" s="37">
        <v>1</v>
      </c>
    </row>
    <row r="1094" spans="1:11">
      <c r="A1094" s="31">
        <v>1094</v>
      </c>
      <c r="B1094" s="29" t="s">
        <v>7314</v>
      </c>
      <c r="C1094" s="29" t="s">
        <v>7315</v>
      </c>
      <c r="D1094" s="33">
        <v>1.8520833000000001</v>
      </c>
      <c r="E1094" s="33">
        <v>-76.924722200000005</v>
      </c>
      <c r="F1094" s="29" t="s">
        <v>8090</v>
      </c>
      <c r="G1094" s="29" t="s">
        <v>8090</v>
      </c>
      <c r="H1094" s="35" t="s">
        <v>8091</v>
      </c>
      <c r="I1094" s="29"/>
      <c r="J1094" s="29" t="s">
        <v>9330</v>
      </c>
      <c r="K1094" s="37">
        <v>0</v>
      </c>
    </row>
    <row r="1095" spans="1:11">
      <c r="A1095" s="31">
        <v>1095</v>
      </c>
      <c r="B1095" s="29" t="s">
        <v>9331</v>
      </c>
      <c r="C1095" s="29" t="s">
        <v>9332</v>
      </c>
      <c r="D1095" s="33">
        <v>5.4020799999999998</v>
      </c>
      <c r="E1095" s="33">
        <v>-77.396320000000003</v>
      </c>
      <c r="F1095" s="29" t="s">
        <v>8090</v>
      </c>
      <c r="G1095" s="29" t="s">
        <v>8090</v>
      </c>
      <c r="H1095" s="35" t="s">
        <v>8091</v>
      </c>
      <c r="I1095" s="29"/>
      <c r="J1095" s="29" t="s">
        <v>9333</v>
      </c>
      <c r="K1095" s="37">
        <v>0</v>
      </c>
    </row>
    <row r="1096" spans="1:11">
      <c r="A1096" s="31">
        <v>1096</v>
      </c>
      <c r="B1096" s="29" t="s">
        <v>9334</v>
      </c>
      <c r="C1096" s="29" t="s">
        <v>9335</v>
      </c>
      <c r="D1096" s="33">
        <v>5.7024900000000001</v>
      </c>
      <c r="E1096" s="33">
        <v>-76.764259999999993</v>
      </c>
      <c r="F1096" s="29" t="s">
        <v>8090</v>
      </c>
      <c r="G1096" s="29" t="s">
        <v>8090</v>
      </c>
      <c r="H1096" s="35" t="s">
        <v>8091</v>
      </c>
      <c r="I1096" s="29"/>
      <c r="J1096" s="29" t="s">
        <v>9336</v>
      </c>
      <c r="K1096" s="37">
        <v>0</v>
      </c>
    </row>
    <row r="1097" spans="1:11">
      <c r="A1097" s="31">
        <v>1097</v>
      </c>
      <c r="B1097" s="29" t="s">
        <v>8330</v>
      </c>
      <c r="C1097" s="29" t="s">
        <v>8331</v>
      </c>
      <c r="D1097" s="33">
        <v>4.1569000000000003</v>
      </c>
      <c r="E1097" s="33">
        <v>-77.137039999999999</v>
      </c>
      <c r="F1097" s="29" t="s">
        <v>8090</v>
      </c>
      <c r="G1097" s="29" t="s">
        <v>8090</v>
      </c>
      <c r="H1097" s="35" t="s">
        <v>8091</v>
      </c>
      <c r="I1097" s="29"/>
      <c r="J1097" s="29"/>
      <c r="K1097" s="37">
        <v>1</v>
      </c>
    </row>
    <row r="1098" spans="1:11">
      <c r="A1098" s="31">
        <v>1098</v>
      </c>
      <c r="B1098" s="29" t="s">
        <v>4009</v>
      </c>
      <c r="C1098" s="29" t="s">
        <v>4010</v>
      </c>
      <c r="D1098" s="33">
        <v>5</v>
      </c>
      <c r="E1098" s="33">
        <v>-76.733333299999998</v>
      </c>
      <c r="F1098" s="29" t="s">
        <v>8090</v>
      </c>
      <c r="G1098" s="29" t="s">
        <v>8090</v>
      </c>
      <c r="H1098" s="35" t="s">
        <v>8091</v>
      </c>
      <c r="I1098" s="29"/>
      <c r="J1098" s="29"/>
      <c r="K1098" s="37">
        <v>1</v>
      </c>
    </row>
    <row r="1099" spans="1:11">
      <c r="A1099" s="31">
        <v>1099</v>
      </c>
      <c r="B1099" s="29" t="s">
        <v>9337</v>
      </c>
      <c r="C1099" s="29" t="s">
        <v>9338</v>
      </c>
      <c r="D1099" s="33">
        <v>5.6294000000000004</v>
      </c>
      <c r="E1099" s="33">
        <v>-76.629239999999996</v>
      </c>
      <c r="F1099" s="29" t="s">
        <v>8090</v>
      </c>
      <c r="G1099" s="29" t="s">
        <v>8090</v>
      </c>
      <c r="H1099" s="35" t="s">
        <v>8091</v>
      </c>
      <c r="I1099" s="29"/>
      <c r="J1099" s="29" t="s">
        <v>9339</v>
      </c>
      <c r="K1099" s="37">
        <v>0</v>
      </c>
    </row>
    <row r="1100" spans="1:11">
      <c r="A1100" s="31">
        <v>1100</v>
      </c>
      <c r="B1100" s="29" t="s">
        <v>8836</v>
      </c>
      <c r="C1100" s="29" t="s">
        <v>8837</v>
      </c>
      <c r="D1100" s="33">
        <v>6.0291199999999998</v>
      </c>
      <c r="E1100" s="33">
        <v>-77.364859999999993</v>
      </c>
      <c r="F1100" s="29" t="s">
        <v>8090</v>
      </c>
      <c r="G1100" s="29" t="s">
        <v>8090</v>
      </c>
      <c r="H1100" s="35" t="s">
        <v>8091</v>
      </c>
      <c r="I1100" s="29"/>
      <c r="J1100" s="29"/>
      <c r="K1100" s="37">
        <v>1</v>
      </c>
    </row>
    <row r="1101" spans="1:11">
      <c r="A1101" s="31">
        <v>1101</v>
      </c>
      <c r="B1101" s="29" t="s">
        <v>7355</v>
      </c>
      <c r="C1101" s="29" t="s">
        <v>7356</v>
      </c>
      <c r="D1101" s="33">
        <v>5.7</v>
      </c>
      <c r="E1101" s="33">
        <v>-77.266666700000002</v>
      </c>
      <c r="F1101" s="29" t="s">
        <v>8090</v>
      </c>
      <c r="G1101" s="29" t="s">
        <v>8090</v>
      </c>
      <c r="H1101" s="35" t="s">
        <v>8091</v>
      </c>
      <c r="I1101" s="29"/>
      <c r="J1101" s="29" t="s">
        <v>9340</v>
      </c>
      <c r="K1101" s="37">
        <v>0</v>
      </c>
    </row>
    <row r="1102" spans="1:11">
      <c r="A1102" s="31">
        <v>1102</v>
      </c>
      <c r="B1102" s="29" t="s">
        <v>4052</v>
      </c>
      <c r="C1102" s="29" t="s">
        <v>4053</v>
      </c>
      <c r="D1102" s="33">
        <v>5.2177806000000002</v>
      </c>
      <c r="E1102" s="33">
        <v>-76.634866700000003</v>
      </c>
      <c r="F1102" s="29" t="s">
        <v>8090</v>
      </c>
      <c r="G1102" s="29" t="s">
        <v>8090</v>
      </c>
      <c r="H1102" s="35" t="s">
        <v>8091</v>
      </c>
      <c r="I1102" s="29"/>
      <c r="J1102" s="29"/>
      <c r="K1102" s="37">
        <v>1</v>
      </c>
    </row>
    <row r="1103" spans="1:11">
      <c r="A1103" s="31">
        <v>1103</v>
      </c>
      <c r="B1103" s="29" t="s">
        <v>1371</v>
      </c>
      <c r="C1103" s="29" t="s">
        <v>1372</v>
      </c>
      <c r="D1103" s="33">
        <v>4.8692722000000002</v>
      </c>
      <c r="E1103" s="33">
        <v>-76.250647200000003</v>
      </c>
      <c r="F1103" s="29" t="s">
        <v>8090</v>
      </c>
      <c r="G1103" s="29" t="s">
        <v>8090</v>
      </c>
      <c r="H1103" s="35" t="s">
        <v>8091</v>
      </c>
      <c r="I1103" s="29"/>
      <c r="J1103" s="29"/>
      <c r="K1103" s="37">
        <v>1</v>
      </c>
    </row>
    <row r="1104" spans="1:11">
      <c r="A1104" s="31">
        <v>1104</v>
      </c>
      <c r="B1104" s="29" t="s">
        <v>9341</v>
      </c>
      <c r="C1104" s="29" t="s">
        <v>9342</v>
      </c>
      <c r="D1104" s="33">
        <v>4.84084</v>
      </c>
      <c r="E1104" s="33">
        <v>-73.651290000000003</v>
      </c>
      <c r="F1104" s="29" t="s">
        <v>8090</v>
      </c>
      <c r="G1104" s="29" t="s">
        <v>8090</v>
      </c>
      <c r="H1104" s="35" t="s">
        <v>8091</v>
      </c>
      <c r="I1104" s="29"/>
      <c r="J1104" s="29" t="s">
        <v>9343</v>
      </c>
      <c r="K1104" s="37">
        <v>0</v>
      </c>
    </row>
    <row r="1105" spans="1:11">
      <c r="A1105" s="31">
        <v>1105</v>
      </c>
      <c r="B1105" s="29" t="s">
        <v>9344</v>
      </c>
      <c r="C1105" s="29" t="s">
        <v>9345</v>
      </c>
      <c r="D1105" s="33">
        <v>4.33948</v>
      </c>
      <c r="E1105" s="33">
        <v>-74.478880000000004</v>
      </c>
      <c r="F1105" s="29" t="s">
        <v>8090</v>
      </c>
      <c r="G1105" s="29" t="s">
        <v>8090</v>
      </c>
      <c r="H1105" s="35" t="s">
        <v>8091</v>
      </c>
      <c r="I1105" s="29"/>
      <c r="J1105" s="29" t="s">
        <v>9346</v>
      </c>
      <c r="K1105" s="37">
        <v>0</v>
      </c>
    </row>
    <row r="1106" spans="1:11">
      <c r="A1106" s="31">
        <v>1106</v>
      </c>
      <c r="B1106" s="29" t="s">
        <v>9184</v>
      </c>
      <c r="C1106" s="29" t="s">
        <v>9185</v>
      </c>
      <c r="D1106" s="33">
        <v>5.5583200000000001</v>
      </c>
      <c r="E1106" s="33">
        <v>-74.291569999999993</v>
      </c>
      <c r="F1106" s="29" t="s">
        <v>8090</v>
      </c>
      <c r="G1106" s="29" t="s">
        <v>8090</v>
      </c>
      <c r="H1106" s="35" t="s">
        <v>8091</v>
      </c>
      <c r="I1106" s="29"/>
      <c r="J1106" s="29"/>
      <c r="K1106" s="37">
        <v>1</v>
      </c>
    </row>
    <row r="1107" spans="1:11">
      <c r="A1107" s="31">
        <v>1107</v>
      </c>
      <c r="B1107" s="29" t="s">
        <v>2103</v>
      </c>
      <c r="C1107" s="29" t="s">
        <v>7394</v>
      </c>
      <c r="D1107" s="33">
        <v>4.8666666999999997</v>
      </c>
      <c r="E1107" s="33">
        <v>-74.433333300000001</v>
      </c>
      <c r="F1107" s="29" t="s">
        <v>8090</v>
      </c>
      <c r="G1107" s="29" t="s">
        <v>8090</v>
      </c>
      <c r="H1107" s="35" t="s">
        <v>8091</v>
      </c>
      <c r="I1107" s="29"/>
      <c r="J1107" s="29" t="s">
        <v>9347</v>
      </c>
      <c r="K1107" s="37">
        <v>0</v>
      </c>
    </row>
    <row r="1108" spans="1:11">
      <c r="A1108" s="31">
        <v>1108</v>
      </c>
      <c r="B1108" s="29" t="s">
        <v>9348</v>
      </c>
      <c r="C1108" s="29" t="s">
        <v>9349</v>
      </c>
      <c r="D1108" s="33">
        <v>2.7359800000000001</v>
      </c>
      <c r="E1108" s="33">
        <v>-67.921019999999999</v>
      </c>
      <c r="F1108" s="29" t="s">
        <v>8090</v>
      </c>
      <c r="G1108" s="29" t="s">
        <v>8090</v>
      </c>
      <c r="H1108" s="35" t="s">
        <v>8091</v>
      </c>
      <c r="I1108" s="29"/>
      <c r="J1108" s="29" t="s">
        <v>9350</v>
      </c>
      <c r="K1108" s="37">
        <v>0</v>
      </c>
    </row>
    <row r="1109" spans="1:11">
      <c r="A1109" s="31">
        <v>1109</v>
      </c>
      <c r="B1109" s="29" t="s">
        <v>9351</v>
      </c>
      <c r="C1109" s="29" t="s">
        <v>9352</v>
      </c>
      <c r="D1109" s="33">
        <v>2.3857300000000001</v>
      </c>
      <c r="E1109" s="33">
        <v>-68.617140000000006</v>
      </c>
      <c r="F1109" s="29" t="s">
        <v>8090</v>
      </c>
      <c r="G1109" s="29" t="s">
        <v>8090</v>
      </c>
      <c r="H1109" s="35" t="s">
        <v>8091</v>
      </c>
      <c r="I1109" s="29"/>
      <c r="J1109" s="29" t="s">
        <v>9353</v>
      </c>
      <c r="K1109" s="37">
        <v>0</v>
      </c>
    </row>
    <row r="1110" spans="1:11">
      <c r="A1110" s="31">
        <v>1110</v>
      </c>
      <c r="B1110" s="29" t="s">
        <v>7417</v>
      </c>
      <c r="C1110" s="29" t="s">
        <v>7418</v>
      </c>
      <c r="D1110" s="33">
        <v>2.4744443999999999</v>
      </c>
      <c r="E1110" s="33">
        <v>-72.696666699999994</v>
      </c>
      <c r="F1110" s="29" t="s">
        <v>8090</v>
      </c>
      <c r="G1110" s="29" t="s">
        <v>8090</v>
      </c>
      <c r="H1110" s="35" t="s">
        <v>8091</v>
      </c>
      <c r="I1110" s="29"/>
      <c r="J1110" s="29" t="s">
        <v>9354</v>
      </c>
      <c r="K1110" s="37">
        <v>0</v>
      </c>
    </row>
    <row r="1111" spans="1:11">
      <c r="A1111" s="31">
        <v>1111</v>
      </c>
      <c r="B1111" s="29" t="s">
        <v>1622</v>
      </c>
      <c r="C1111" s="29" t="s">
        <v>1623</v>
      </c>
      <c r="D1111" s="33">
        <v>1.8562917000000001</v>
      </c>
      <c r="E1111" s="33">
        <v>-76.039391699999996</v>
      </c>
      <c r="F1111" s="29" t="s">
        <v>8090</v>
      </c>
      <c r="G1111" s="29" t="s">
        <v>8090</v>
      </c>
      <c r="H1111" s="35" t="s">
        <v>8091</v>
      </c>
      <c r="I1111" s="29"/>
      <c r="J1111" s="29"/>
      <c r="K1111" s="37">
        <v>1</v>
      </c>
    </row>
    <row r="1112" spans="1:11">
      <c r="A1112" s="31">
        <v>1112</v>
      </c>
      <c r="B1112" s="29" t="s">
        <v>1622</v>
      </c>
      <c r="C1112" s="29" t="s">
        <v>1623</v>
      </c>
      <c r="D1112" s="33">
        <v>1.8562917000000001</v>
      </c>
      <c r="E1112" s="33">
        <v>-76.039391699999996</v>
      </c>
      <c r="F1112" s="29" t="s">
        <v>8090</v>
      </c>
      <c r="G1112" s="29" t="s">
        <v>8090</v>
      </c>
      <c r="H1112" s="35" t="s">
        <v>8091</v>
      </c>
      <c r="I1112" s="29"/>
      <c r="J1112" s="29"/>
      <c r="K1112" s="37">
        <v>1</v>
      </c>
    </row>
    <row r="1113" spans="1:11">
      <c r="A1113" s="31">
        <v>1113</v>
      </c>
      <c r="B1113" s="29" t="s">
        <v>1646</v>
      </c>
      <c r="C1113" s="29" t="s">
        <v>1647</v>
      </c>
      <c r="D1113" s="33">
        <v>3.3769999999999998</v>
      </c>
      <c r="E1113" s="33">
        <v>-74.802458299999998</v>
      </c>
      <c r="F1113" s="29" t="s">
        <v>8090</v>
      </c>
      <c r="G1113" s="29" t="s">
        <v>8090</v>
      </c>
      <c r="H1113" s="35" t="s">
        <v>8091</v>
      </c>
      <c r="I1113" s="29"/>
      <c r="J1113" s="29"/>
      <c r="K1113" s="37">
        <v>1</v>
      </c>
    </row>
    <row r="1114" spans="1:11">
      <c r="A1114" s="31">
        <v>1114</v>
      </c>
      <c r="B1114" s="29" t="s">
        <v>7438</v>
      </c>
      <c r="C1114" s="29" t="s">
        <v>7439</v>
      </c>
      <c r="D1114" s="33">
        <v>2.9287361000000001</v>
      </c>
      <c r="E1114" s="33">
        <v>-75.284149999999997</v>
      </c>
      <c r="F1114" s="29" t="s">
        <v>8090</v>
      </c>
      <c r="G1114" s="29" t="s">
        <v>8090</v>
      </c>
      <c r="H1114" s="35" t="s">
        <v>8091</v>
      </c>
      <c r="I1114" s="29"/>
      <c r="J1114" s="29" t="s">
        <v>9355</v>
      </c>
      <c r="K1114" s="37">
        <v>0</v>
      </c>
    </row>
    <row r="1115" spans="1:11">
      <c r="A1115" s="31">
        <v>1115</v>
      </c>
      <c r="B1115" s="29" t="s">
        <v>2958</v>
      </c>
      <c r="C1115" s="29" t="s">
        <v>329</v>
      </c>
      <c r="D1115" s="33">
        <v>1.7689805999999999</v>
      </c>
      <c r="E1115" s="33">
        <v>-76.018733299999994</v>
      </c>
      <c r="F1115" s="29" t="s">
        <v>8090</v>
      </c>
      <c r="G1115" s="29" t="s">
        <v>8090</v>
      </c>
      <c r="H1115" s="35" t="s">
        <v>8091</v>
      </c>
      <c r="I1115" s="29"/>
      <c r="J1115" s="29"/>
      <c r="K1115" s="37">
        <v>1</v>
      </c>
    </row>
    <row r="1116" spans="1:11">
      <c r="A1116" s="31">
        <v>1116</v>
      </c>
      <c r="B1116" s="29" t="s">
        <v>2958</v>
      </c>
      <c r="C1116" s="29" t="s">
        <v>329</v>
      </c>
      <c r="D1116" s="33">
        <v>1.7689805999999999</v>
      </c>
      <c r="E1116" s="33">
        <v>-76.018733299999994</v>
      </c>
      <c r="F1116" s="29" t="s">
        <v>8090</v>
      </c>
      <c r="G1116" s="29" t="s">
        <v>8090</v>
      </c>
      <c r="H1116" s="35" t="s">
        <v>8091</v>
      </c>
      <c r="I1116" s="29"/>
      <c r="J1116" s="29"/>
      <c r="K1116" s="37">
        <v>1</v>
      </c>
    </row>
    <row r="1117" spans="1:11">
      <c r="A1117" s="31">
        <v>1117</v>
      </c>
      <c r="B1117" s="29" t="s">
        <v>3006</v>
      </c>
      <c r="C1117" s="29" t="s">
        <v>3007</v>
      </c>
      <c r="D1117" s="33">
        <v>10.933333299999999</v>
      </c>
      <c r="E1117" s="33">
        <v>-73.966666700000005</v>
      </c>
      <c r="F1117" s="29" t="s">
        <v>8090</v>
      </c>
      <c r="G1117" s="29" t="s">
        <v>8090</v>
      </c>
      <c r="H1117" s="35" t="s">
        <v>8091</v>
      </c>
      <c r="I1117" s="29"/>
      <c r="J1117" s="29"/>
      <c r="K1117" s="37">
        <v>1</v>
      </c>
    </row>
    <row r="1118" spans="1:11">
      <c r="A1118" s="31">
        <v>1118</v>
      </c>
      <c r="B1118" s="29" t="s">
        <v>8659</v>
      </c>
      <c r="C1118" s="29" t="s">
        <v>8660</v>
      </c>
      <c r="D1118" s="33">
        <v>2.9626999999999999</v>
      </c>
      <c r="E1118" s="33">
        <v>-73.88673</v>
      </c>
      <c r="F1118" s="29" t="s">
        <v>8090</v>
      </c>
      <c r="G1118" s="29" t="s">
        <v>8090</v>
      </c>
      <c r="H1118" s="35" t="s">
        <v>8091</v>
      </c>
      <c r="I1118" s="29"/>
      <c r="J1118" s="29"/>
      <c r="K1118" s="37">
        <v>1</v>
      </c>
    </row>
    <row r="1119" spans="1:11">
      <c r="A1119" s="31">
        <v>1119</v>
      </c>
      <c r="B1119" s="29" t="s">
        <v>9356</v>
      </c>
      <c r="C1119" s="29" t="s">
        <v>9357</v>
      </c>
      <c r="D1119" s="33">
        <v>3.40666</v>
      </c>
      <c r="E1119" s="33">
        <v>-73.459339999999997</v>
      </c>
      <c r="F1119" s="29" t="s">
        <v>8090</v>
      </c>
      <c r="G1119" s="29" t="s">
        <v>8090</v>
      </c>
      <c r="H1119" s="35" t="s">
        <v>8091</v>
      </c>
      <c r="I1119" s="29"/>
      <c r="J1119" s="29" t="s">
        <v>9358</v>
      </c>
      <c r="K1119" s="37">
        <v>0</v>
      </c>
    </row>
    <row r="1120" spans="1:11">
      <c r="A1120" s="31">
        <v>1120</v>
      </c>
      <c r="B1120" s="29" t="s">
        <v>9359</v>
      </c>
      <c r="C1120" s="29" t="s">
        <v>9360</v>
      </c>
      <c r="D1120" s="33">
        <v>2.2343099999999998</v>
      </c>
      <c r="E1120" s="33">
        <v>-73.812799999999996</v>
      </c>
      <c r="F1120" s="29" t="s">
        <v>8090</v>
      </c>
      <c r="G1120" s="29" t="s">
        <v>8090</v>
      </c>
      <c r="H1120" s="35" t="s">
        <v>8091</v>
      </c>
      <c r="I1120" s="29"/>
      <c r="J1120" s="29" t="s">
        <v>9361</v>
      </c>
      <c r="K1120" s="37">
        <v>0</v>
      </c>
    </row>
    <row r="1121" spans="1:11">
      <c r="A1121" s="31">
        <v>1121</v>
      </c>
      <c r="B1121" s="29" t="s">
        <v>9359</v>
      </c>
      <c r="C1121" s="29" t="s">
        <v>9360</v>
      </c>
      <c r="D1121" s="33">
        <v>2.2343099999999998</v>
      </c>
      <c r="E1121" s="33">
        <v>-73.812799999999996</v>
      </c>
      <c r="F1121" s="29" t="s">
        <v>8090</v>
      </c>
      <c r="G1121" s="29" t="s">
        <v>8090</v>
      </c>
      <c r="H1121" s="35" t="s">
        <v>8091</v>
      </c>
      <c r="I1121" s="29"/>
      <c r="J1121" s="29"/>
      <c r="K1121" s="37">
        <v>1</v>
      </c>
    </row>
    <row r="1122" spans="1:11">
      <c r="A1122" s="31">
        <v>1122</v>
      </c>
      <c r="B1122" s="29" t="s">
        <v>9362</v>
      </c>
      <c r="C1122" s="29" t="s">
        <v>9363</v>
      </c>
      <c r="D1122" s="33">
        <v>3.9916200000000002</v>
      </c>
      <c r="E1122" s="33">
        <v>-73.359120000000004</v>
      </c>
      <c r="F1122" s="29" t="s">
        <v>8090</v>
      </c>
      <c r="G1122" s="29" t="s">
        <v>8090</v>
      </c>
      <c r="H1122" s="35" t="s">
        <v>8091</v>
      </c>
      <c r="I1122" s="29"/>
      <c r="J1122" s="29" t="s">
        <v>9364</v>
      </c>
      <c r="K1122" s="37">
        <v>0</v>
      </c>
    </row>
    <row r="1123" spans="1:11">
      <c r="A1123" s="31">
        <v>1123</v>
      </c>
      <c r="B1123" s="29" t="s">
        <v>9365</v>
      </c>
      <c r="C1123" s="29" t="s">
        <v>9366</v>
      </c>
      <c r="D1123" s="33">
        <v>4.2010199999999998</v>
      </c>
      <c r="E1123" s="33">
        <v>-73.743470000000002</v>
      </c>
      <c r="F1123" s="29" t="s">
        <v>8090</v>
      </c>
      <c r="G1123" s="29" t="s">
        <v>8090</v>
      </c>
      <c r="H1123" s="35" t="s">
        <v>8091</v>
      </c>
      <c r="I1123" s="29"/>
      <c r="J1123" s="29" t="s">
        <v>9367</v>
      </c>
      <c r="K1123" s="37">
        <v>0</v>
      </c>
    </row>
    <row r="1124" spans="1:11">
      <c r="A1124" s="31">
        <v>1124</v>
      </c>
      <c r="B1124" s="29" t="s">
        <v>9368</v>
      </c>
      <c r="C1124" s="29" t="s">
        <v>9369</v>
      </c>
      <c r="D1124" s="33">
        <v>4.2712300000000001</v>
      </c>
      <c r="E1124" s="33">
        <v>-73.51549</v>
      </c>
      <c r="F1124" s="29" t="s">
        <v>8090</v>
      </c>
      <c r="G1124" s="29" t="s">
        <v>8090</v>
      </c>
      <c r="H1124" s="35" t="s">
        <v>8091</v>
      </c>
      <c r="I1124" s="29"/>
      <c r="J1124" s="29" t="s">
        <v>9370</v>
      </c>
      <c r="K1124" s="37">
        <v>0</v>
      </c>
    </row>
    <row r="1125" spans="1:11">
      <c r="A1125" s="31">
        <v>1125</v>
      </c>
      <c r="B1125" s="29" t="s">
        <v>7506</v>
      </c>
      <c r="C1125" s="29" t="s">
        <v>7507</v>
      </c>
      <c r="D1125" s="33">
        <v>1.1176111</v>
      </c>
      <c r="E1125" s="33">
        <v>-76.319972199999995</v>
      </c>
      <c r="F1125" s="29" t="s">
        <v>8090</v>
      </c>
      <c r="G1125" s="29" t="s">
        <v>8090</v>
      </c>
      <c r="H1125" s="35" t="s">
        <v>8091</v>
      </c>
      <c r="I1125" s="29"/>
      <c r="J1125" s="29" t="s">
        <v>9371</v>
      </c>
      <c r="K1125" s="37">
        <v>0</v>
      </c>
    </row>
    <row r="1126" spans="1:11">
      <c r="A1126" s="31">
        <v>1126</v>
      </c>
      <c r="B1126" s="29" t="s">
        <v>8093</v>
      </c>
      <c r="C1126" s="29" t="s">
        <v>8094</v>
      </c>
      <c r="D1126" s="33">
        <v>1.0825899999999999</v>
      </c>
      <c r="E1126" s="33">
        <v>-76.664119999999997</v>
      </c>
      <c r="F1126" s="29" t="s">
        <v>8090</v>
      </c>
      <c r="G1126" s="29" t="s">
        <v>8090</v>
      </c>
      <c r="H1126" s="35" t="s">
        <v>8091</v>
      </c>
      <c r="I1126" s="29"/>
      <c r="J1126" s="29"/>
      <c r="K1126" s="37">
        <v>1</v>
      </c>
    </row>
    <row r="1127" spans="1:11">
      <c r="A1127" s="31">
        <v>1127</v>
      </c>
      <c r="B1127" s="29" t="s">
        <v>8093</v>
      </c>
      <c r="C1127" s="29" t="s">
        <v>8094</v>
      </c>
      <c r="D1127" s="33">
        <v>1.0825899999999999</v>
      </c>
      <c r="E1127" s="33">
        <v>-76.664119999999997</v>
      </c>
      <c r="F1127" s="29" t="s">
        <v>8090</v>
      </c>
      <c r="G1127" s="29" t="s">
        <v>8090</v>
      </c>
      <c r="H1127" s="35" t="s">
        <v>8091</v>
      </c>
      <c r="I1127" s="29"/>
      <c r="J1127" s="29"/>
      <c r="K1127" s="37">
        <v>1</v>
      </c>
    </row>
    <row r="1128" spans="1:11">
      <c r="A1128" s="31">
        <v>1128</v>
      </c>
      <c r="B1128" s="29" t="s">
        <v>7524</v>
      </c>
      <c r="C1128" s="29" t="s">
        <v>7525</v>
      </c>
      <c r="D1128" s="33">
        <v>4.4421944</v>
      </c>
      <c r="E1128" s="33">
        <v>-75.791572200000004</v>
      </c>
      <c r="F1128" s="29" t="s">
        <v>8090</v>
      </c>
      <c r="G1128" s="29" t="s">
        <v>8090</v>
      </c>
      <c r="H1128" s="35" t="s">
        <v>8091</v>
      </c>
      <c r="I1128" s="29"/>
      <c r="J1128" s="29" t="s">
        <v>9372</v>
      </c>
      <c r="K1128" s="37">
        <v>0</v>
      </c>
    </row>
    <row r="1129" spans="1:11">
      <c r="A1129" s="31">
        <v>1129</v>
      </c>
      <c r="B1129" s="29" t="s">
        <v>7524</v>
      </c>
      <c r="C1129" s="29" t="s">
        <v>7525</v>
      </c>
      <c r="D1129" s="33">
        <v>4.4421944</v>
      </c>
      <c r="E1129" s="33">
        <v>-75.791572200000004</v>
      </c>
      <c r="F1129" s="29" t="s">
        <v>8090</v>
      </c>
      <c r="G1129" s="29" t="s">
        <v>8090</v>
      </c>
      <c r="H1129" s="35" t="s">
        <v>8091</v>
      </c>
      <c r="I1129" s="29"/>
      <c r="J1129" s="29"/>
      <c r="K1129" s="37">
        <v>1</v>
      </c>
    </row>
    <row r="1130" spans="1:11">
      <c r="A1130" s="31">
        <v>1130</v>
      </c>
      <c r="B1130" s="29" t="s">
        <v>9373</v>
      </c>
      <c r="C1130" s="29" t="s">
        <v>9374</v>
      </c>
      <c r="D1130" s="33">
        <v>4.6485300000000001</v>
      </c>
      <c r="E1130" s="33">
        <v>-75.729789999999994</v>
      </c>
      <c r="F1130" s="29" t="s">
        <v>8090</v>
      </c>
      <c r="G1130" s="29" t="s">
        <v>8090</v>
      </c>
      <c r="H1130" s="35" t="s">
        <v>8091</v>
      </c>
      <c r="I1130" s="29"/>
      <c r="J1130" s="29" t="s">
        <v>9375</v>
      </c>
      <c r="K1130" s="37">
        <v>0</v>
      </c>
    </row>
    <row r="1131" spans="1:11">
      <c r="A1131" s="31">
        <v>1131</v>
      </c>
      <c r="B1131" s="29" t="s">
        <v>9376</v>
      </c>
      <c r="C1131" s="29" t="s">
        <v>9377</v>
      </c>
      <c r="D1131" s="33">
        <v>4.5914599999999997</v>
      </c>
      <c r="E1131" s="33">
        <v>-75.682969999999997</v>
      </c>
      <c r="F1131" s="29" t="s">
        <v>8090</v>
      </c>
      <c r="G1131" s="29" t="s">
        <v>8090</v>
      </c>
      <c r="H1131" s="35" t="s">
        <v>8091</v>
      </c>
      <c r="I1131" s="29"/>
      <c r="J1131" s="29" t="s">
        <v>9378</v>
      </c>
      <c r="K1131" s="37">
        <v>0</v>
      </c>
    </row>
    <row r="1132" spans="1:11">
      <c r="A1132" s="31">
        <v>1132</v>
      </c>
      <c r="B1132" s="29" t="s">
        <v>9379</v>
      </c>
      <c r="C1132" s="29" t="s">
        <v>9380</v>
      </c>
      <c r="D1132" s="33">
        <v>4.5100300000000004</v>
      </c>
      <c r="E1132" s="33">
        <v>-75.613339999999994</v>
      </c>
      <c r="F1132" s="29" t="s">
        <v>8090</v>
      </c>
      <c r="G1132" s="29" t="s">
        <v>8090</v>
      </c>
      <c r="H1132" s="35" t="s">
        <v>8091</v>
      </c>
      <c r="I1132" s="29"/>
      <c r="J1132" s="29" t="s">
        <v>9381</v>
      </c>
      <c r="K1132" s="37">
        <v>0</v>
      </c>
    </row>
    <row r="1133" spans="1:11">
      <c r="A1133" s="31">
        <v>1133</v>
      </c>
      <c r="B1133" s="29" t="s">
        <v>9382</v>
      </c>
      <c r="C1133" s="29" t="s">
        <v>9383</v>
      </c>
      <c r="D1133" s="33">
        <v>4.6857499999999996</v>
      </c>
      <c r="E1133" s="33">
        <v>-75.6327</v>
      </c>
      <c r="F1133" s="29" t="s">
        <v>8090</v>
      </c>
      <c r="G1133" s="29" t="s">
        <v>8090</v>
      </c>
      <c r="H1133" s="35" t="s">
        <v>8091</v>
      </c>
      <c r="I1133" s="29"/>
      <c r="J1133" s="29" t="s">
        <v>9384</v>
      </c>
      <c r="K1133" s="37">
        <v>0</v>
      </c>
    </row>
    <row r="1134" spans="1:11">
      <c r="A1134" s="31">
        <v>1134</v>
      </c>
      <c r="B1134" s="29" t="s">
        <v>801</v>
      </c>
      <c r="C1134" s="29" t="s">
        <v>2437</v>
      </c>
      <c r="D1134" s="33">
        <v>4.6666667000000004</v>
      </c>
      <c r="E1134" s="33">
        <v>-75.633333300000004</v>
      </c>
      <c r="F1134" s="29" t="s">
        <v>8090</v>
      </c>
      <c r="G1134" s="29" t="s">
        <v>8090</v>
      </c>
      <c r="H1134" s="35" t="s">
        <v>8091</v>
      </c>
      <c r="I1134" s="29"/>
      <c r="J1134" s="29" t="s">
        <v>9385</v>
      </c>
      <c r="K1134" s="37">
        <v>0</v>
      </c>
    </row>
    <row r="1135" spans="1:11">
      <c r="A1135" s="31">
        <v>1135</v>
      </c>
      <c r="B1135" s="29" t="s">
        <v>801</v>
      </c>
      <c r="C1135" s="29" t="s">
        <v>2437</v>
      </c>
      <c r="D1135" s="33">
        <v>4.6666667000000004</v>
      </c>
      <c r="E1135" s="33">
        <v>-75.633333300000004</v>
      </c>
      <c r="F1135" s="29" t="s">
        <v>8090</v>
      </c>
      <c r="G1135" s="29" t="s">
        <v>8090</v>
      </c>
      <c r="H1135" s="35" t="s">
        <v>8091</v>
      </c>
      <c r="I1135" s="29"/>
      <c r="J1135" s="29"/>
      <c r="K1135" s="37">
        <v>1</v>
      </c>
    </row>
    <row r="1136" spans="1:11">
      <c r="A1136" s="31">
        <v>1136</v>
      </c>
      <c r="B1136" s="29" t="s">
        <v>801</v>
      </c>
      <c r="C1136" s="29" t="s">
        <v>2437</v>
      </c>
      <c r="D1136" s="33">
        <v>4.6666667000000004</v>
      </c>
      <c r="E1136" s="33">
        <v>-75.633333300000004</v>
      </c>
      <c r="F1136" s="29" t="s">
        <v>8090</v>
      </c>
      <c r="G1136" s="29" t="s">
        <v>8090</v>
      </c>
      <c r="H1136" s="35" t="s">
        <v>8091</v>
      </c>
      <c r="I1136" s="29"/>
      <c r="J1136" s="29"/>
      <c r="K1136" s="37">
        <v>1</v>
      </c>
    </row>
    <row r="1137" spans="1:11">
      <c r="A1137" s="31">
        <v>1137</v>
      </c>
      <c r="B1137" s="29" t="s">
        <v>7584</v>
      </c>
      <c r="C1137" s="29" t="s">
        <v>7585</v>
      </c>
      <c r="D1137" s="33">
        <v>4.5579277999999999</v>
      </c>
      <c r="E1137" s="33">
        <v>-75.754591700000006</v>
      </c>
      <c r="F1137" s="29" t="s">
        <v>8090</v>
      </c>
      <c r="G1137" s="29" t="s">
        <v>8090</v>
      </c>
      <c r="H1137" s="35" t="s">
        <v>8091</v>
      </c>
      <c r="I1137" s="29"/>
      <c r="J1137" s="29" t="s">
        <v>9386</v>
      </c>
      <c r="K1137" s="37">
        <v>0</v>
      </c>
    </row>
    <row r="1138" spans="1:11">
      <c r="A1138" s="31">
        <v>1138</v>
      </c>
      <c r="B1138" s="29" t="s">
        <v>9387</v>
      </c>
      <c r="C1138" s="29" t="s">
        <v>9388</v>
      </c>
      <c r="D1138" s="33">
        <v>4.6090299999999997</v>
      </c>
      <c r="E1138" s="33">
        <v>-75.693470000000005</v>
      </c>
      <c r="F1138" s="29" t="s">
        <v>8090</v>
      </c>
      <c r="G1138" s="29" t="s">
        <v>8090</v>
      </c>
      <c r="H1138" s="35" t="s">
        <v>8091</v>
      </c>
      <c r="I1138" s="29"/>
      <c r="J1138" s="29" t="s">
        <v>9389</v>
      </c>
      <c r="K1138" s="37">
        <v>0</v>
      </c>
    </row>
    <row r="1139" spans="1:11">
      <c r="A1139" s="31">
        <v>1139</v>
      </c>
      <c r="B1139" s="29" t="s">
        <v>8163</v>
      </c>
      <c r="C1139" s="29" t="s">
        <v>8164</v>
      </c>
      <c r="D1139" s="33">
        <v>4.72879</v>
      </c>
      <c r="E1139" s="33">
        <v>-75.5779</v>
      </c>
      <c r="F1139" s="29" t="s">
        <v>8090</v>
      </c>
      <c r="G1139" s="29" t="s">
        <v>8090</v>
      </c>
      <c r="H1139" s="35" t="s">
        <v>8091</v>
      </c>
      <c r="I1139" s="29"/>
      <c r="J1139" s="29"/>
      <c r="K1139" s="37">
        <v>1</v>
      </c>
    </row>
    <row r="1140" spans="1:11">
      <c r="A1140" s="31">
        <v>1140</v>
      </c>
      <c r="B1140" s="29" t="s">
        <v>9390</v>
      </c>
      <c r="C1140" s="29" t="s">
        <v>9391</v>
      </c>
      <c r="D1140" s="33">
        <v>6.3023100000000003</v>
      </c>
      <c r="E1140" s="33">
        <v>-73.189239999999998</v>
      </c>
      <c r="F1140" s="29" t="s">
        <v>8090</v>
      </c>
      <c r="G1140" s="29" t="s">
        <v>8090</v>
      </c>
      <c r="H1140" s="35" t="s">
        <v>8091</v>
      </c>
      <c r="I1140" s="29"/>
      <c r="J1140" s="29" t="s">
        <v>9392</v>
      </c>
      <c r="K1140" s="37">
        <v>0</v>
      </c>
    </row>
    <row r="1141" spans="1:11">
      <c r="A1141" s="31">
        <v>1141</v>
      </c>
      <c r="B1141" s="29" t="s">
        <v>9393</v>
      </c>
      <c r="C1141" s="29" t="s">
        <v>9394</v>
      </c>
      <c r="D1141" s="33">
        <v>3.9420700000000002</v>
      </c>
      <c r="E1141" s="33">
        <v>-74.591309999999993</v>
      </c>
      <c r="F1141" s="29" t="s">
        <v>8090</v>
      </c>
      <c r="G1141" s="29" t="s">
        <v>8090</v>
      </c>
      <c r="H1141" s="35" t="s">
        <v>8091</v>
      </c>
      <c r="I1141" s="29"/>
      <c r="J1141" s="29" t="s">
        <v>9395</v>
      </c>
      <c r="K1141" s="37">
        <v>0</v>
      </c>
    </row>
    <row r="1142" spans="1:11">
      <c r="A1142" s="31">
        <v>1142</v>
      </c>
      <c r="B1142" s="29" t="s">
        <v>5500</v>
      </c>
      <c r="C1142" s="29" t="s">
        <v>2310</v>
      </c>
      <c r="D1142" s="33">
        <v>4.4333333000000001</v>
      </c>
      <c r="E1142" s="33">
        <v>-75.233333299999998</v>
      </c>
      <c r="F1142" s="29" t="s">
        <v>8090</v>
      </c>
      <c r="G1142" s="29" t="s">
        <v>8090</v>
      </c>
      <c r="H1142" s="35" t="s">
        <v>8091</v>
      </c>
      <c r="I1142" s="29"/>
      <c r="J1142" s="29" t="s">
        <v>9396</v>
      </c>
      <c r="K1142" s="37">
        <v>0</v>
      </c>
    </row>
    <row r="1143" spans="1:11">
      <c r="A1143" s="31">
        <v>1143</v>
      </c>
      <c r="B1143" s="29" t="s">
        <v>8856</v>
      </c>
      <c r="C1143" s="29" t="s">
        <v>8857</v>
      </c>
      <c r="D1143" s="33">
        <v>4.0020600000000002</v>
      </c>
      <c r="E1143" s="33">
        <v>-76.978319999999997</v>
      </c>
      <c r="F1143" s="29" t="s">
        <v>8090</v>
      </c>
      <c r="G1143" s="29" t="s">
        <v>8090</v>
      </c>
      <c r="H1143" s="35" t="s">
        <v>8091</v>
      </c>
      <c r="I1143" s="29"/>
      <c r="J1143" s="29"/>
      <c r="K1143" s="37">
        <v>1</v>
      </c>
    </row>
    <row r="1144" spans="1:11">
      <c r="A1144" s="31">
        <v>1144</v>
      </c>
      <c r="B1144" s="29" t="s">
        <v>9083</v>
      </c>
      <c r="C1144" s="29" t="s">
        <v>9084</v>
      </c>
      <c r="D1144" s="33">
        <v>3.61633</v>
      </c>
      <c r="E1144" s="33">
        <v>-76.898060000000001</v>
      </c>
      <c r="F1144" s="29" t="s">
        <v>8090</v>
      </c>
      <c r="G1144" s="29" t="s">
        <v>8090</v>
      </c>
      <c r="H1144" s="35" t="s">
        <v>8091</v>
      </c>
      <c r="I1144" s="29"/>
      <c r="J1144" s="29"/>
      <c r="K1144" s="37">
        <v>1</v>
      </c>
    </row>
    <row r="1145" spans="1:11">
      <c r="A1145" s="31">
        <v>1145</v>
      </c>
      <c r="B1145" s="29" t="s">
        <v>9397</v>
      </c>
      <c r="C1145" s="29" t="s">
        <v>9398</v>
      </c>
      <c r="D1145" s="33">
        <v>3.9285999999999999</v>
      </c>
      <c r="E1145" s="33">
        <v>-77.356459999999998</v>
      </c>
      <c r="F1145" s="29" t="s">
        <v>8090</v>
      </c>
      <c r="G1145" s="29" t="s">
        <v>8090</v>
      </c>
      <c r="H1145" s="35" t="s">
        <v>8091</v>
      </c>
      <c r="I1145" s="29"/>
      <c r="J1145" s="29" t="s">
        <v>9399</v>
      </c>
      <c r="K1145" s="37">
        <v>0</v>
      </c>
    </row>
    <row r="1146" spans="1:11">
      <c r="A1146" s="31">
        <v>1146</v>
      </c>
      <c r="B1146" s="29" t="s">
        <v>9083</v>
      </c>
      <c r="C1146" s="29" t="s">
        <v>9084</v>
      </c>
      <c r="D1146" s="33">
        <v>3.61633</v>
      </c>
      <c r="E1146" s="33">
        <v>-76.898060000000001</v>
      </c>
      <c r="F1146" s="29" t="s">
        <v>8090</v>
      </c>
      <c r="G1146" s="29" t="s">
        <v>8090</v>
      </c>
      <c r="H1146" s="35" t="s">
        <v>8091</v>
      </c>
      <c r="I1146" s="29"/>
      <c r="J1146" s="29"/>
      <c r="K1146" s="37">
        <v>1</v>
      </c>
    </row>
    <row r="1147" spans="1:11">
      <c r="A1147" s="31">
        <v>1147</v>
      </c>
      <c r="B1147" s="29" t="s">
        <v>9400</v>
      </c>
      <c r="C1147" s="29" t="s">
        <v>9401</v>
      </c>
      <c r="D1147" s="33">
        <v>4.67096</v>
      </c>
      <c r="E1147" s="33">
        <v>-75.768280000000004</v>
      </c>
      <c r="F1147" s="29" t="s">
        <v>8090</v>
      </c>
      <c r="G1147" s="29" t="s">
        <v>8090</v>
      </c>
      <c r="H1147" s="35" t="s">
        <v>8091</v>
      </c>
      <c r="I1147" s="29"/>
      <c r="J1147" s="29" t="s">
        <v>9402</v>
      </c>
      <c r="K1147" s="37">
        <v>0</v>
      </c>
    </row>
    <row r="1148" spans="1:11">
      <c r="A1148" s="31">
        <v>1148</v>
      </c>
      <c r="B1148" s="29" t="s">
        <v>9403</v>
      </c>
      <c r="C1148" s="29" t="s">
        <v>9404</v>
      </c>
      <c r="D1148" s="33">
        <v>3.9116399999999998</v>
      </c>
      <c r="E1148" s="33">
        <v>-76.620720000000006</v>
      </c>
      <c r="F1148" s="29" t="s">
        <v>8090</v>
      </c>
      <c r="G1148" s="29" t="s">
        <v>8090</v>
      </c>
      <c r="H1148" s="35" t="s">
        <v>8091</v>
      </c>
      <c r="I1148" s="29"/>
      <c r="J1148" s="29" t="s">
        <v>9405</v>
      </c>
      <c r="K1148" s="37">
        <v>0</v>
      </c>
    </row>
    <row r="1149" spans="1:11">
      <c r="A1149" s="31">
        <v>1149</v>
      </c>
      <c r="B1149" s="29" t="s">
        <v>9406</v>
      </c>
      <c r="C1149" s="29" t="s">
        <v>9407</v>
      </c>
      <c r="D1149" s="33">
        <v>3.3749799999999999</v>
      </c>
      <c r="E1149" s="33">
        <v>-76.534480000000002</v>
      </c>
      <c r="F1149" s="29" t="s">
        <v>8090</v>
      </c>
      <c r="G1149" s="29" t="s">
        <v>8090</v>
      </c>
      <c r="H1149" s="35" t="s">
        <v>8091</v>
      </c>
      <c r="I1149" s="29"/>
      <c r="J1149" s="29" t="s">
        <v>9408</v>
      </c>
      <c r="K1149" s="37">
        <v>0</v>
      </c>
    </row>
    <row r="1150" spans="1:11">
      <c r="A1150" s="31">
        <v>1150</v>
      </c>
      <c r="B1150" s="29" t="s">
        <v>9409</v>
      </c>
      <c r="C1150" s="29" t="s">
        <v>9410</v>
      </c>
      <c r="D1150" s="33">
        <v>3.9367800000000002</v>
      </c>
      <c r="E1150" s="33">
        <v>-77.36533</v>
      </c>
      <c r="F1150" s="29" t="s">
        <v>8090</v>
      </c>
      <c r="G1150" s="29" t="s">
        <v>8090</v>
      </c>
      <c r="H1150" s="35" t="s">
        <v>8091</v>
      </c>
      <c r="I1150" s="29"/>
      <c r="J1150" s="29" t="s">
        <v>9411</v>
      </c>
      <c r="K1150" s="37">
        <v>0</v>
      </c>
    </row>
    <row r="1151" spans="1:11">
      <c r="A1151" s="31">
        <v>1151</v>
      </c>
      <c r="B1151" s="29" t="s">
        <v>9409</v>
      </c>
      <c r="C1151" s="29" t="s">
        <v>9410</v>
      </c>
      <c r="D1151" s="33">
        <v>3.9367800000000002</v>
      </c>
      <c r="E1151" s="33">
        <v>-77.36533</v>
      </c>
      <c r="F1151" s="29" t="s">
        <v>8090</v>
      </c>
      <c r="G1151" s="29" t="s">
        <v>8090</v>
      </c>
      <c r="H1151" s="35" t="s">
        <v>8091</v>
      </c>
      <c r="I1151" s="29"/>
      <c r="J1151" s="29"/>
      <c r="K1151" s="37">
        <v>1</v>
      </c>
    </row>
    <row r="1152" spans="1:11">
      <c r="A1152" s="31">
        <v>1152</v>
      </c>
      <c r="B1152" s="29" t="s">
        <v>9412</v>
      </c>
      <c r="C1152" s="29" t="s">
        <v>9413</v>
      </c>
      <c r="D1152" s="33">
        <v>3.7527900000000001</v>
      </c>
      <c r="E1152" s="33">
        <v>-76.581789999999998</v>
      </c>
      <c r="F1152" s="29" t="s">
        <v>8090</v>
      </c>
      <c r="G1152" s="29" t="s">
        <v>8090</v>
      </c>
      <c r="H1152" s="35" t="s">
        <v>8091</v>
      </c>
      <c r="I1152" s="29"/>
      <c r="J1152" s="29" t="s">
        <v>9414</v>
      </c>
      <c r="K1152" s="37">
        <v>0</v>
      </c>
    </row>
    <row r="1153" spans="1:11">
      <c r="A1153" s="31">
        <v>1153</v>
      </c>
      <c r="B1153" s="29" t="s">
        <v>9415</v>
      </c>
      <c r="C1153" s="29" t="s">
        <v>9416</v>
      </c>
      <c r="D1153" s="33">
        <v>3.3633799999999998</v>
      </c>
      <c r="E1153" s="33">
        <v>-76.523250000000004</v>
      </c>
      <c r="F1153" s="29" t="s">
        <v>8090</v>
      </c>
      <c r="G1153" s="29" t="s">
        <v>8090</v>
      </c>
      <c r="H1153" s="35" t="s">
        <v>8091</v>
      </c>
      <c r="I1153" s="29"/>
      <c r="J1153" s="29" t="s">
        <v>9417</v>
      </c>
      <c r="K1153" s="37">
        <v>0</v>
      </c>
    </row>
    <row r="1154" spans="1:11">
      <c r="A1154" s="31">
        <v>1154</v>
      </c>
      <c r="B1154" s="29" t="s">
        <v>9418</v>
      </c>
      <c r="C1154" s="29" t="s">
        <v>9419</v>
      </c>
      <c r="D1154" s="33">
        <v>3.8369800000000001</v>
      </c>
      <c r="E1154" s="33">
        <v>-77.191190000000006</v>
      </c>
      <c r="F1154" s="29" t="s">
        <v>8090</v>
      </c>
      <c r="G1154" s="29" t="s">
        <v>8090</v>
      </c>
      <c r="H1154" s="35" t="s">
        <v>8091</v>
      </c>
      <c r="I1154" s="29"/>
      <c r="J1154" s="29" t="s">
        <v>9420</v>
      </c>
      <c r="K1154" s="37">
        <v>0</v>
      </c>
    </row>
    <row r="1155" spans="1:11">
      <c r="A1155" s="31">
        <v>1155</v>
      </c>
      <c r="B1155" s="29" t="s">
        <v>7676</v>
      </c>
      <c r="C1155" s="29" t="s">
        <v>7677</v>
      </c>
      <c r="D1155" s="33">
        <v>0.25</v>
      </c>
      <c r="E1155" s="33">
        <v>-70.5</v>
      </c>
      <c r="F1155" s="29" t="s">
        <v>8090</v>
      </c>
      <c r="G1155" s="29" t="s">
        <v>8090</v>
      </c>
      <c r="H1155" s="35" t="s">
        <v>8091</v>
      </c>
      <c r="I1155" s="29"/>
      <c r="J1155" s="29" t="s">
        <v>9421</v>
      </c>
      <c r="K1155" s="37">
        <v>0</v>
      </c>
    </row>
    <row r="1156" spans="1:11">
      <c r="A1156" s="31">
        <v>1156</v>
      </c>
      <c r="B1156" s="29" t="s">
        <v>7676</v>
      </c>
      <c r="C1156" s="29" t="s">
        <v>7677</v>
      </c>
      <c r="D1156" s="33">
        <v>0.25</v>
      </c>
      <c r="E1156" s="33">
        <v>-70.5</v>
      </c>
      <c r="F1156" s="29" t="s">
        <v>8090</v>
      </c>
      <c r="G1156" s="29" t="s">
        <v>8090</v>
      </c>
      <c r="H1156" s="35" t="s">
        <v>8091</v>
      </c>
      <c r="I1156" s="29"/>
      <c r="J1156" s="29"/>
      <c r="K1156" s="37">
        <v>1</v>
      </c>
    </row>
    <row r="1157" spans="1:11">
      <c r="A1157" s="31">
        <v>1157</v>
      </c>
      <c r="B1157" s="29" t="s">
        <v>9422</v>
      </c>
      <c r="C1157" s="29" t="s">
        <v>9423</v>
      </c>
      <c r="D1157" s="33">
        <v>4.89466</v>
      </c>
      <c r="E1157" s="33">
        <v>-71.010729999999995</v>
      </c>
      <c r="F1157" s="29" t="s">
        <v>8090</v>
      </c>
      <c r="G1157" s="29" t="s">
        <v>8090</v>
      </c>
      <c r="H1157" s="35" t="s">
        <v>8091</v>
      </c>
      <c r="I1157" s="29"/>
      <c r="J1157" s="29" t="s">
        <v>9424</v>
      </c>
      <c r="K1157" s="37">
        <v>0</v>
      </c>
    </row>
    <row r="1158" spans="1:11">
      <c r="A1158" s="31">
        <v>1158</v>
      </c>
      <c r="B1158" s="29" t="s">
        <v>7701</v>
      </c>
      <c r="C1158" s="29" t="s">
        <v>7702</v>
      </c>
      <c r="D1158" s="33">
        <v>7.8333332999999996</v>
      </c>
      <c r="E1158" s="33">
        <v>-75.416666699999993</v>
      </c>
      <c r="F1158" s="29" t="s">
        <v>8090</v>
      </c>
      <c r="G1158" s="29" t="s">
        <v>8090</v>
      </c>
      <c r="H1158" s="35" t="s">
        <v>8091</v>
      </c>
      <c r="I1158" s="29"/>
      <c r="J1158" s="29" t="s">
        <v>9425</v>
      </c>
      <c r="K1158" s="37">
        <v>0</v>
      </c>
    </row>
    <row r="1159" spans="1:11">
      <c r="A1159" s="31">
        <v>1159</v>
      </c>
      <c r="B1159" s="29" t="s">
        <v>7714</v>
      </c>
      <c r="C1159" s="29" t="s">
        <v>1861</v>
      </c>
      <c r="D1159" s="33">
        <v>7.2333333</v>
      </c>
      <c r="E1159" s="33">
        <v>-76.416666699999993</v>
      </c>
      <c r="F1159" s="29" t="s">
        <v>8090</v>
      </c>
      <c r="G1159" s="29" t="s">
        <v>8090</v>
      </c>
      <c r="H1159" s="35" t="s">
        <v>8091</v>
      </c>
      <c r="I1159" s="29"/>
      <c r="J1159" s="29" t="s">
        <v>9426</v>
      </c>
      <c r="K1159" s="37">
        <v>0</v>
      </c>
    </row>
    <row r="1160" spans="1:11">
      <c r="A1160" s="31">
        <v>1160</v>
      </c>
      <c r="B1160" s="29" t="s">
        <v>7726</v>
      </c>
      <c r="C1160" s="29" t="s">
        <v>1609</v>
      </c>
      <c r="D1160" s="33">
        <v>4.7694444000000003</v>
      </c>
      <c r="E1160" s="33">
        <v>-73.3238889</v>
      </c>
      <c r="F1160" s="29" t="s">
        <v>8090</v>
      </c>
      <c r="G1160" s="29" t="s">
        <v>8090</v>
      </c>
      <c r="H1160" s="35" t="s">
        <v>8091</v>
      </c>
      <c r="I1160" s="29"/>
      <c r="J1160" s="29" t="s">
        <v>9427</v>
      </c>
      <c r="K1160" s="37">
        <v>0</v>
      </c>
    </row>
    <row r="1161" spans="1:11">
      <c r="A1161" s="31">
        <v>1161</v>
      </c>
      <c r="B1161" s="29" t="s">
        <v>7737</v>
      </c>
      <c r="C1161" s="29" t="s">
        <v>7738</v>
      </c>
      <c r="D1161" s="33">
        <v>4.7638889000000004</v>
      </c>
      <c r="E1161" s="33">
        <v>-73.348888900000006</v>
      </c>
      <c r="F1161" s="29" t="s">
        <v>8090</v>
      </c>
      <c r="G1161" s="29" t="s">
        <v>8090</v>
      </c>
      <c r="H1161" s="35" t="s">
        <v>8091</v>
      </c>
      <c r="I1161" s="29"/>
      <c r="J1161" s="29" t="s">
        <v>9428</v>
      </c>
      <c r="K1161" s="37">
        <v>0</v>
      </c>
    </row>
    <row r="1162" spans="1:11">
      <c r="A1162" s="31">
        <v>1162</v>
      </c>
      <c r="B1162" s="29" t="s">
        <v>9429</v>
      </c>
      <c r="C1162" s="29" t="s">
        <v>9430</v>
      </c>
      <c r="D1162" s="33">
        <v>8.3910599999999995</v>
      </c>
      <c r="E1162" s="33">
        <v>-73.28801</v>
      </c>
      <c r="F1162" s="29" t="s">
        <v>8090</v>
      </c>
      <c r="G1162" s="29" t="s">
        <v>8090</v>
      </c>
      <c r="H1162" s="35" t="s">
        <v>8091</v>
      </c>
      <c r="I1162" s="29"/>
      <c r="J1162" s="29" t="s">
        <v>9431</v>
      </c>
      <c r="K1162" s="37">
        <v>0</v>
      </c>
    </row>
    <row r="1163" spans="1:11">
      <c r="A1163" s="31">
        <v>1163</v>
      </c>
      <c r="B1163" s="29" t="s">
        <v>7757</v>
      </c>
      <c r="C1163" s="29" t="s">
        <v>1074</v>
      </c>
      <c r="D1163" s="33">
        <v>5.0833332999999996</v>
      </c>
      <c r="E1163" s="33">
        <v>-75.5084722</v>
      </c>
      <c r="F1163" s="29" t="s">
        <v>8090</v>
      </c>
      <c r="G1163" s="29" t="s">
        <v>8090</v>
      </c>
      <c r="H1163" s="35" t="s">
        <v>8091</v>
      </c>
      <c r="I1163" s="29"/>
      <c r="J1163" s="29" t="s">
        <v>9432</v>
      </c>
      <c r="K1163" s="37">
        <v>0</v>
      </c>
    </row>
    <row r="1164" spans="1:11">
      <c r="A1164" s="31">
        <v>1164</v>
      </c>
      <c r="B1164" s="29" t="s">
        <v>7771</v>
      </c>
      <c r="C1164" s="29" t="s">
        <v>7772</v>
      </c>
      <c r="D1164" s="33">
        <v>5.7897888999999996</v>
      </c>
      <c r="E1164" s="33">
        <v>-75.785111099999995</v>
      </c>
      <c r="F1164" s="29" t="s">
        <v>8090</v>
      </c>
      <c r="G1164" s="29" t="s">
        <v>8090</v>
      </c>
      <c r="H1164" s="35" t="s">
        <v>8091</v>
      </c>
      <c r="I1164" s="29"/>
      <c r="J1164" s="29" t="s">
        <v>9433</v>
      </c>
      <c r="K1164" s="37">
        <v>0</v>
      </c>
    </row>
    <row r="1165" spans="1:11">
      <c r="A1165" s="31">
        <v>1165</v>
      </c>
      <c r="B1165" s="29" t="s">
        <v>478</v>
      </c>
      <c r="C1165" s="29" t="s">
        <v>479</v>
      </c>
      <c r="D1165" s="33">
        <v>6.1550000000000002</v>
      </c>
      <c r="E1165" s="33">
        <v>-75.388888899999998</v>
      </c>
      <c r="F1165" s="29" t="s">
        <v>8090</v>
      </c>
      <c r="G1165" s="29" t="s">
        <v>8090</v>
      </c>
      <c r="H1165" s="35" t="s">
        <v>8091</v>
      </c>
      <c r="I1165" s="29"/>
      <c r="J1165" s="29" t="s">
        <v>9434</v>
      </c>
      <c r="K1165" s="37">
        <v>0</v>
      </c>
    </row>
    <row r="1166" spans="1:11">
      <c r="A1166" s="31">
        <v>1166</v>
      </c>
      <c r="B1166" s="29" t="s">
        <v>546</v>
      </c>
      <c r="C1166" s="29" t="s">
        <v>547</v>
      </c>
      <c r="D1166" s="33">
        <v>6.2800111000000003</v>
      </c>
      <c r="E1166" s="33">
        <v>-75.4427333</v>
      </c>
      <c r="F1166" s="29" t="s">
        <v>8090</v>
      </c>
      <c r="G1166" s="29" t="s">
        <v>8090</v>
      </c>
      <c r="H1166" s="35" t="s">
        <v>8091</v>
      </c>
      <c r="I1166" s="29"/>
      <c r="J1166" s="29"/>
      <c r="K1166" s="37">
        <v>1</v>
      </c>
    </row>
    <row r="1167" spans="1:11">
      <c r="A1167" s="31">
        <v>1167</v>
      </c>
      <c r="B1167" s="29" t="s">
        <v>7790</v>
      </c>
      <c r="C1167" s="29" t="s">
        <v>7791</v>
      </c>
      <c r="D1167" s="33">
        <v>2.1971582999999999</v>
      </c>
      <c r="E1167" s="33">
        <v>-75.638266700000003</v>
      </c>
      <c r="F1167" s="29" t="s">
        <v>8090</v>
      </c>
      <c r="G1167" s="29" t="s">
        <v>8090</v>
      </c>
      <c r="H1167" s="35" t="s">
        <v>8091</v>
      </c>
      <c r="I1167" s="29"/>
      <c r="J1167" s="29" t="s">
        <v>9435</v>
      </c>
      <c r="K1167" s="37">
        <v>0</v>
      </c>
    </row>
    <row r="1168" spans="1:11">
      <c r="A1168" s="31">
        <v>1168</v>
      </c>
      <c r="B1168" s="29" t="s">
        <v>9436</v>
      </c>
      <c r="C1168" s="29" t="s">
        <v>9437</v>
      </c>
      <c r="D1168" s="33">
        <v>6.2205899999999996</v>
      </c>
      <c r="E1168" s="33">
        <v>-75.554109999999994</v>
      </c>
      <c r="F1168" s="29" t="s">
        <v>8090</v>
      </c>
      <c r="G1168" s="29" t="s">
        <v>8090</v>
      </c>
      <c r="H1168" s="35" t="s">
        <v>8091</v>
      </c>
      <c r="I1168" s="29"/>
      <c r="J1168" s="29" t="s">
        <v>9438</v>
      </c>
      <c r="K1168" s="37">
        <v>0</v>
      </c>
    </row>
    <row r="1169" spans="1:11">
      <c r="A1169" s="31">
        <v>1169</v>
      </c>
      <c r="B1169" s="29" t="s">
        <v>9436</v>
      </c>
      <c r="C1169" s="29" t="s">
        <v>9437</v>
      </c>
      <c r="D1169" s="33">
        <v>6.2205899999999996</v>
      </c>
      <c r="E1169" s="33">
        <v>-75.554109999999994</v>
      </c>
      <c r="F1169" s="29" t="s">
        <v>8090</v>
      </c>
      <c r="G1169" s="29" t="s">
        <v>8090</v>
      </c>
      <c r="H1169" s="35" t="s">
        <v>8091</v>
      </c>
      <c r="I1169" s="29"/>
      <c r="J1169" s="29"/>
      <c r="K1169" s="37">
        <v>1</v>
      </c>
    </row>
    <row r="1170" spans="1:11">
      <c r="A1170" s="31">
        <v>1170</v>
      </c>
      <c r="B1170" s="29" t="s">
        <v>2309</v>
      </c>
      <c r="C1170" s="29" t="s">
        <v>2310</v>
      </c>
      <c r="D1170" s="33">
        <v>5.6833333000000001</v>
      </c>
      <c r="E1170" s="33">
        <v>-75.233333299999998</v>
      </c>
      <c r="F1170" s="29" t="s">
        <v>8090</v>
      </c>
      <c r="G1170" s="29" t="s">
        <v>8090</v>
      </c>
      <c r="H1170" s="35" t="s">
        <v>8091</v>
      </c>
      <c r="I1170" s="29"/>
      <c r="J1170" s="29"/>
      <c r="K1170" s="37">
        <v>1</v>
      </c>
    </row>
    <row r="1171" spans="1:11">
      <c r="A1171" s="31">
        <v>1171</v>
      </c>
      <c r="B1171" s="29" t="s">
        <v>2309</v>
      </c>
      <c r="C1171" s="29" t="s">
        <v>2310</v>
      </c>
      <c r="D1171" s="33">
        <v>5.6833333000000001</v>
      </c>
      <c r="E1171" s="33">
        <v>-75.233333299999998</v>
      </c>
      <c r="F1171" s="29" t="s">
        <v>8090</v>
      </c>
      <c r="G1171" s="29" t="s">
        <v>8090</v>
      </c>
      <c r="H1171" s="35" t="s">
        <v>8091</v>
      </c>
      <c r="I1171" s="29"/>
      <c r="J1171" s="29"/>
      <c r="K1171" s="37">
        <v>1</v>
      </c>
    </row>
    <row r="1172" spans="1:11">
      <c r="A1172" s="31">
        <v>1172</v>
      </c>
      <c r="B1172" s="29" t="s">
        <v>9439</v>
      </c>
      <c r="C1172" s="29" t="s">
        <v>9440</v>
      </c>
      <c r="D1172" s="33">
        <v>7.3436700000000004</v>
      </c>
      <c r="E1172" s="33">
        <v>-72.641599999999997</v>
      </c>
      <c r="F1172" s="29" t="s">
        <v>8090</v>
      </c>
      <c r="G1172" s="29" t="s">
        <v>8090</v>
      </c>
      <c r="H1172" s="35" t="s">
        <v>8091</v>
      </c>
      <c r="I1172" s="29"/>
      <c r="J1172" s="29" t="s">
        <v>9441</v>
      </c>
      <c r="K1172" s="37">
        <v>0</v>
      </c>
    </row>
    <row r="1173" spans="1:11">
      <c r="A1173" s="31">
        <v>1173</v>
      </c>
      <c r="B1173" s="29" t="s">
        <v>811</v>
      </c>
      <c r="C1173" s="29" t="s">
        <v>422</v>
      </c>
      <c r="D1173" s="33">
        <v>6.2833332999999998</v>
      </c>
      <c r="E1173" s="33">
        <v>-75.5</v>
      </c>
      <c r="F1173" s="29" t="s">
        <v>8090</v>
      </c>
      <c r="G1173" s="29" t="s">
        <v>8090</v>
      </c>
      <c r="H1173" s="35" t="s">
        <v>8091</v>
      </c>
      <c r="I1173" s="29"/>
      <c r="J1173" s="29"/>
      <c r="K1173" s="37">
        <v>1</v>
      </c>
    </row>
    <row r="1174" spans="1:11">
      <c r="A1174" s="31">
        <v>1174</v>
      </c>
      <c r="B1174" s="29" t="s">
        <v>811</v>
      </c>
      <c r="C1174" s="29" t="s">
        <v>422</v>
      </c>
      <c r="D1174" s="33">
        <v>6.2833332999999998</v>
      </c>
      <c r="E1174" s="33">
        <v>-75.5</v>
      </c>
      <c r="F1174" s="29" t="s">
        <v>8090</v>
      </c>
      <c r="G1174" s="29" t="s">
        <v>8090</v>
      </c>
      <c r="H1174" s="35" t="s">
        <v>8091</v>
      </c>
      <c r="I1174" s="29"/>
      <c r="J1174" s="29"/>
      <c r="K1174" s="37">
        <v>1</v>
      </c>
    </row>
    <row r="1175" spans="1:11">
      <c r="A1175" s="31">
        <v>1175</v>
      </c>
      <c r="B1175" s="29" t="s">
        <v>8807</v>
      </c>
      <c r="C1175" s="29" t="s">
        <v>8808</v>
      </c>
      <c r="D1175" s="33">
        <v>7.3167600000000004</v>
      </c>
      <c r="E1175" s="33">
        <v>-75.056430000000006</v>
      </c>
      <c r="F1175" s="29" t="s">
        <v>8090</v>
      </c>
      <c r="G1175" s="29" t="s">
        <v>8090</v>
      </c>
      <c r="H1175" s="35" t="s">
        <v>8091</v>
      </c>
      <c r="I1175" s="29"/>
      <c r="J1175" s="29"/>
      <c r="K1175" s="37">
        <v>1</v>
      </c>
    </row>
    <row r="1176" spans="1:11">
      <c r="A1176" s="31">
        <v>1176</v>
      </c>
      <c r="B1176" s="29" t="s">
        <v>546</v>
      </c>
      <c r="C1176" s="29" t="s">
        <v>547</v>
      </c>
      <c r="D1176" s="33">
        <v>6.2800111000000003</v>
      </c>
      <c r="E1176" s="33">
        <v>-75.4427333</v>
      </c>
      <c r="F1176" s="29" t="s">
        <v>8090</v>
      </c>
      <c r="G1176" s="29" t="s">
        <v>8090</v>
      </c>
      <c r="H1176" s="35" t="s">
        <v>8091</v>
      </c>
      <c r="I1176" s="29"/>
      <c r="J1176" s="29"/>
      <c r="K1176" s="37">
        <v>1</v>
      </c>
    </row>
    <row r="1177" spans="1:11">
      <c r="A1177" s="31">
        <v>1177</v>
      </c>
      <c r="B1177" s="29" t="s">
        <v>546</v>
      </c>
      <c r="C1177" s="29" t="s">
        <v>547</v>
      </c>
      <c r="D1177" s="33">
        <v>6.2800111000000003</v>
      </c>
      <c r="E1177" s="33">
        <v>-75.4427333</v>
      </c>
      <c r="F1177" s="29" t="s">
        <v>8090</v>
      </c>
      <c r="G1177" s="29" t="s">
        <v>8090</v>
      </c>
      <c r="H1177" s="35" t="s">
        <v>8091</v>
      </c>
      <c r="I1177" s="29"/>
      <c r="J1177" s="29"/>
      <c r="K1177" s="37">
        <v>1</v>
      </c>
    </row>
    <row r="1178" spans="1:11">
      <c r="A1178" s="31">
        <v>1178</v>
      </c>
      <c r="B1178" s="29" t="s">
        <v>3519</v>
      </c>
      <c r="C1178" s="29" t="s">
        <v>3520</v>
      </c>
      <c r="D1178" s="33">
        <v>6.2359249999999999</v>
      </c>
      <c r="E1178" s="33">
        <v>-75.575136099999995</v>
      </c>
      <c r="F1178" s="29" t="s">
        <v>8090</v>
      </c>
      <c r="G1178" s="29" t="s">
        <v>8090</v>
      </c>
      <c r="H1178" s="35" t="s">
        <v>8091</v>
      </c>
      <c r="I1178" s="29"/>
      <c r="J1178" s="29"/>
      <c r="K1178" s="37">
        <v>1</v>
      </c>
    </row>
    <row r="1179" spans="1:11">
      <c r="A1179" s="31">
        <v>1179</v>
      </c>
      <c r="B1179" s="29" t="s">
        <v>560</v>
      </c>
      <c r="C1179" s="29" t="s">
        <v>561</v>
      </c>
      <c r="D1179" s="33">
        <v>6.09</v>
      </c>
      <c r="E1179" s="33">
        <v>-75.638000000000005</v>
      </c>
      <c r="F1179" s="29" t="s">
        <v>8090</v>
      </c>
      <c r="G1179" s="29" t="s">
        <v>8090</v>
      </c>
      <c r="H1179" s="35" t="s">
        <v>8091</v>
      </c>
      <c r="I1179" s="29"/>
      <c r="J1179" s="29"/>
      <c r="K1179" s="37">
        <v>1</v>
      </c>
    </row>
    <row r="1180" spans="1:11">
      <c r="A1180" s="31">
        <v>1180</v>
      </c>
      <c r="B1180" s="29" t="s">
        <v>8506</v>
      </c>
      <c r="C1180" s="29" t="s">
        <v>8507</v>
      </c>
      <c r="D1180" s="33">
        <v>6.3112199999999996</v>
      </c>
      <c r="E1180" s="33">
        <v>-75.146090000000001</v>
      </c>
      <c r="F1180" s="29" t="s">
        <v>8090</v>
      </c>
      <c r="G1180" s="29" t="s">
        <v>8090</v>
      </c>
      <c r="H1180" s="35" t="s">
        <v>8091</v>
      </c>
      <c r="I1180" s="29"/>
      <c r="J1180" s="29"/>
      <c r="K1180" s="37">
        <v>1</v>
      </c>
    </row>
    <row r="1181" spans="1:11">
      <c r="A1181" s="31">
        <v>1181</v>
      </c>
      <c r="B1181" s="29" t="s">
        <v>560</v>
      </c>
      <c r="C1181" s="29" t="s">
        <v>561</v>
      </c>
      <c r="D1181" s="33">
        <v>6.09</v>
      </c>
      <c r="E1181" s="33">
        <v>-75.638000000000005</v>
      </c>
      <c r="F1181" s="29" t="s">
        <v>8090</v>
      </c>
      <c r="G1181" s="29" t="s">
        <v>8090</v>
      </c>
      <c r="H1181" s="35" t="s">
        <v>8091</v>
      </c>
      <c r="I1181" s="29"/>
      <c r="J1181" s="29"/>
      <c r="K1181" s="37">
        <v>1</v>
      </c>
    </row>
    <row r="1182" spans="1:11">
      <c r="A1182" s="31">
        <v>1182</v>
      </c>
      <c r="B1182" s="29" t="s">
        <v>560</v>
      </c>
      <c r="C1182" s="29" t="s">
        <v>561</v>
      </c>
      <c r="D1182" s="33">
        <v>6.09</v>
      </c>
      <c r="E1182" s="33">
        <v>-75.638000000000005</v>
      </c>
      <c r="F1182" s="29" t="s">
        <v>8090</v>
      </c>
      <c r="G1182" s="29" t="s">
        <v>8090</v>
      </c>
      <c r="H1182" s="35" t="s">
        <v>8091</v>
      </c>
      <c r="I1182" s="29"/>
      <c r="J1182" s="29"/>
      <c r="K1182" s="37">
        <v>1</v>
      </c>
    </row>
    <row r="1183" spans="1:11">
      <c r="A1183" s="31">
        <v>1183</v>
      </c>
      <c r="B1183" s="29" t="s">
        <v>2168</v>
      </c>
      <c r="C1183" s="29" t="s">
        <v>955</v>
      </c>
      <c r="D1183" s="33">
        <v>4.8697777999999996</v>
      </c>
      <c r="E1183" s="33">
        <v>-75.177352799999994</v>
      </c>
      <c r="F1183" s="29" t="s">
        <v>8090</v>
      </c>
      <c r="G1183" s="29" t="s">
        <v>8090</v>
      </c>
      <c r="H1183" s="35" t="s">
        <v>8091</v>
      </c>
      <c r="I1183" s="29"/>
      <c r="J1183" s="29"/>
      <c r="K1183" s="37">
        <v>1</v>
      </c>
    </row>
    <row r="1184" spans="1:11">
      <c r="A1184" s="31">
        <v>1184</v>
      </c>
      <c r="B1184" s="29" t="s">
        <v>546</v>
      </c>
      <c r="C1184" s="29" t="s">
        <v>547</v>
      </c>
      <c r="D1184" s="33">
        <v>6.2800111000000003</v>
      </c>
      <c r="E1184" s="33">
        <v>-75.4427333</v>
      </c>
      <c r="F1184" s="29" t="s">
        <v>8090</v>
      </c>
      <c r="G1184" s="29" t="s">
        <v>8090</v>
      </c>
      <c r="H1184" s="35" t="s">
        <v>8091</v>
      </c>
      <c r="I1184" s="29"/>
      <c r="J1184" s="29"/>
      <c r="K1184" s="37">
        <v>1</v>
      </c>
    </row>
    <row r="1185" spans="1:11">
      <c r="A1185" s="31">
        <v>1185</v>
      </c>
      <c r="B1185" s="29" t="s">
        <v>2309</v>
      </c>
      <c r="C1185" s="29" t="s">
        <v>2310</v>
      </c>
      <c r="D1185" s="33">
        <v>5.6833333000000001</v>
      </c>
      <c r="E1185" s="33">
        <v>-75.233333299999998</v>
      </c>
      <c r="F1185" s="29" t="s">
        <v>8090</v>
      </c>
      <c r="G1185" s="29" t="s">
        <v>8090</v>
      </c>
      <c r="H1185" s="35" t="s">
        <v>8091</v>
      </c>
      <c r="I1185" s="29"/>
      <c r="J1185" s="29"/>
      <c r="K1185" s="37">
        <v>1</v>
      </c>
    </row>
    <row r="1186" spans="1:11">
      <c r="A1186" s="31">
        <v>1186</v>
      </c>
      <c r="B1186" s="29" t="s">
        <v>2309</v>
      </c>
      <c r="C1186" s="29" t="s">
        <v>2310</v>
      </c>
      <c r="D1186" s="33">
        <v>5.6833333000000001</v>
      </c>
      <c r="E1186" s="33">
        <v>-75.233333299999998</v>
      </c>
      <c r="F1186" s="29" t="s">
        <v>8090</v>
      </c>
      <c r="G1186" s="29" t="s">
        <v>8090</v>
      </c>
      <c r="H1186" s="35" t="s">
        <v>8091</v>
      </c>
      <c r="I1186" s="29"/>
      <c r="J1186" s="29"/>
      <c r="K1186" s="37">
        <v>1</v>
      </c>
    </row>
    <row r="1187" spans="1:11">
      <c r="A1187" s="31">
        <v>1187</v>
      </c>
      <c r="B1187" s="29" t="s">
        <v>1695</v>
      </c>
      <c r="C1187" s="29" t="s">
        <v>533</v>
      </c>
      <c r="D1187" s="33">
        <v>6.5</v>
      </c>
      <c r="E1187" s="33">
        <v>-75.533333299999995</v>
      </c>
      <c r="F1187" s="29" t="s">
        <v>8090</v>
      </c>
      <c r="G1187" s="29" t="s">
        <v>8090</v>
      </c>
      <c r="H1187" s="35" t="s">
        <v>8091</v>
      </c>
      <c r="I1187" s="29"/>
      <c r="J1187" s="29" t="s">
        <v>9442</v>
      </c>
      <c r="K1187" s="37">
        <v>0</v>
      </c>
    </row>
    <row r="1188" spans="1:11">
      <c r="A1188" s="31">
        <v>1188</v>
      </c>
      <c r="B1188" s="29" t="s">
        <v>2343</v>
      </c>
      <c r="C1188" s="29" t="s">
        <v>422</v>
      </c>
      <c r="D1188" s="33">
        <v>6.5333332999999998</v>
      </c>
      <c r="E1188" s="33">
        <v>-75.5</v>
      </c>
      <c r="F1188" s="29" t="s">
        <v>8090</v>
      </c>
      <c r="G1188" s="29" t="s">
        <v>8090</v>
      </c>
      <c r="H1188" s="35" t="s">
        <v>8091</v>
      </c>
      <c r="I1188" s="29"/>
      <c r="J1188" s="29"/>
      <c r="K1188" s="37">
        <v>1</v>
      </c>
    </row>
    <row r="1189" spans="1:11">
      <c r="A1189" s="31">
        <v>1189</v>
      </c>
      <c r="B1189" s="29" t="s">
        <v>7879</v>
      </c>
      <c r="C1189" s="29" t="s">
        <v>7880</v>
      </c>
      <c r="D1189" s="33">
        <v>6.2022472000000004</v>
      </c>
      <c r="E1189" s="33">
        <v>-75.518116699999993</v>
      </c>
      <c r="F1189" s="29" t="s">
        <v>8090</v>
      </c>
      <c r="G1189" s="29" t="s">
        <v>8090</v>
      </c>
      <c r="H1189" s="35" t="s">
        <v>8091</v>
      </c>
      <c r="I1189" s="29"/>
      <c r="J1189" s="29" t="s">
        <v>9443</v>
      </c>
      <c r="K1189" s="37">
        <v>0</v>
      </c>
    </row>
    <row r="1190" spans="1:11">
      <c r="A1190" s="31">
        <v>1190</v>
      </c>
      <c r="B1190" s="29" t="s">
        <v>4497</v>
      </c>
      <c r="C1190" s="29" t="s">
        <v>4498</v>
      </c>
      <c r="D1190" s="33">
        <v>6.2666667</v>
      </c>
      <c r="E1190" s="33">
        <v>-75.566666699999999</v>
      </c>
      <c r="F1190" s="29" t="s">
        <v>8090</v>
      </c>
      <c r="G1190" s="29" t="s">
        <v>8090</v>
      </c>
      <c r="H1190" s="35" t="s">
        <v>8091</v>
      </c>
      <c r="I1190" s="29"/>
      <c r="J1190" s="29"/>
      <c r="K1190" s="37">
        <v>1</v>
      </c>
    </row>
    <row r="1191" spans="1:11">
      <c r="A1191" s="31">
        <v>1191</v>
      </c>
      <c r="B1191" s="29" t="s">
        <v>7894</v>
      </c>
      <c r="C1191" s="29" t="s">
        <v>2448</v>
      </c>
      <c r="D1191" s="33">
        <v>6.3219443999999996</v>
      </c>
      <c r="E1191" s="33">
        <v>-75.585833300000004</v>
      </c>
      <c r="F1191" s="29" t="s">
        <v>8090</v>
      </c>
      <c r="G1191" s="29" t="s">
        <v>8090</v>
      </c>
      <c r="H1191" s="35" t="s">
        <v>8091</v>
      </c>
      <c r="I1191" s="29"/>
      <c r="J1191" s="29" t="s">
        <v>9444</v>
      </c>
      <c r="K1191" s="37">
        <v>0</v>
      </c>
    </row>
    <row r="1192" spans="1:11">
      <c r="A1192" s="31">
        <v>1192</v>
      </c>
      <c r="B1192" s="29" t="s">
        <v>446</v>
      </c>
      <c r="C1192" s="29" t="s">
        <v>447</v>
      </c>
      <c r="D1192" s="33">
        <v>1.1758972000000001</v>
      </c>
      <c r="E1192" s="33">
        <v>-76.879355599999997</v>
      </c>
      <c r="F1192" s="29" t="s">
        <v>8090</v>
      </c>
      <c r="G1192" s="29" t="s">
        <v>8090</v>
      </c>
      <c r="H1192" s="35" t="s">
        <v>8091</v>
      </c>
      <c r="I1192" s="29"/>
      <c r="J1192" s="29"/>
      <c r="K1192" s="37">
        <v>1</v>
      </c>
    </row>
    <row r="1193" spans="1:11">
      <c r="A1193" s="31">
        <v>1193</v>
      </c>
      <c r="B1193" s="29" t="s">
        <v>7911</v>
      </c>
      <c r="C1193" s="29" t="s">
        <v>1074</v>
      </c>
      <c r="D1193" s="33">
        <v>6.2621111000000003</v>
      </c>
      <c r="E1193" s="33">
        <v>-75.5084722</v>
      </c>
      <c r="F1193" s="29" t="s">
        <v>8090</v>
      </c>
      <c r="G1193" s="29" t="s">
        <v>8090</v>
      </c>
      <c r="H1193" s="35" t="s">
        <v>8091</v>
      </c>
      <c r="I1193" s="29"/>
      <c r="J1193" s="29" t="s">
        <v>9445</v>
      </c>
      <c r="K1193" s="37">
        <v>0</v>
      </c>
    </row>
    <row r="1194" spans="1:11">
      <c r="A1194" s="31">
        <v>1194</v>
      </c>
      <c r="B1194" s="29" t="s">
        <v>7911</v>
      </c>
      <c r="C1194" s="29" t="s">
        <v>1074</v>
      </c>
      <c r="D1194" s="33">
        <v>6.2621111000000003</v>
      </c>
      <c r="E1194" s="33">
        <v>-75.5084722</v>
      </c>
      <c r="F1194" s="29" t="s">
        <v>8090</v>
      </c>
      <c r="G1194" s="29" t="s">
        <v>8090</v>
      </c>
      <c r="H1194" s="35" t="s">
        <v>8091</v>
      </c>
      <c r="I1194" s="29"/>
      <c r="J1194" s="29"/>
      <c r="K1194" s="37">
        <v>1</v>
      </c>
    </row>
    <row r="1195" spans="1:11">
      <c r="A1195" s="31">
        <v>1195</v>
      </c>
      <c r="B1195" s="29" t="s">
        <v>7911</v>
      </c>
      <c r="C1195" s="29" t="s">
        <v>1074</v>
      </c>
      <c r="D1195" s="33">
        <v>6.2621111000000003</v>
      </c>
      <c r="E1195" s="33">
        <v>-75.5084722</v>
      </c>
      <c r="F1195" s="29" t="s">
        <v>8090</v>
      </c>
      <c r="G1195" s="29" t="s">
        <v>8090</v>
      </c>
      <c r="H1195" s="35" t="s">
        <v>8091</v>
      </c>
      <c r="I1195" s="29"/>
      <c r="J1195" s="29"/>
      <c r="K1195" s="37">
        <v>1</v>
      </c>
    </row>
    <row r="1196" spans="1:11">
      <c r="A1196" s="31">
        <v>1196</v>
      </c>
      <c r="B1196" s="29" t="s">
        <v>3645</v>
      </c>
      <c r="C1196" s="29" t="s">
        <v>3646</v>
      </c>
      <c r="D1196" s="33">
        <v>6.2035</v>
      </c>
      <c r="E1196" s="33">
        <v>-75.487250000000003</v>
      </c>
      <c r="F1196" s="29" t="s">
        <v>8090</v>
      </c>
      <c r="G1196" s="29" t="s">
        <v>8090</v>
      </c>
      <c r="H1196" s="35" t="s">
        <v>8091</v>
      </c>
      <c r="I1196" s="29"/>
      <c r="J1196" s="29"/>
      <c r="K1196" s="37">
        <v>1</v>
      </c>
    </row>
    <row r="1197" spans="1:11">
      <c r="A1197" s="31">
        <v>1197</v>
      </c>
      <c r="B1197" s="29" t="s">
        <v>9446</v>
      </c>
      <c r="C1197" s="29" t="s">
        <v>9447</v>
      </c>
      <c r="D1197" s="33">
        <v>6.2497400000000001</v>
      </c>
      <c r="E1197" s="33">
        <v>-75.485399999999998</v>
      </c>
      <c r="F1197" s="29" t="s">
        <v>8090</v>
      </c>
      <c r="G1197" s="29" t="s">
        <v>8090</v>
      </c>
      <c r="H1197" s="35" t="s">
        <v>8091</v>
      </c>
      <c r="I1197" s="29"/>
      <c r="J1197" s="29" t="s">
        <v>9448</v>
      </c>
      <c r="K1197" s="37">
        <v>0</v>
      </c>
    </row>
    <row r="1198" spans="1:11">
      <c r="A1198" s="31">
        <v>1198</v>
      </c>
      <c r="B1198" s="29" t="s">
        <v>7941</v>
      </c>
      <c r="C1198" s="29" t="s">
        <v>7942</v>
      </c>
      <c r="D1198" s="33">
        <v>6.5870278000000004</v>
      </c>
      <c r="E1198" s="33">
        <v>-75.696888900000005</v>
      </c>
      <c r="F1198" s="29" t="s">
        <v>8090</v>
      </c>
      <c r="G1198" s="29" t="s">
        <v>8090</v>
      </c>
      <c r="H1198" s="35" t="s">
        <v>8091</v>
      </c>
      <c r="I1198" s="29"/>
      <c r="J1198" s="29" t="s">
        <v>9449</v>
      </c>
      <c r="K1198" s="37">
        <v>0</v>
      </c>
    </row>
    <row r="1199" spans="1:11">
      <c r="A1199" s="31">
        <v>1199</v>
      </c>
      <c r="B1199" s="29" t="s">
        <v>7941</v>
      </c>
      <c r="C1199" s="29" t="s">
        <v>7942</v>
      </c>
      <c r="D1199" s="33">
        <v>6.5870278000000004</v>
      </c>
      <c r="E1199" s="33">
        <v>-75.696888900000005</v>
      </c>
      <c r="F1199" s="29" t="s">
        <v>8090</v>
      </c>
      <c r="G1199" s="29" t="s">
        <v>8090</v>
      </c>
      <c r="H1199" s="35" t="s">
        <v>8091</v>
      </c>
      <c r="I1199" s="29"/>
      <c r="J1199" s="29"/>
      <c r="K1199" s="37">
        <v>1</v>
      </c>
    </row>
    <row r="1200" spans="1:11">
      <c r="A1200" s="31">
        <v>1200</v>
      </c>
      <c r="B1200" s="29" t="s">
        <v>7941</v>
      </c>
      <c r="C1200" s="29" t="s">
        <v>7942</v>
      </c>
      <c r="D1200" s="33">
        <v>6.5870278000000004</v>
      </c>
      <c r="E1200" s="33">
        <v>-75.696888900000005</v>
      </c>
      <c r="F1200" s="29" t="s">
        <v>8090</v>
      </c>
      <c r="G1200" s="29" t="s">
        <v>8090</v>
      </c>
      <c r="H1200" s="35" t="s">
        <v>8091</v>
      </c>
      <c r="I1200" s="29"/>
      <c r="J1200" s="29"/>
      <c r="K1200" s="37">
        <v>1</v>
      </c>
    </row>
    <row r="1201" spans="1:11">
      <c r="A1201" s="31">
        <v>1201</v>
      </c>
      <c r="B1201" s="29" t="s">
        <v>977</v>
      </c>
      <c r="C1201" s="29" t="s">
        <v>978</v>
      </c>
      <c r="D1201" s="33">
        <v>6.2133333000000004</v>
      </c>
      <c r="E1201" s="33">
        <v>-75.492277799999997</v>
      </c>
      <c r="F1201" s="29" t="s">
        <v>8090</v>
      </c>
      <c r="G1201" s="29" t="s">
        <v>8090</v>
      </c>
      <c r="H1201" s="35" t="s">
        <v>8091</v>
      </c>
      <c r="I1201" s="29"/>
      <c r="J1201" s="29"/>
      <c r="K1201" s="37">
        <v>1</v>
      </c>
    </row>
    <row r="1202" spans="1:11">
      <c r="A1202" s="31">
        <v>1202</v>
      </c>
      <c r="B1202" s="29" t="s">
        <v>9450</v>
      </c>
      <c r="C1202" s="29" t="s">
        <v>9451</v>
      </c>
      <c r="D1202" s="33">
        <v>4.9910800000000002</v>
      </c>
      <c r="E1202" s="33">
        <v>-74.138339999999999</v>
      </c>
      <c r="F1202" s="29" t="s">
        <v>8090</v>
      </c>
      <c r="G1202" s="29" t="s">
        <v>8090</v>
      </c>
      <c r="H1202" s="35" t="s">
        <v>8091</v>
      </c>
      <c r="I1202" s="29"/>
      <c r="J1202" s="29" t="s">
        <v>9452</v>
      </c>
      <c r="K1202" s="37">
        <v>0</v>
      </c>
    </row>
    <row r="1203" spans="1:11">
      <c r="A1203" s="31">
        <v>1203</v>
      </c>
      <c r="B1203" s="29" t="s">
        <v>9453</v>
      </c>
      <c r="C1203" s="29" t="s">
        <v>9454</v>
      </c>
      <c r="D1203" s="33">
        <v>5.9886499999999998</v>
      </c>
      <c r="E1203" s="33">
        <v>-75.633629999999997</v>
      </c>
      <c r="F1203" s="29" t="s">
        <v>8090</v>
      </c>
      <c r="G1203" s="29" t="s">
        <v>8090</v>
      </c>
      <c r="H1203" s="35" t="s">
        <v>8091</v>
      </c>
      <c r="I1203" s="29"/>
      <c r="J1203" s="29" t="s">
        <v>9455</v>
      </c>
      <c r="K1203" s="37">
        <v>0</v>
      </c>
    </row>
    <row r="1204" spans="1:11">
      <c r="A1204" s="31">
        <v>1204</v>
      </c>
      <c r="B1204" s="29" t="s">
        <v>5816</v>
      </c>
      <c r="C1204" s="29" t="s">
        <v>5817</v>
      </c>
      <c r="D1204" s="33">
        <v>6.2546472</v>
      </c>
      <c r="E1204" s="33">
        <v>-75.711386099999999</v>
      </c>
      <c r="F1204" s="29" t="s">
        <v>8090</v>
      </c>
      <c r="G1204" s="29" t="s">
        <v>8090</v>
      </c>
      <c r="H1204" s="35" t="s">
        <v>8091</v>
      </c>
      <c r="I1204" s="29"/>
      <c r="J1204" s="29"/>
      <c r="K1204" s="37">
        <v>1</v>
      </c>
    </row>
    <row r="1205" spans="1:11">
      <c r="A1205" s="31">
        <v>1205</v>
      </c>
      <c r="B1205" s="29" t="s">
        <v>7974</v>
      </c>
      <c r="C1205" s="29" t="s">
        <v>7975</v>
      </c>
      <c r="D1205" s="33">
        <v>6.2509610999999996</v>
      </c>
      <c r="E1205" s="33">
        <v>-75.7125111</v>
      </c>
      <c r="F1205" s="29" t="s">
        <v>8090</v>
      </c>
      <c r="G1205" s="29" t="s">
        <v>8090</v>
      </c>
      <c r="H1205" s="35" t="s">
        <v>8091</v>
      </c>
      <c r="I1205" s="29"/>
      <c r="J1205" s="29" t="s">
        <v>9456</v>
      </c>
      <c r="K1205" s="37">
        <v>0</v>
      </c>
    </row>
    <row r="1206" spans="1:11">
      <c r="A1206" s="31">
        <v>1206</v>
      </c>
      <c r="B1206" s="29" t="s">
        <v>7986</v>
      </c>
      <c r="C1206" s="29" t="s">
        <v>7987</v>
      </c>
      <c r="D1206" s="33">
        <v>2.5450832999999999</v>
      </c>
      <c r="E1206" s="33">
        <v>-75.808374999999998</v>
      </c>
      <c r="F1206" s="29" t="s">
        <v>8090</v>
      </c>
      <c r="G1206" s="29" t="s">
        <v>8090</v>
      </c>
      <c r="H1206" s="35" t="s">
        <v>8091</v>
      </c>
      <c r="I1206" s="29"/>
      <c r="J1206" s="29" t="s">
        <v>9457</v>
      </c>
      <c r="K1206" s="37">
        <v>0</v>
      </c>
    </row>
    <row r="1207" spans="1:11">
      <c r="A1207" s="31">
        <v>1207</v>
      </c>
      <c r="B1207" s="29" t="s">
        <v>2647</v>
      </c>
      <c r="C1207" s="29" t="s">
        <v>2648</v>
      </c>
      <c r="D1207" s="33">
        <v>6.2110278000000001</v>
      </c>
      <c r="E1207" s="33">
        <v>-75.655138899999997</v>
      </c>
      <c r="F1207" s="29" t="s">
        <v>8090</v>
      </c>
      <c r="G1207" s="29" t="s">
        <v>8090</v>
      </c>
      <c r="H1207" s="35" t="s">
        <v>8091</v>
      </c>
      <c r="I1207" s="29"/>
      <c r="J1207" s="29"/>
      <c r="K1207" s="37">
        <v>1</v>
      </c>
    </row>
    <row r="1208" spans="1:11">
      <c r="A1208" s="31">
        <v>1208</v>
      </c>
      <c r="B1208" s="29" t="s">
        <v>7997</v>
      </c>
      <c r="C1208" s="29" t="s">
        <v>294</v>
      </c>
      <c r="D1208" s="33">
        <v>1.9998610999999999</v>
      </c>
      <c r="E1208" s="33">
        <v>-76.285502800000003</v>
      </c>
      <c r="F1208" s="29" t="s">
        <v>8090</v>
      </c>
      <c r="G1208" s="29" t="s">
        <v>8090</v>
      </c>
      <c r="H1208" s="35" t="s">
        <v>8091</v>
      </c>
      <c r="I1208" s="29"/>
      <c r="J1208" s="29"/>
      <c r="K1208" s="37">
        <v>1</v>
      </c>
    </row>
    <row r="1209" spans="1:11">
      <c r="A1209" s="31">
        <v>1209</v>
      </c>
      <c r="B1209" s="29" t="s">
        <v>2958</v>
      </c>
      <c r="C1209" s="29" t="s">
        <v>329</v>
      </c>
      <c r="D1209" s="33">
        <v>1.7689805999999999</v>
      </c>
      <c r="E1209" s="33">
        <v>-76.018733299999994</v>
      </c>
      <c r="F1209" s="29" t="s">
        <v>8090</v>
      </c>
      <c r="G1209" s="29" t="s">
        <v>8090</v>
      </c>
      <c r="H1209" s="35" t="s">
        <v>8091</v>
      </c>
      <c r="I1209" s="29"/>
      <c r="J1209" s="29"/>
      <c r="K1209" s="37">
        <v>1</v>
      </c>
    </row>
    <row r="1210" spans="1:11">
      <c r="A1210" s="31">
        <v>1210</v>
      </c>
      <c r="B1210" s="29" t="s">
        <v>8506</v>
      </c>
      <c r="C1210" s="29" t="s">
        <v>8507</v>
      </c>
      <c r="D1210" s="33">
        <v>6.3112199999999996</v>
      </c>
      <c r="E1210" s="33">
        <v>-75.146090000000001</v>
      </c>
      <c r="F1210" s="29" t="s">
        <v>8090</v>
      </c>
      <c r="G1210" s="29" t="s">
        <v>8090</v>
      </c>
      <c r="H1210" s="35" t="s">
        <v>8091</v>
      </c>
      <c r="I1210" s="29"/>
      <c r="J1210" s="29"/>
      <c r="K1210" s="37">
        <v>1</v>
      </c>
    </row>
    <row r="1211" spans="1:11">
      <c r="A1211" s="31">
        <v>1211</v>
      </c>
      <c r="B1211" s="29" t="s">
        <v>8108</v>
      </c>
      <c r="C1211" s="29" t="s">
        <v>8109</v>
      </c>
      <c r="D1211" s="33">
        <v>5.6283099999999999</v>
      </c>
      <c r="E1211" s="33">
        <v>-73.902479999999997</v>
      </c>
      <c r="F1211" s="29" t="s">
        <v>8090</v>
      </c>
      <c r="G1211" s="29" t="s">
        <v>8090</v>
      </c>
      <c r="H1211" s="35" t="s">
        <v>8091</v>
      </c>
      <c r="I1211" s="29"/>
      <c r="J1211" s="29"/>
      <c r="K1211" s="37">
        <v>1</v>
      </c>
    </row>
    <row r="1212" spans="1:11">
      <c r="A1212" s="31">
        <v>1212</v>
      </c>
      <c r="B1212" s="29" t="s">
        <v>9458</v>
      </c>
      <c r="C1212" s="29" t="s">
        <v>9459</v>
      </c>
      <c r="D1212" s="33">
        <v>1.8788889</v>
      </c>
      <c r="E1212" s="33">
        <v>-75.682777799999997</v>
      </c>
      <c r="F1212" s="29" t="s">
        <v>9223</v>
      </c>
      <c r="G1212" s="29" t="s">
        <v>9223</v>
      </c>
      <c r="H1212" s="35" t="s">
        <v>8091</v>
      </c>
      <c r="I1212" s="29"/>
      <c r="J1212" s="29" t="s">
        <v>9460</v>
      </c>
      <c r="K1212" s="37">
        <v>0</v>
      </c>
    </row>
    <row r="1213" spans="1:11">
      <c r="A1213" s="31">
        <v>1213</v>
      </c>
      <c r="B1213" s="29" t="s">
        <v>9461</v>
      </c>
      <c r="C1213" s="29" t="s">
        <v>9462</v>
      </c>
      <c r="D1213" s="33">
        <v>1.7697221999999999</v>
      </c>
      <c r="E1213" s="33">
        <v>-75.777088899999995</v>
      </c>
      <c r="F1213" s="29" t="s">
        <v>9223</v>
      </c>
      <c r="G1213" s="29" t="s">
        <v>8090</v>
      </c>
      <c r="H1213" s="35" t="s">
        <v>8091</v>
      </c>
      <c r="I1213" s="29"/>
      <c r="J1213" s="29" t="s">
        <v>9463</v>
      </c>
      <c r="K1213" s="37">
        <v>0</v>
      </c>
    </row>
    <row r="1214" spans="1:11">
      <c r="A1214" s="31">
        <v>1214</v>
      </c>
      <c r="B1214" s="29" t="s">
        <v>9464</v>
      </c>
      <c r="C1214" s="29" t="s">
        <v>9465</v>
      </c>
      <c r="D1214" s="33">
        <v>5.5282099999999996</v>
      </c>
      <c r="E1214" s="33">
        <v>-75.030659999999997</v>
      </c>
      <c r="F1214" s="29" t="s">
        <v>8090</v>
      </c>
      <c r="G1214" s="29" t="s">
        <v>8090</v>
      </c>
      <c r="H1214" s="35" t="s">
        <v>8091</v>
      </c>
      <c r="I1214" s="29"/>
      <c r="J1214" s="29" t="s">
        <v>9466</v>
      </c>
      <c r="K1214" s="37">
        <v>0</v>
      </c>
    </row>
    <row r="1215" spans="1:11">
      <c r="A1215" s="31">
        <v>1215</v>
      </c>
      <c r="B1215" s="29"/>
      <c r="C1215" s="29"/>
      <c r="D1215" s="33"/>
      <c r="E1215" s="33"/>
      <c r="F1215" s="29" t="s">
        <v>9153</v>
      </c>
      <c r="G1215" s="29" t="s">
        <v>9153</v>
      </c>
      <c r="H1215" s="35" t="s">
        <v>9154</v>
      </c>
      <c r="I1215" s="29" t="s">
        <v>9155</v>
      </c>
      <c r="J1215" s="29"/>
      <c r="K1215" s="37">
        <v>0</v>
      </c>
    </row>
    <row r="1216" spans="1:11">
      <c r="A1216" s="31">
        <v>1216</v>
      </c>
      <c r="B1216" s="29"/>
      <c r="C1216" s="29"/>
      <c r="D1216" s="33"/>
      <c r="E1216" s="33"/>
      <c r="F1216" s="29" t="s">
        <v>9153</v>
      </c>
      <c r="G1216" s="29" t="s">
        <v>9153</v>
      </c>
      <c r="H1216" s="35" t="s">
        <v>9154</v>
      </c>
      <c r="I1216" s="29" t="s">
        <v>9155</v>
      </c>
      <c r="J1216" s="29"/>
      <c r="K1216" s="37">
        <v>0</v>
      </c>
    </row>
    <row r="1217" spans="1:11">
      <c r="A1217" s="31">
        <v>1217</v>
      </c>
      <c r="B1217" s="29" t="s">
        <v>9467</v>
      </c>
      <c r="C1217" s="29" t="s">
        <v>9468</v>
      </c>
      <c r="D1217" s="33">
        <v>2.3623110999999999</v>
      </c>
      <c r="E1217" s="33">
        <v>-72.826008299999998</v>
      </c>
      <c r="F1217" s="29" t="s">
        <v>8090</v>
      </c>
      <c r="G1217" s="29" t="s">
        <v>8090</v>
      </c>
      <c r="H1217" s="35" t="s">
        <v>8091</v>
      </c>
      <c r="I1217" s="29"/>
      <c r="J1217" s="29" t="s">
        <v>9469</v>
      </c>
      <c r="K1217" s="37">
        <v>0</v>
      </c>
    </row>
    <row r="1218" spans="1:11">
      <c r="A1218" s="31">
        <v>1218</v>
      </c>
      <c r="B1218" s="29" t="s">
        <v>9470</v>
      </c>
      <c r="C1218" s="29" t="s">
        <v>9471</v>
      </c>
      <c r="D1218" s="33">
        <v>2.2248600000000001</v>
      </c>
      <c r="E1218" s="33">
        <v>-73.804609999999997</v>
      </c>
      <c r="F1218" s="29" t="s">
        <v>8090</v>
      </c>
      <c r="G1218" s="29" t="s">
        <v>9472</v>
      </c>
      <c r="H1218" s="35" t="s">
        <v>8091</v>
      </c>
      <c r="I1218" s="29"/>
      <c r="J1218" s="29" t="s">
        <v>9473</v>
      </c>
      <c r="K1218" s="37">
        <v>0</v>
      </c>
    </row>
    <row r="1219" spans="1:11">
      <c r="A1219" s="31">
        <v>1219</v>
      </c>
      <c r="B1219" s="29" t="s">
        <v>9474</v>
      </c>
      <c r="C1219" s="29" t="s">
        <v>9475</v>
      </c>
      <c r="D1219" s="33">
        <v>2.5308332999999998</v>
      </c>
      <c r="E1219" s="33">
        <v>-72.810833299999999</v>
      </c>
      <c r="F1219" s="29" t="s">
        <v>8090</v>
      </c>
      <c r="G1219" s="29" t="s">
        <v>8090</v>
      </c>
      <c r="H1219" s="35" t="s">
        <v>8091</v>
      </c>
      <c r="I1219" s="29"/>
      <c r="J1219" s="29" t="s">
        <v>9476</v>
      </c>
      <c r="K1219" s="37">
        <v>0</v>
      </c>
    </row>
    <row r="1220" spans="1:11">
      <c r="A1220" s="31">
        <v>1220</v>
      </c>
      <c r="B1220" s="29" t="s">
        <v>9477</v>
      </c>
      <c r="C1220" s="29" t="s">
        <v>9478</v>
      </c>
      <c r="D1220" s="33">
        <v>3.9011550000000002</v>
      </c>
      <c r="E1220" s="33">
        <v>-73.073369</v>
      </c>
      <c r="F1220" s="29" t="s">
        <v>8090</v>
      </c>
      <c r="G1220" s="29" t="s">
        <v>8090</v>
      </c>
      <c r="H1220" s="35" t="s">
        <v>8091</v>
      </c>
      <c r="I1220" s="29"/>
      <c r="J1220" s="29" t="s">
        <v>9479</v>
      </c>
      <c r="K1220" s="37">
        <v>0</v>
      </c>
    </row>
    <row r="1221" spans="1:11">
      <c r="A1221" s="31">
        <v>1221</v>
      </c>
      <c r="B1221" s="29" t="s">
        <v>9480</v>
      </c>
      <c r="C1221" s="29" t="s">
        <v>9481</v>
      </c>
      <c r="D1221" s="33">
        <v>1.7472221999999999</v>
      </c>
      <c r="E1221" s="33">
        <v>-75.678333300000006</v>
      </c>
      <c r="F1221" s="29" t="s">
        <v>8090</v>
      </c>
      <c r="G1221" s="29" t="s">
        <v>8090</v>
      </c>
      <c r="H1221" s="35" t="s">
        <v>8091</v>
      </c>
      <c r="I1221" s="29"/>
      <c r="J1221" s="29" t="s">
        <v>9482</v>
      </c>
      <c r="K1221" s="37">
        <v>0</v>
      </c>
    </row>
    <row r="1222" spans="1:11">
      <c r="A1222" s="31">
        <v>1222</v>
      </c>
      <c r="B1222" s="29" t="s">
        <v>9483</v>
      </c>
      <c r="C1222" s="29" t="s">
        <v>9484</v>
      </c>
      <c r="D1222" s="33">
        <v>1.1000000000000001</v>
      </c>
      <c r="E1222" s="33">
        <v>-77.883333300000004</v>
      </c>
      <c r="F1222" s="29" t="s">
        <v>8090</v>
      </c>
      <c r="G1222" s="29" t="s">
        <v>8090</v>
      </c>
      <c r="H1222" s="35" t="s">
        <v>8091</v>
      </c>
      <c r="I1222" s="29"/>
      <c r="J1222" s="29" t="s">
        <v>9485</v>
      </c>
      <c r="K1222" s="37">
        <v>0</v>
      </c>
    </row>
    <row r="1223" spans="1:11">
      <c r="A1223" s="31">
        <v>1223</v>
      </c>
      <c r="B1223" s="29" t="s">
        <v>9486</v>
      </c>
      <c r="C1223" s="29" t="s">
        <v>9487</v>
      </c>
      <c r="D1223" s="33">
        <v>8.1199999999999992</v>
      </c>
      <c r="E1223" s="33">
        <v>-77.133611099999996</v>
      </c>
      <c r="F1223" s="29" t="s">
        <v>8090</v>
      </c>
      <c r="G1223" s="29" t="s">
        <v>8090</v>
      </c>
      <c r="H1223" s="35" t="s">
        <v>8091</v>
      </c>
      <c r="I1223" s="29"/>
      <c r="J1223" s="29" t="s">
        <v>9488</v>
      </c>
      <c r="K1223" s="37">
        <v>0</v>
      </c>
    </row>
    <row r="1224" spans="1:11">
      <c r="A1224" s="32">
        <v>1224</v>
      </c>
      <c r="B1224" s="30" t="s">
        <v>9489</v>
      </c>
      <c r="C1224" s="30" t="s">
        <v>9490</v>
      </c>
      <c r="D1224" s="34">
        <v>7.1177777999999998</v>
      </c>
      <c r="E1224" s="34">
        <v>-74.268333299999995</v>
      </c>
      <c r="F1224" s="30" t="s">
        <v>8090</v>
      </c>
      <c r="G1224" s="30" t="s">
        <v>8090</v>
      </c>
      <c r="H1224" s="36" t="s">
        <v>8091</v>
      </c>
      <c r="I1224" s="30"/>
      <c r="J1224" s="30" t="s">
        <v>9491</v>
      </c>
      <c r="K1224" s="38">
        <v>0</v>
      </c>
    </row>
  </sheetData>
  <conditionalFormatting sqref="H2:H1224">
    <cfRule type="containsText" dxfId="1" priority="1" operator="containsText" text="FALTA_COORDENADA"/>
    <cfRule type="containsText" dxfId="0" priority="2" operator="containsText" text="ERROR_COORDENADA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LEEME_Fase1</vt:lpstr>
      <vt:lpstr>QC_Coordenadas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Verónica B. Calle</cp:lastModifiedBy>
  <dcterms:modified xsi:type="dcterms:W3CDTF">2026-09-02T01:39:47Z</dcterms:modified>
</cp:coreProperties>
</file>